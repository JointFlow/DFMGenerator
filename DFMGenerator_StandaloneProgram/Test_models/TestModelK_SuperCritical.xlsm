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chael\New StandaloneTestModels\"/>
    </mc:Choice>
  </mc:AlternateContent>
  <xr:revisionPtr revIDLastSave="0" documentId="13_ncr:1_{82EE50C2-39C4-46EE-AE2C-C9761313C84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63" i="91" l="1"/>
  <c r="AK63" i="91"/>
  <c r="AL62" i="91"/>
  <c r="AK62" i="91"/>
  <c r="AL61" i="91"/>
  <c r="AK61" i="91"/>
  <c r="AL60" i="91"/>
  <c r="AK60" i="91"/>
  <c r="AL59" i="91"/>
  <c r="AK59" i="91"/>
  <c r="AL58" i="91"/>
  <c r="AK58" i="91"/>
  <c r="AL57" i="91"/>
  <c r="AK57" i="91"/>
  <c r="AL56" i="91"/>
  <c r="AK56" i="91"/>
  <c r="AL55" i="91"/>
  <c r="AK55" i="91"/>
  <c r="AL54" i="91"/>
  <c r="AK54" i="91"/>
  <c r="AL53" i="91"/>
  <c r="AK53" i="91"/>
  <c r="AL52" i="91"/>
  <c r="AK52" i="91"/>
  <c r="AL51" i="91"/>
  <c r="AK51" i="91"/>
  <c r="AL50" i="91"/>
  <c r="AK50" i="91"/>
  <c r="AL49" i="91"/>
  <c r="AK49" i="91"/>
  <c r="AL48" i="91"/>
  <c r="AK48" i="91"/>
  <c r="AL47" i="91"/>
  <c r="AK47" i="91"/>
  <c r="AL46" i="91"/>
  <c r="AK46" i="91"/>
  <c r="AL45" i="91"/>
  <c r="AK45" i="91"/>
  <c r="AL44" i="91"/>
  <c r="AK44" i="91"/>
  <c r="AL43" i="91"/>
  <c r="AK43" i="91"/>
  <c r="AL42" i="91"/>
  <c r="AK42" i="91"/>
  <c r="AL41" i="91"/>
  <c r="AK41" i="91"/>
  <c r="AL40" i="91"/>
  <c r="AK40" i="91"/>
  <c r="AL39" i="91"/>
  <c r="AK39" i="91"/>
  <c r="AL38" i="91"/>
  <c r="AK38" i="91"/>
  <c r="AL37" i="91"/>
  <c r="AK37" i="91"/>
  <c r="AL36" i="91"/>
  <c r="AK36" i="91"/>
  <c r="AL35" i="91"/>
  <c r="AK35" i="91"/>
  <c r="AL34" i="91"/>
  <c r="AK34" i="91"/>
  <c r="AL33" i="91"/>
  <c r="AK33" i="91"/>
  <c r="AL32" i="91"/>
  <c r="AK32" i="91"/>
  <c r="AL31" i="91"/>
  <c r="AK31" i="91"/>
  <c r="AL30" i="91"/>
  <c r="AK30" i="91"/>
  <c r="AL29" i="91"/>
  <c r="AK29" i="91"/>
  <c r="AL28" i="91"/>
  <c r="AK28" i="91"/>
  <c r="AL27" i="91"/>
  <c r="AK27" i="91"/>
  <c r="AL26" i="91"/>
  <c r="AK26" i="91"/>
  <c r="AL25" i="91"/>
  <c r="AK25" i="91"/>
  <c r="AL24" i="91"/>
  <c r="AK24" i="91"/>
  <c r="AL23" i="91"/>
  <c r="AK23" i="91"/>
  <c r="AL22" i="91"/>
  <c r="AK22" i="91"/>
  <c r="AL21" i="91"/>
  <c r="AK21" i="91"/>
  <c r="AL20" i="91"/>
  <c r="AK20" i="91"/>
  <c r="AL19" i="91"/>
  <c r="AK19" i="91"/>
  <c r="AL18" i="91"/>
  <c r="AK18" i="91"/>
  <c r="AL17" i="91"/>
  <c r="AK17" i="91"/>
  <c r="AL16" i="91"/>
  <c r="AK16" i="91"/>
  <c r="AL15" i="91"/>
  <c r="AK15" i="91"/>
  <c r="AL14" i="91"/>
  <c r="AK14" i="91"/>
  <c r="AL13" i="91"/>
  <c r="AK13" i="91"/>
  <c r="AL12" i="91"/>
  <c r="AK12" i="91"/>
  <c r="AL11" i="91"/>
  <c r="AK11" i="91"/>
  <c r="AL10" i="91"/>
  <c r="AK10" i="91"/>
  <c r="AL9" i="91"/>
  <c r="AK9" i="91"/>
  <c r="AL8" i="91"/>
  <c r="AK8" i="91"/>
  <c r="AL7" i="91"/>
  <c r="AK7" i="91"/>
  <c r="AL6" i="91"/>
  <c r="AK6" i="91"/>
  <c r="AL5" i="91"/>
  <c r="AK5" i="91"/>
  <c r="AL4" i="91"/>
  <c r="AK4" i="91"/>
  <c r="AL3" i="91"/>
  <c r="AK3" i="91"/>
  <c r="AL2" i="91"/>
  <c r="AM2" i="91" s="1"/>
  <c r="AM3" i="91" s="1"/>
  <c r="AM4" i="91" s="1"/>
  <c r="AM5" i="91" s="1"/>
  <c r="AM6" i="91" s="1"/>
  <c r="AM7" i="91" s="1"/>
  <c r="AM8" i="91" s="1"/>
  <c r="AM9" i="91" s="1"/>
  <c r="AM10" i="91" s="1"/>
  <c r="AM11" i="91" s="1"/>
  <c r="AM12" i="91" s="1"/>
  <c r="AM13" i="91" s="1"/>
  <c r="AM14" i="91" s="1"/>
  <c r="AM15" i="91" s="1"/>
  <c r="AM16" i="91" s="1"/>
  <c r="AM17" i="91" s="1"/>
  <c r="AM18" i="91" s="1"/>
  <c r="AM19" i="91" s="1"/>
  <c r="AM20" i="91" s="1"/>
  <c r="AM21" i="91" s="1"/>
  <c r="AM22" i="91" s="1"/>
  <c r="AM23" i="91" s="1"/>
  <c r="AM24" i="91" s="1"/>
  <c r="AM25" i="91" s="1"/>
  <c r="AM26" i="91" s="1"/>
  <c r="AM27" i="91" s="1"/>
  <c r="AM28" i="91" s="1"/>
  <c r="AM29" i="91" s="1"/>
  <c r="AM30" i="91" s="1"/>
  <c r="AM31" i="91" s="1"/>
  <c r="AM32" i="91" s="1"/>
  <c r="AM33" i="91" s="1"/>
  <c r="AM34" i="91" s="1"/>
  <c r="AM35" i="91" s="1"/>
  <c r="AM36" i="91" s="1"/>
  <c r="AM37" i="91" s="1"/>
  <c r="AM38" i="91" s="1"/>
  <c r="AM39" i="91" s="1"/>
  <c r="AM40" i="91" s="1"/>
  <c r="AM41" i="91" s="1"/>
  <c r="AM42" i="91" s="1"/>
  <c r="AM43" i="91" s="1"/>
  <c r="AM44" i="91" s="1"/>
  <c r="AM45" i="91" s="1"/>
  <c r="AM46" i="91" s="1"/>
  <c r="AM47" i="91" s="1"/>
  <c r="AM48" i="91" s="1"/>
  <c r="AM49" i="91" s="1"/>
  <c r="AM50" i="91" s="1"/>
  <c r="AM51" i="91" s="1"/>
  <c r="AM52" i="91" s="1"/>
  <c r="AM53" i="91" s="1"/>
  <c r="AM54" i="91" s="1"/>
  <c r="AM55" i="91" s="1"/>
  <c r="AM56" i="91" s="1"/>
  <c r="AM57" i="91" s="1"/>
  <c r="AM58" i="91" s="1"/>
  <c r="AM59" i="91" s="1"/>
  <c r="AM60" i="91" s="1"/>
  <c r="AM61" i="91" s="1"/>
  <c r="AM62" i="91" s="1"/>
  <c r="AM63" i="91" s="1"/>
  <c r="AK2" i="91"/>
  <c r="A207" i="90"/>
  <c r="A196" i="90"/>
  <c r="C196" i="90" l="1"/>
  <c r="D196" i="90"/>
  <c r="E196" i="90"/>
  <c r="F196" i="90"/>
  <c r="G196" i="90"/>
  <c r="H196" i="90"/>
  <c r="I196" i="90"/>
  <c r="J196" i="90"/>
  <c r="K196" i="90"/>
  <c r="L196" i="90"/>
  <c r="M196" i="90"/>
  <c r="N196" i="90"/>
  <c r="O196" i="90"/>
  <c r="P196" i="90"/>
  <c r="Q196" i="90"/>
  <c r="R196" i="90"/>
  <c r="S196" i="90"/>
  <c r="T196" i="90"/>
  <c r="U196" i="90"/>
  <c r="V196" i="90"/>
  <c r="C207" i="90"/>
  <c r="D207" i="90"/>
  <c r="E207" i="90"/>
  <c r="F207" i="90"/>
  <c r="G207" i="90"/>
  <c r="H207" i="90"/>
  <c r="I207" i="90"/>
  <c r="J207" i="90"/>
  <c r="K207" i="90"/>
  <c r="L207" i="90"/>
  <c r="M207" i="90"/>
  <c r="N207" i="90"/>
  <c r="O207" i="90"/>
  <c r="P207" i="90"/>
  <c r="Q207" i="90"/>
  <c r="R207" i="90"/>
  <c r="S207" i="90"/>
  <c r="T207" i="90"/>
  <c r="U207" i="90"/>
  <c r="V207" i="90"/>
  <c r="B207" i="90"/>
  <c r="B196" i="90"/>
  <c r="AA17" i="91" l="1"/>
  <c r="AA9" i="91"/>
  <c r="V211" i="90"/>
  <c r="U211" i="90"/>
  <c r="T211" i="90"/>
  <c r="S211" i="90"/>
  <c r="R211" i="90"/>
  <c r="Q211" i="90"/>
  <c r="P211" i="90"/>
  <c r="O211" i="90"/>
  <c r="N211" i="90"/>
  <c r="M211" i="90"/>
  <c r="L211" i="90"/>
  <c r="K211" i="90"/>
  <c r="J211" i="90"/>
  <c r="I211" i="90"/>
  <c r="H211" i="90"/>
  <c r="G211" i="90"/>
  <c r="F211" i="90"/>
  <c r="E211" i="90"/>
  <c r="D211" i="90"/>
  <c r="C211" i="90"/>
  <c r="B211" i="90"/>
  <c r="V210" i="90"/>
  <c r="U210" i="90"/>
  <c r="T210" i="90"/>
  <c r="S210" i="90"/>
  <c r="R210" i="90"/>
  <c r="Q210" i="90"/>
  <c r="P210" i="90"/>
  <c r="O210" i="90"/>
  <c r="N210" i="90"/>
  <c r="M210" i="90"/>
  <c r="L210" i="90"/>
  <c r="K210" i="90"/>
  <c r="J210" i="90"/>
  <c r="I210" i="90"/>
  <c r="H210" i="90"/>
  <c r="G210" i="90"/>
  <c r="F210" i="90"/>
  <c r="E210" i="90"/>
  <c r="D210" i="90"/>
  <c r="C210" i="90"/>
  <c r="B210" i="90"/>
  <c r="V209" i="90"/>
  <c r="U209" i="90"/>
  <c r="T209" i="90"/>
  <c r="S209" i="90"/>
  <c r="R209" i="90"/>
  <c r="Q209" i="90"/>
  <c r="P209" i="90"/>
  <c r="O209" i="90"/>
  <c r="N209" i="90"/>
  <c r="M209" i="90"/>
  <c r="L209" i="90"/>
  <c r="K209" i="90"/>
  <c r="J209" i="90"/>
  <c r="I209" i="90"/>
  <c r="H209" i="90"/>
  <c r="G209" i="90"/>
  <c r="F209" i="90"/>
  <c r="E209" i="90"/>
  <c r="D209" i="90"/>
  <c r="C209" i="90"/>
  <c r="B209" i="90"/>
  <c r="V208" i="90"/>
  <c r="U208" i="90"/>
  <c r="T208" i="90"/>
  <c r="S208" i="90"/>
  <c r="R208" i="90"/>
  <c r="Q208" i="90"/>
  <c r="P208" i="90"/>
  <c r="O208" i="90"/>
  <c r="N208" i="90"/>
  <c r="M208" i="90"/>
  <c r="L208" i="90"/>
  <c r="K208" i="90"/>
  <c r="J208" i="90"/>
  <c r="I208" i="90"/>
  <c r="H208" i="90"/>
  <c r="G208" i="90"/>
  <c r="F208" i="90"/>
  <c r="E208" i="90"/>
  <c r="D208" i="90"/>
  <c r="C208" i="90"/>
  <c r="B208" i="90"/>
  <c r="V200" i="90"/>
  <c r="U200" i="90"/>
  <c r="T200" i="90"/>
  <c r="S200" i="90"/>
  <c r="R200" i="90"/>
  <c r="Q200" i="90"/>
  <c r="P200" i="90"/>
  <c r="O200" i="90"/>
  <c r="N200" i="90"/>
  <c r="M200" i="90"/>
  <c r="L200" i="90"/>
  <c r="K200" i="90"/>
  <c r="J200" i="90"/>
  <c r="I200" i="90"/>
  <c r="H200" i="90"/>
  <c r="G200" i="90"/>
  <c r="F200" i="90"/>
  <c r="E200" i="90"/>
  <c r="D200" i="90"/>
  <c r="C200" i="90"/>
  <c r="B200" i="90"/>
  <c r="V199" i="90"/>
  <c r="U199" i="90"/>
  <c r="T199" i="90"/>
  <c r="S199" i="90"/>
  <c r="R199" i="90"/>
  <c r="Q199" i="90"/>
  <c r="P199" i="90"/>
  <c r="O199" i="90"/>
  <c r="N199" i="90"/>
  <c r="M199" i="90"/>
  <c r="L199" i="90"/>
  <c r="K199" i="90"/>
  <c r="J199" i="90"/>
  <c r="I199" i="90"/>
  <c r="H199" i="90"/>
  <c r="G199" i="90"/>
  <c r="F199" i="90"/>
  <c r="E199" i="90"/>
  <c r="D199" i="90"/>
  <c r="C199" i="90"/>
  <c r="B199" i="90"/>
  <c r="V198" i="90"/>
  <c r="U198" i="90"/>
  <c r="T198" i="90"/>
  <c r="S198" i="90"/>
  <c r="R198" i="90"/>
  <c r="Q198" i="90"/>
  <c r="P198" i="90"/>
  <c r="O198" i="90"/>
  <c r="N198" i="90"/>
  <c r="M198" i="90"/>
  <c r="L198" i="90"/>
  <c r="K198" i="90"/>
  <c r="J198" i="90"/>
  <c r="I198" i="90"/>
  <c r="H198" i="90"/>
  <c r="G198" i="90"/>
  <c r="F198" i="90"/>
  <c r="E198" i="90"/>
  <c r="D198" i="90"/>
  <c r="C198" i="90"/>
  <c r="B198" i="90"/>
  <c r="V197" i="90"/>
  <c r="U197" i="90"/>
  <c r="T197" i="90"/>
  <c r="S197" i="90"/>
  <c r="R197" i="90"/>
  <c r="Q197" i="90"/>
  <c r="P197" i="90"/>
  <c r="O197" i="90"/>
  <c r="N197" i="90"/>
  <c r="M197" i="90"/>
  <c r="L197" i="90"/>
  <c r="K197" i="90"/>
  <c r="J197" i="90"/>
  <c r="I197" i="90"/>
  <c r="H197" i="90"/>
  <c r="G197" i="90"/>
  <c r="F197" i="90"/>
  <c r="E197" i="90"/>
  <c r="D197" i="90"/>
  <c r="C197" i="90"/>
  <c r="B197" i="90"/>
  <c r="E201" i="90" l="1"/>
  <c r="E202" i="90"/>
  <c r="E203" i="90"/>
  <c r="E204" i="90"/>
  <c r="I201" i="90"/>
  <c r="I203" i="90"/>
  <c r="I204" i="90"/>
  <c r="I202" i="90"/>
  <c r="M202" i="90"/>
  <c r="M203" i="90"/>
  <c r="M204" i="90"/>
  <c r="M201" i="90"/>
  <c r="Q201" i="90"/>
  <c r="Q202" i="90"/>
  <c r="Q204" i="90"/>
  <c r="Q203" i="90"/>
  <c r="U201" i="90"/>
  <c r="U202" i="90"/>
  <c r="U203" i="90"/>
  <c r="U204" i="90"/>
  <c r="C212" i="90"/>
  <c r="C213" i="90"/>
  <c r="C214" i="90"/>
  <c r="C215" i="90"/>
  <c r="G212" i="90"/>
  <c r="G213" i="90"/>
  <c r="G214" i="90"/>
  <c r="G215" i="90"/>
  <c r="K212" i="90"/>
  <c r="K213" i="90"/>
  <c r="K214" i="90"/>
  <c r="K215" i="90"/>
  <c r="O212" i="90"/>
  <c r="O213" i="90"/>
  <c r="O214" i="90"/>
  <c r="O215" i="90"/>
  <c r="S212" i="90"/>
  <c r="S213" i="90"/>
  <c r="S214" i="90"/>
  <c r="S215" i="90"/>
  <c r="B204" i="90"/>
  <c r="B202" i="90"/>
  <c r="B203" i="90"/>
  <c r="B201" i="90"/>
  <c r="F201" i="90"/>
  <c r="F202" i="90"/>
  <c r="F203" i="90"/>
  <c r="F204" i="90"/>
  <c r="J201" i="90"/>
  <c r="J202" i="90"/>
  <c r="J203" i="90"/>
  <c r="J204" i="90"/>
  <c r="N204" i="90"/>
  <c r="N202" i="90"/>
  <c r="N203" i="90"/>
  <c r="N201" i="90"/>
  <c r="R203" i="90"/>
  <c r="R204" i="90"/>
  <c r="R201" i="90"/>
  <c r="R202" i="90"/>
  <c r="V202" i="90"/>
  <c r="V203" i="90"/>
  <c r="V201" i="90"/>
  <c r="V204" i="90"/>
  <c r="D212" i="90"/>
  <c r="D213" i="90"/>
  <c r="D214" i="90"/>
  <c r="D215" i="90"/>
  <c r="H212" i="90"/>
  <c r="H213" i="90"/>
  <c r="H214" i="90"/>
  <c r="H215" i="90"/>
  <c r="L212" i="90"/>
  <c r="L213" i="90"/>
  <c r="L214" i="90"/>
  <c r="L215" i="90"/>
  <c r="P212" i="90"/>
  <c r="P213" i="90"/>
  <c r="P214" i="90"/>
  <c r="P215" i="90"/>
  <c r="T212" i="90"/>
  <c r="T213" i="90"/>
  <c r="T214" i="90"/>
  <c r="T215" i="90"/>
  <c r="C201" i="90"/>
  <c r="C202" i="90"/>
  <c r="C203" i="90"/>
  <c r="C204" i="90"/>
  <c r="G201" i="90"/>
  <c r="G202" i="90"/>
  <c r="G203" i="90"/>
  <c r="G204" i="90"/>
  <c r="K201" i="90"/>
  <c r="K202" i="90"/>
  <c r="K203" i="90"/>
  <c r="K204" i="90"/>
  <c r="O201" i="90"/>
  <c r="O202" i="90"/>
  <c r="O203" i="90"/>
  <c r="O204" i="90"/>
  <c r="S201" i="90"/>
  <c r="S202" i="90"/>
  <c r="S203" i="90"/>
  <c r="S204" i="90"/>
  <c r="E212" i="90"/>
  <c r="E213" i="90"/>
  <c r="E214" i="90"/>
  <c r="E215" i="90"/>
  <c r="I213" i="90"/>
  <c r="I214" i="90"/>
  <c r="I215" i="90"/>
  <c r="I212" i="90"/>
  <c r="M212" i="90"/>
  <c r="M213" i="90"/>
  <c r="M214" i="90"/>
  <c r="M215" i="90"/>
  <c r="Q213" i="90"/>
  <c r="Q214" i="90"/>
  <c r="Q215" i="90"/>
  <c r="Q212" i="90"/>
  <c r="U213" i="90"/>
  <c r="U214" i="90"/>
  <c r="U215" i="90"/>
  <c r="U212" i="90"/>
  <c r="D204" i="90"/>
  <c r="D201" i="90"/>
  <c r="D202" i="90"/>
  <c r="D203" i="90"/>
  <c r="H203" i="90"/>
  <c r="H204" i="90"/>
  <c r="H201" i="90"/>
  <c r="H202" i="90"/>
  <c r="L201" i="90"/>
  <c r="L202" i="90"/>
  <c r="L203" i="90"/>
  <c r="L204" i="90"/>
  <c r="P203" i="90"/>
  <c r="P204" i="90"/>
  <c r="P201" i="90"/>
  <c r="P202" i="90"/>
  <c r="T204" i="90"/>
  <c r="T201" i="90"/>
  <c r="T202" i="90"/>
  <c r="T203" i="90"/>
  <c r="B215" i="90"/>
  <c r="B214" i="90"/>
  <c r="B213" i="90"/>
  <c r="B212" i="90"/>
  <c r="F212" i="90"/>
  <c r="F213" i="90"/>
  <c r="F214" i="90"/>
  <c r="F215" i="90"/>
  <c r="J214" i="90"/>
  <c r="J215" i="90"/>
  <c r="J212" i="90"/>
  <c r="J213" i="90"/>
  <c r="N213" i="90"/>
  <c r="N212" i="90"/>
  <c r="N214" i="90"/>
  <c r="N215" i="90"/>
  <c r="R213" i="90"/>
  <c r="R214" i="90"/>
  <c r="R215" i="90"/>
  <c r="R212" i="90"/>
  <c r="V215" i="90"/>
  <c r="V212" i="90"/>
  <c r="V213" i="90"/>
  <c r="V214" i="90"/>
</calcChain>
</file>

<file path=xl/sharedStrings.xml><?xml version="1.0" encoding="utf-8"?>
<sst xmlns="http://schemas.openxmlformats.org/spreadsheetml/2006/main" count="2893" uniqueCount="87">
  <si>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</si>
  <si>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</si>
  <si>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</si>
  <si>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</si>
  <si>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</si>
  <si>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</si>
  <si>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</si>
  <si>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</si>
  <si>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</si>
  <si>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</si>
  <si>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</si>
  <si>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</si>
  <si>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</si>
  <si>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</si>
  <si>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</si>
  <si>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</si>
  <si>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</si>
  <si>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</si>
  <si>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</si>
  <si>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</si>
  <si>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</si>
  <si>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</si>
  <si>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</si>
  <si>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</si>
  <si>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</si>
  <si>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</si>
  <si>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</si>
  <si>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</si>
  <si>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</si>
  <si>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</si>
  <si>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</si>
  <si>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</si>
  <si>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</si>
  <si>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</si>
  <si>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</si>
  <si>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</si>
  <si>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</si>
  <si>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</si>
  <si>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</si>
  <si>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</si>
  <si>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</si>
  <si>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</si>
  <si>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</si>
  <si>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</si>
  <si>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</si>
  <si>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</si>
  <si>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</si>
  <si>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</si>
  <si>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</si>
  <si>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</si>
  <si>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</si>
  <si>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</si>
  <si>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</si>
  <si>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</si>
  <si>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</si>
  <si>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</si>
  <si>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</si>
  <si>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</si>
  <si>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</si>
  <si>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</si>
  <si>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</si>
  <si>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</si>
  <si>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</si>
  <si>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</si>
  <si>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</si>
  <si>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</si>
  <si>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</si>
  <si>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</si>
  <si>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FS 0 Vertical</t>
  </si>
  <si>
    <t>FS 0 InclinedSteep</t>
  </si>
  <si>
    <t>FS 1 Vertical</t>
  </si>
  <si>
    <t>FS 1 InclinedSteep</t>
  </si>
  <si>
    <t>Displacement sense</t>
  </si>
  <si>
    <t>Clear zone volume</t>
  </si>
  <si>
    <t>NotActivated</t>
  </si>
  <si>
    <t>LeftLateral</t>
  </si>
  <si>
    <t>Normal</t>
  </si>
  <si>
    <t>RightLateral</t>
  </si>
  <si>
    <t>Growing</t>
  </si>
  <si>
    <t>ResidualActivity</t>
  </si>
  <si>
    <t>Deactivated</t>
  </si>
  <si>
    <t>OutOfBounds</t>
  </si>
  <si>
    <t>Start Points</t>
  </si>
  <si>
    <t>End Points</t>
  </si>
  <si>
    <t>StressShadow</t>
  </si>
  <si>
    <t>Tip type</t>
  </si>
  <si>
    <t>Terminating fracture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</si>
</sst>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Implicit_Fracs!$AG$4:$AG$137</c:f>
              <c:numCache>
                <c:formatCode>General</c:formatCode>
                <c:ptCount val="134"/>
                <c:pt idx="0">
                  <c:v>0</c:v>
                </c:pt>
                <c:pt idx="1">
                  <c:v>6.3661977236734698E-3</c:v>
                </c:pt>
                <c:pt idx="2">
                  <c:v>1.2599568937745401E-2</c:v>
                </c:pt>
                <c:pt idx="3">
                  <c:v>1.8766109418438499E-2</c:v>
                </c:pt>
                <c:pt idx="4">
                  <c:v>2.4865115600737502E-2</c:v>
                </c:pt>
                <c:pt idx="5">
                  <c:v>3.08959730181135E-2</c:v>
                </c:pt>
                <c:pt idx="6">
                  <c:v>3.6858109280409099E-2</c:v>
                </c:pt>
                <c:pt idx="7">
                  <c:v>4.27509684291223E-2</c:v>
                </c:pt>
                <c:pt idx="8">
                  <c:v>4.8573996802699401E-2</c:v>
                </c:pt>
                <c:pt idx="9">
                  <c:v>5.4326636006775703E-2</c:v>
                </c:pt>
                <c:pt idx="10">
                  <c:v>6.0008319801393997E-2</c:v>
                </c:pt>
                <c:pt idx="11">
                  <c:v>6.5618472942918699E-2</c:v>
                </c:pt>
                <c:pt idx="12">
                  <c:v>7.1156510903821898E-2</c:v>
                </c:pt>
                <c:pt idx="13">
                  <c:v>7.66218399273106E-2</c:v>
                </c:pt>
                <c:pt idx="14">
                  <c:v>8.2013857164437598E-2</c:v>
                </c:pt>
                <c:pt idx="15">
                  <c:v>8.7331950788683096E-2</c:v>
                </c:pt>
                <c:pt idx="16">
                  <c:v>9.2575500052168594E-2</c:v>
                </c:pt>
                <c:pt idx="17">
                  <c:v>9.7743875278012496E-2</c:v>
                </c:pt>
                <c:pt idx="18">
                  <c:v>0.10283643779441699</c:v>
                </c:pt>
                <c:pt idx="19">
                  <c:v>0.10785253981892</c:v>
                </c:pt>
                <c:pt idx="20">
                  <c:v>0.112791524300778</c:v>
                </c:pt>
                <c:pt idx="21">
                  <c:v>0.11765272472782499</c:v>
                </c:pt>
                <c:pt idx="22">
                  <c:v>0.122435464902465</c:v>
                </c:pt>
                <c:pt idx="23">
                  <c:v>0.127139058689969</c:v>
                </c:pt>
                <c:pt idx="24">
                  <c:v>0.131762809741165</c:v>
                </c:pt>
                <c:pt idx="25">
                  <c:v>0.13630597344230799</c:v>
                </c:pt>
                <c:pt idx="26">
                  <c:v>0.14076775283912801</c:v>
                </c:pt>
                <c:pt idx="27">
                  <c:v>0.14514733183884801</c:v>
                </c:pt>
                <c:pt idx="28">
                  <c:v>0.149443874612711</c:v>
                </c:pt>
                <c:pt idx="29">
                  <c:v>0.15365652495853899</c:v>
                </c:pt>
                <c:pt idx="30">
                  <c:v>0.157784405622238</c:v>
                </c:pt>
                <c:pt idx="31">
                  <c:v>0.16182661757691699</c:v>
                </c:pt>
                <c:pt idx="32">
                  <c:v>0.165782239257771</c:v>
                </c:pt>
                <c:pt idx="33">
                  <c:v>0.16965032575084801</c:v>
                </c:pt>
                <c:pt idx="34">
                  <c:v>0.17342990793336199</c:v>
                </c:pt>
                <c:pt idx="35">
                  <c:v>0.177119991562942</c:v>
                </c:pt>
                <c:pt idx="36">
                  <c:v>0.18071955631294401</c:v>
                </c:pt>
                <c:pt idx="37">
                  <c:v>0.18422755475059599</c:v>
                </c:pt>
                <c:pt idx="38">
                  <c:v>0.187642911254501</c:v>
                </c:pt>
                <c:pt idx="39">
                  <c:v>0.19096452086746299</c:v>
                </c:pt>
                <c:pt idx="40">
                  <c:v>0.194191248080505</c:v>
                </c:pt>
                <c:pt idx="41">
                  <c:v>0.197321925543263</c:v>
                </c:pt>
                <c:pt idx="42">
                  <c:v>0.20035535269568999</c:v>
                </c:pt>
                <c:pt idx="43">
                  <c:v>0.20329029431536</c:v>
                </c:pt>
                <c:pt idx="44">
                  <c:v>0.20612547897429401</c:v>
                </c:pt>
                <c:pt idx="45">
                  <c:v>0.20885959739847701</c:v>
                </c:pt>
                <c:pt idx="46">
                  <c:v>0.21149130072265401</c:v>
                </c:pt>
                <c:pt idx="47">
                  <c:v>0.21401919863232099</c:v>
                </c:pt>
                <c:pt idx="48">
                  <c:v>0.216441857383978</c:v>
                </c:pt>
                <c:pt idx="49">
                  <c:v>0.21875779769382001</c:v>
                </c:pt>
                <c:pt idx="50">
                  <c:v>0.22096549248412001</c:v>
                </c:pt>
                <c:pt idx="51">
                  <c:v>0.22306336447540601</c:v>
                </c:pt>
                <c:pt idx="52">
                  <c:v>0.22504978361137901</c:v>
                </c:pt>
                <c:pt idx="53">
                  <c:v>0.22692306430210901</c:v>
                </c:pt>
                <c:pt idx="54">
                  <c:v>0.22868146246948301</c:v>
                </c:pt>
                <c:pt idx="55">
                  <c:v>0.23032317237736399</c:v>
                </c:pt>
                <c:pt idx="56">
                  <c:v>0.231846323226684</c:v>
                </c:pt>
                <c:pt idx="57">
                  <c:v>0.23324897549378301</c:v>
                </c:pt>
                <c:pt idx="58">
                  <c:v>0.23452911698777101</c:v>
                </c:pt>
                <c:pt idx="59">
                  <c:v>0.23568465859983201</c:v>
                </c:pt>
                <c:pt idx="60">
                  <c:v>0.236713429714383</c:v>
                </c:pt>
                <c:pt idx="61">
                  <c:v>0.23761317324828399</c:v>
                </c:pt>
                <c:pt idx="62">
                  <c:v>0.238381540280348</c:v>
                </c:pt>
                <c:pt idx="63">
                  <c:v>0.23901608422860399</c:v>
                </c:pt>
                <c:pt idx="64">
                  <c:v>0.239514254527572</c:v>
                </c:pt>
                <c:pt idx="65">
                  <c:v>0.23987338975154299</c:v>
                </c:pt>
                <c:pt idx="66">
                  <c:v>0.24009071012295599</c:v>
                </c:pt>
                <c:pt idx="67">
                  <c:v>0.24016330933671901</c:v>
                </c:pt>
                <c:pt idx="68">
                  <c:v>0.240088145621983</c:v>
                </c:pt>
                <c:pt idx="69">
                  <c:v>0.239862031951946</c:v>
                </c:pt>
                <c:pt idx="70">
                  <c:v>0.23948162529956299</c:v>
                </c:pt>
                <c:pt idx="71">
                  <c:v>0.238943414822196</c:v>
                </c:pt>
                <c:pt idx="72">
                  <c:v>0.238243708840919</c:v>
                </c:pt>
                <c:pt idx="73">
                  <c:v>0.23737862045971</c:v>
                </c:pt>
                <c:pt idx="74">
                  <c:v>0.23634405164576799</c:v>
                </c:pt>
                <c:pt idx="75">
                  <c:v>0.235135675563657</c:v>
                </c:pt>
                <c:pt idx="76">
                  <c:v>0.233748916922175</c:v>
                </c:pt>
                <c:pt idx="77">
                  <c:v>0.23217893005245299</c:v>
                </c:pt>
                <c:pt idx="78">
                  <c:v>0.23042057438751701</c:v>
                </c:pt>
                <c:pt idx="79">
                  <c:v>0.228468386955342</c:v>
                </c:pt>
                <c:pt idx="80">
                  <c:v>0.22631655142736101</c:v>
                </c:pt>
                <c:pt idx="81">
                  <c:v>0.22395886317907901</c:v>
                </c:pt>
                <c:pt idx="82">
                  <c:v>0.22138868971578499</c:v>
                </c:pt>
                <c:pt idx="83">
                  <c:v>0.21859892568898601</c:v>
                </c:pt>
                <c:pt idx="84">
                  <c:v>0.21558194157291499</c:v>
                </c:pt>
                <c:pt idx="85">
                  <c:v>0.212329524876362</c:v>
                </c:pt>
                <c:pt idx="86">
                  <c:v>0.20883281252444499</c:v>
                </c:pt>
                <c:pt idx="87">
                  <c:v>0.205082212743461</c:v>
                </c:pt>
                <c:pt idx="88">
                  <c:v>0.20106731440329201</c:v>
                </c:pt>
                <c:pt idx="89">
                  <c:v>0.19677678129337201</c:v>
                </c:pt>
                <c:pt idx="90">
                  <c:v>0.19219822820108601</c:v>
                </c:pt>
                <c:pt idx="91">
                  <c:v>0.187318074887801</c:v>
                </c:pt>
                <c:pt idx="92">
                  <c:v>0.18212137306894199</c:v>
                </c:pt>
                <c:pt idx="93">
                  <c:v>0.17659160023981099</c:v>
                </c:pt>
                <c:pt idx="94">
                  <c:v>0.17071041257459099</c:v>
                </c:pt>
                <c:pt idx="95">
                  <c:v>0.16445734708260301</c:v>
                </c:pt>
                <c:pt idx="96">
                  <c:v>0.157809460665015</c:v>
                </c:pt>
                <c:pt idx="97">
                  <c:v>0.15074089067931901</c:v>
                </c:pt>
                <c:pt idx="98">
                  <c:v>0.14322231829892099</c:v>
                </c:pt>
                <c:pt idx="99">
                  <c:v>0.135220313133631</c:v>
                </c:pt>
                <c:pt idx="100">
                  <c:v>0.12669653750359799</c:v>
                </c:pt>
                <c:pt idx="101">
                  <c:v>0.117606797471955</c:v>
                </c:pt>
                <c:pt idx="102">
                  <c:v>0.10789996120688899</c:v>
                </c:pt>
                <c:pt idx="103">
                  <c:v>9.7516866493181503E-2</c:v>
                </c:pt>
                <c:pt idx="104">
                  <c:v>8.6389629049324707E-2</c:v>
                </c:pt>
                <c:pt idx="105">
                  <c:v>7.4442602182332396E-2</c:v>
                </c:pt>
                <c:pt idx="106">
                  <c:v>6.1598793365267697E-2</c:v>
                </c:pt>
                <c:pt idx="107">
                  <c:v>4.7804011103883902E-2</c:v>
                </c:pt>
                <c:pt idx="108">
                  <c:v>3.3112561662359603E-2</c:v>
                </c:pt>
                <c:pt idx="109">
                  <c:v>1.8013490366793401E-2</c:v>
                </c:pt>
                <c:pt idx="110">
                  <c:v>4.7836865142382003E-3</c:v>
                </c:pt>
                <c:pt idx="111">
                  <c:v>1.6138969096281199E-4</c:v>
                </c:pt>
                <c:pt idx="112" formatCode="0.00E+00">
                  <c:v>4.3144322754554398E-5</c:v>
                </c:pt>
                <c:pt idx="113" formatCode="0.00E+00">
                  <c:v>1.1367419481601E-5</c:v>
                </c:pt>
                <c:pt idx="114" formatCode="0.00E+00">
                  <c:v>2.9829204342019302E-6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Implicit_Fracs!$AH$4:$AH$137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 formatCode="0.00E+00">
                  <c:v>9.9482880569191004E-5</c:v>
                </c:pt>
                <c:pt idx="3">
                  <c:v>2.65572970347813E-4</c:v>
                </c:pt>
                <c:pt idx="4">
                  <c:v>4.9889476597569904E-4</c:v>
                </c:pt>
                <c:pt idx="5">
                  <c:v>8.0004527350954399E-4</c:v>
                </c:pt>
                <c:pt idx="6">
                  <c:v>1.1695906630367901E-3</c:v>
                </c:pt>
                <c:pt idx="7">
                  <c:v>1.60808262418489E-3</c:v>
                </c:pt>
                <c:pt idx="8">
                  <c:v>2.1160703820698999E-3</c:v>
                </c:pt>
                <c:pt idx="9">
                  <c:v>2.6941073250291302E-3</c:v>
                </c:pt>
                <c:pt idx="10">
                  <c:v>3.3427541417730801E-3</c:v>
                </c:pt>
                <c:pt idx="11">
                  <c:v>4.0625800829216302E-3</c:v>
                </c:pt>
                <c:pt idx="12">
                  <c:v>4.8541633333797499E-3</c:v>
                </c:pt>
                <c:pt idx="13">
                  <c:v>5.7180910220617897E-3</c:v>
                </c:pt>
                <c:pt idx="14">
                  <c:v>6.6549591244887902E-3</c:v>
                </c:pt>
                <c:pt idx="15">
                  <c:v>7.6653723701936302E-3</c:v>
                </c:pt>
                <c:pt idx="16">
                  <c:v>8.7499441964499006E-3</c:v>
                </c:pt>
                <c:pt idx="17">
                  <c:v>9.9092967581542596E-3</c:v>
                </c:pt>
                <c:pt idx="18">
                  <c:v>1.11440609910203E-2</c:v>
                </c:pt>
                <c:pt idx="19">
                  <c:v>1.2454876721388701E-2</c:v>
                </c:pt>
                <c:pt idx="20">
                  <c:v>1.38423928158121E-2</c:v>
                </c:pt>
                <c:pt idx="21">
                  <c:v>1.53072673647183E-2</c:v>
                </c:pt>
                <c:pt idx="22">
                  <c:v>1.6850167895870499E-2</c:v>
                </c:pt>
                <c:pt idx="23">
                  <c:v>1.8471771614630001E-2</c:v>
                </c:pt>
                <c:pt idx="24">
                  <c:v>2.01727656691091E-2</c:v>
                </c:pt>
                <c:pt idx="25">
                  <c:v>2.1953884276790198E-2</c:v>
                </c:pt>
                <c:pt idx="26">
                  <c:v>2.3815912810213301E-2</c:v>
                </c:pt>
                <c:pt idx="27">
                  <c:v>2.57596554354E-2</c:v>
                </c:pt>
                <c:pt idx="28">
                  <c:v>2.7785935683853201E-2</c:v>
                </c:pt>
                <c:pt idx="29">
                  <c:v>2.98955970643279E-2</c:v>
                </c:pt>
                <c:pt idx="30">
                  <c:v>3.2089503715186797E-2</c:v>
                </c:pt>
                <c:pt idx="31">
                  <c:v>3.4368541098539103E-2</c:v>
                </c:pt>
                <c:pt idx="32">
                  <c:v>3.6733616737588903E-2</c:v>
                </c:pt>
                <c:pt idx="33">
                  <c:v>3.9185660999040098E-2</c:v>
                </c:pt>
                <c:pt idx="34">
                  <c:v>4.1725627922636697E-2</c:v>
                </c:pt>
                <c:pt idx="35">
                  <c:v>4.4354496100225203E-2</c:v>
                </c:pt>
                <c:pt idx="36">
                  <c:v>4.7073269607034299E-2</c:v>
                </c:pt>
                <c:pt idx="37">
                  <c:v>4.9882978988176299E-2</c:v>
                </c:pt>
                <c:pt idx="38">
                  <c:v>5.2784682303737E-2</c:v>
                </c:pt>
                <c:pt idx="39">
                  <c:v>5.5779466236056299E-2</c:v>
                </c:pt>
                <c:pt idx="40">
                  <c:v>5.8868447263327899E-2</c:v>
                </c:pt>
                <c:pt idx="41">
                  <c:v>6.2052772903894902E-2</c:v>
                </c:pt>
                <c:pt idx="42">
                  <c:v>6.5333623036148494E-2</c:v>
                </c:pt>
                <c:pt idx="43">
                  <c:v>6.8712211299311404E-2</c:v>
                </c:pt>
                <c:pt idx="44">
                  <c:v>7.2189786581021403E-2</c:v>
                </c:pt>
                <c:pt idx="45">
                  <c:v>7.5767634598062295E-2</c:v>
                </c:pt>
                <c:pt idx="46">
                  <c:v>7.9447079577216903E-2</c:v>
                </c:pt>
                <c:pt idx="47">
                  <c:v>8.3229486043999296E-2</c:v>
                </c:pt>
                <c:pt idx="48">
                  <c:v>8.7116260727647901E-2</c:v>
                </c:pt>
                <c:pt idx="49">
                  <c:v>9.1108854591644403E-2</c:v>
                </c:pt>
                <c:pt idx="50">
                  <c:v>9.5208764999924506E-2</c:v>
                </c:pt>
                <c:pt idx="51">
                  <c:v>9.9417538029965696E-2</c:v>
                </c:pt>
                <c:pt idx="52">
                  <c:v>0.103736770945099</c:v>
                </c:pt>
                <c:pt idx="53">
                  <c:v>0.108168114839666</c:v>
                </c:pt>
                <c:pt idx="54">
                  <c:v>0.11271327747185</c:v>
                </c:pt>
                <c:pt idx="55">
                  <c:v>0.117374026301151</c:v>
                </c:pt>
                <c:pt idx="56">
                  <c:v>0.122152191748544</c:v>
                </c:pt>
                <c:pt idx="57">
                  <c:v>0.12704967069986001</c:v>
                </c:pt>
                <c:pt idx="58">
                  <c:v>0.13206843027520801</c:v>
                </c:pt>
                <c:pt idx="59">
                  <c:v>0.13721051188942399</c:v>
                </c:pt>
                <c:pt idx="60">
                  <c:v>0.142478035631938</c:v>
                </c:pt>
                <c:pt idx="61">
                  <c:v>0.14787320499727299</c:v>
                </c:pt>
                <c:pt idx="62">
                  <c:v>0.153398312001605</c:v>
                </c:pt>
                <c:pt idx="63">
                  <c:v>0.15905574272461501</c:v>
                </c:pt>
                <c:pt idx="64">
                  <c:v>0.16484798332124101</c:v>
                </c:pt>
                <c:pt idx="65">
                  <c:v>0.17077762655289999</c:v>
                </c:pt>
                <c:pt idx="66">
                  <c:v>0.17684737889494301</c:v>
                </c:pt>
                <c:pt idx="67">
                  <c:v>0.18306006828370899</c:v>
                </c:pt>
                <c:pt idx="68">
                  <c:v>0.189418652575641</c:v>
                </c:pt>
                <c:pt idx="69">
                  <c:v>0.195926228800582</c:v>
                </c:pt>
                <c:pt idx="70">
                  <c:v>0.20258604330254701</c:v>
                </c:pt>
                <c:pt idx="71">
                  <c:v>0.209401502875255</c:v>
                </c:pt>
                <c:pt idx="72">
                  <c:v>0.21637618701425701</c:v>
                </c:pt>
                <c:pt idx="73">
                  <c:v>0.223513861426826</c:v>
                </c:pt>
                <c:pt idx="74">
                  <c:v>0.23081849296113399</c:v>
                </c:pt>
                <c:pt idx="75">
                  <c:v>0.23829426614198301</c:v>
                </c:pt>
                <c:pt idx="76">
                  <c:v>0.24594560152998299</c:v>
                </c:pt>
                <c:pt idx="77">
                  <c:v>0.25377717615637502</c:v>
                </c:pt>
                <c:pt idx="78">
                  <c:v>0.26179394632765901</c:v>
                </c:pt>
                <c:pt idx="79">
                  <c:v>0.27000117314479899</c:v>
                </c:pt>
                <c:pt idx="80">
                  <c:v>0.27840445114153101</c:v>
                </c:pt>
                <c:pt idx="81">
                  <c:v>0.28700974051953998</c:v>
                </c:pt>
                <c:pt idx="82">
                  <c:v>0.29582340354553299</c:v>
                </c:pt>
                <c:pt idx="83">
                  <c:v>0.30485224578236603</c:v>
                </c:pt>
                <c:pt idx="84">
                  <c:v>0.31410356295540898</c:v>
                </c:pt>
                <c:pt idx="85">
                  <c:v>0.32358519441517603</c:v>
                </c:pt>
                <c:pt idx="86">
                  <c:v>0.33330558435097801</c:v>
                </c:pt>
                <c:pt idx="87">
                  <c:v>0.34327385215058098</c:v>
                </c:pt>
                <c:pt idx="88">
                  <c:v>0.35349987359638702</c:v>
                </c:pt>
                <c:pt idx="89">
                  <c:v>0.36399437495396197</c:v>
                </c:pt>
                <c:pt idx="90">
                  <c:v>0.37476904245956399</c:v>
                </c:pt>
                <c:pt idx="91">
                  <c:v>0.38583665026865699</c:v>
                </c:pt>
                <c:pt idx="92">
                  <c:v>0.39721121060637699</c:v>
                </c:pt>
                <c:pt idx="93">
                  <c:v>0.40890815067967101</c:v>
                </c:pt>
                <c:pt idx="94">
                  <c:v>0.42094452187159997</c:v>
                </c:pt>
                <c:pt idx="95">
                  <c:v>0.43333924780636901</c:v>
                </c:pt>
                <c:pt idx="96">
                  <c:v>0.44611341892995399</c:v>
                </c:pt>
                <c:pt idx="97">
                  <c:v>0.459290641974401</c:v>
                </c:pt>
                <c:pt idx="98">
                  <c:v>0.472897452302252</c:v>
                </c:pt>
                <c:pt idx="99">
                  <c:v>0.48696379388965699</c:v>
                </c:pt>
                <c:pt idx="100">
                  <c:v>0.50152356152432298</c:v>
                </c:pt>
                <c:pt idx="101">
                  <c:v>0.51661517310882399</c:v>
                </c:pt>
                <c:pt idx="102">
                  <c:v>0.53228207374902403</c:v>
                </c:pt>
                <c:pt idx="103">
                  <c:v>0.54857290972341499</c:v>
                </c:pt>
                <c:pt idx="104">
                  <c:v>0.56554069597768497</c:v>
                </c:pt>
                <c:pt idx="105">
                  <c:v>0.58323919913311495</c:v>
                </c:pt>
                <c:pt idx="106">
                  <c:v>0.60171161820562902</c:v>
                </c:pt>
                <c:pt idx="107">
                  <c:v>0.62095682623211201</c:v>
                </c:pt>
                <c:pt idx="108">
                  <c:v>0.64082393863213405</c:v>
                </c:pt>
                <c:pt idx="109">
                  <c:v>0.66064883587310796</c:v>
                </c:pt>
                <c:pt idx="110">
                  <c:v>0.67792579629323901</c:v>
                </c:pt>
                <c:pt idx="111">
                  <c:v>0.68254809311651499</c:v>
                </c:pt>
                <c:pt idx="112">
                  <c:v>0.68563142307812697</c:v>
                </c:pt>
                <c:pt idx="113">
                  <c:v>0.68869872609621297</c:v>
                </c:pt>
                <c:pt idx="114">
                  <c:v>0.69175868860797696</c:v>
                </c:pt>
                <c:pt idx="115">
                  <c:v>0.69176167152841195</c:v>
                </c:pt>
                <c:pt idx="116">
                  <c:v>0.69176167152841195</c:v>
                </c:pt>
                <c:pt idx="117">
                  <c:v>0.69176167152841195</c:v>
                </c:pt>
                <c:pt idx="118">
                  <c:v>0.69176167152841195</c:v>
                </c:pt>
                <c:pt idx="119">
                  <c:v>0.69176167152841195</c:v>
                </c:pt>
                <c:pt idx="120">
                  <c:v>0.69176167152841195</c:v>
                </c:pt>
                <c:pt idx="121">
                  <c:v>0.69176167152841195</c:v>
                </c:pt>
                <c:pt idx="122">
                  <c:v>0.69176167152841195</c:v>
                </c:pt>
                <c:pt idx="123">
                  <c:v>0.69176167152841195</c:v>
                </c:pt>
                <c:pt idx="124">
                  <c:v>0.69176167152841195</c:v>
                </c:pt>
                <c:pt idx="125">
                  <c:v>0.69176167152841195</c:v>
                </c:pt>
                <c:pt idx="126">
                  <c:v>0.69176167152841195</c:v>
                </c:pt>
                <c:pt idx="127">
                  <c:v>0.69176167152841195</c:v>
                </c:pt>
                <c:pt idx="128">
                  <c:v>0.69176167152841195</c:v>
                </c:pt>
                <c:pt idx="129">
                  <c:v>0.69176167152841195</c:v>
                </c:pt>
                <c:pt idx="130">
                  <c:v>0.69176167152841195</c:v>
                </c:pt>
                <c:pt idx="131">
                  <c:v>0.69176167152841195</c:v>
                </c:pt>
                <c:pt idx="132">
                  <c:v>0.69176167152841195</c:v>
                </c:pt>
                <c:pt idx="133">
                  <c:v>0.69176167152841195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Implicit_Fracs!$AI$4:$AI$137</c:f>
              <c:numCache>
                <c:formatCode>General</c:formatCode>
                <c:ptCount val="134"/>
                <c:pt idx="0">
                  <c:v>1</c:v>
                </c:pt>
                <c:pt idx="1">
                  <c:v>0.99574674595824098</c:v>
                </c:pt>
                <c:pt idx="2">
                  <c:v>0.98729965355583504</c:v>
                </c:pt>
                <c:pt idx="3">
                  <c:v>0.97819802393214295</c:v>
                </c:pt>
                <c:pt idx="4">
                  <c:v>0.96913416450674705</c:v>
                </c:pt>
                <c:pt idx="5">
                  <c:v>0.96024527809603</c:v>
                </c:pt>
                <c:pt idx="6">
                  <c:v>0.951531153905534</c:v>
                </c:pt>
                <c:pt idx="7">
                  <c:v>0.94296244006615604</c:v>
                </c:pt>
                <c:pt idx="8">
                  <c:v>0.93450988126974099</c:v>
                </c:pt>
                <c:pt idx="9">
                  <c:v>0.92615074801596298</c:v>
                </c:pt>
                <c:pt idx="10">
                  <c:v>0.91786881190616398</c:v>
                </c:pt>
                <c:pt idx="11">
                  <c:v>0.909652869283884</c:v>
                </c:pt>
                <c:pt idx="12">
                  <c:v>0.90149527088048098</c:v>
                </c:pt>
                <c:pt idx="13">
                  <c:v>0.89339079047080106</c:v>
                </c:pt>
                <c:pt idx="14">
                  <c:v>0.88533583111993197</c:v>
                </c:pt>
                <c:pt idx="15">
                  <c:v>0.87732789032131897</c:v>
                </c:pt>
                <c:pt idx="16">
                  <c:v>0.86936520565386799</c:v>
                </c:pt>
                <c:pt idx="17">
                  <c:v>0.86144652100589503</c:v>
                </c:pt>
                <c:pt idx="18">
                  <c:v>0.85357093176095999</c:v>
                </c:pt>
                <c:pt idx="19">
                  <c:v>0.84573778134821198</c:v>
                </c:pt>
                <c:pt idx="20">
                  <c:v>0.83794659124411497</c:v>
                </c:pt>
                <c:pt idx="21">
                  <c:v>0.83019701290113901</c:v>
                </c:pt>
                <c:pt idx="22">
                  <c:v>0.82248879419606902</c:v>
                </c:pt>
                <c:pt idx="23">
                  <c:v>0.81482175561591597</c:v>
                </c:pt>
                <c:pt idx="24">
                  <c:v>0.80717797982621897</c:v>
                </c:pt>
                <c:pt idx="25">
                  <c:v>0.79954127083962001</c:v>
                </c:pt>
                <c:pt idx="26">
                  <c:v>0.79191283479638497</c:v>
                </c:pt>
                <c:pt idx="27">
                  <c:v>0.78429376061650302</c:v>
                </c:pt>
                <c:pt idx="28">
                  <c:v>0.77668503706155401</c:v>
                </c:pt>
                <c:pt idx="29">
                  <c:v>0.76908756686346103</c:v>
                </c:pt>
                <c:pt idx="30">
                  <c:v>0.761502178507109</c:v>
                </c:pt>
                <c:pt idx="31">
                  <c:v>0.75392963612123198</c:v>
                </c:pt>
                <c:pt idx="32">
                  <c:v>0.74637064783287199</c:v>
                </c:pt>
                <c:pt idx="33">
                  <c:v>0.73882587286506096</c:v>
                </c:pt>
                <c:pt idx="34">
                  <c:v>0.73129592760002404</c:v>
                </c:pt>
                <c:pt idx="35">
                  <c:v>0.72378139078574899</c:v>
                </c:pt>
                <c:pt idx="36">
                  <c:v>0.71628280802920696</c:v>
                </c:pt>
                <c:pt idx="37">
                  <c:v>0.70880069569243098</c:v>
                </c:pt>
                <c:pt idx="38">
                  <c:v>0.70133554428622802</c:v>
                </c:pt>
                <c:pt idx="39">
                  <c:v>0.69388782143956995</c:v>
                </c:pt>
                <c:pt idx="40">
                  <c:v>0.68645797450874502</c:v>
                </c:pt>
                <c:pt idx="41">
                  <c:v>0.67904643287977196</c:v>
                </c:pt>
                <c:pt idx="42">
                  <c:v>0.67165361000852597</c:v>
                </c:pt>
                <c:pt idx="43">
                  <c:v>0.66427990523599001</c:v>
                </c:pt>
                <c:pt idx="44">
                  <c:v>0.65692570540995598</c:v>
                </c:pt>
                <c:pt idx="45">
                  <c:v>0.64959138633989999</c:v>
                </c:pt>
                <c:pt idx="46">
                  <c:v>0.64227731410776501</c:v>
                </c:pt>
                <c:pt idx="47">
                  <c:v>0.63498384625385296</c:v>
                </c:pt>
                <c:pt idx="48">
                  <c:v>0.62771133285458502</c:v>
                </c:pt>
                <c:pt idx="49">
                  <c:v>0.62046011750644003</c:v>
                </c:pt>
                <c:pt idx="50">
                  <c:v>0.61323053822857099</c:v>
                </c:pt>
                <c:pt idx="51">
                  <c:v>0.60602292829497795</c:v>
                </c:pt>
                <c:pt idx="52">
                  <c:v>0.598837617005755</c:v>
                </c:pt>
                <c:pt idx="53">
                  <c:v>0.59167493040584596</c:v>
                </c:pt>
                <c:pt idx="54">
                  <c:v>0.58453519195911696</c:v>
                </c:pt>
                <c:pt idx="55">
                  <c:v>0.57741872318395604</c:v>
                </c:pt>
                <c:pt idx="56">
                  <c:v>0.57032584425710697</c:v>
                </c:pt>
                <c:pt idx="57">
                  <c:v>0.56325687459116403</c:v>
                </c:pt>
                <c:pt idx="58">
                  <c:v>0.55621213339077202</c:v>
                </c:pt>
                <c:pt idx="59">
                  <c:v>0.549191940192857</c:v>
                </c:pt>
                <c:pt idx="60">
                  <c:v>0.542196615395244</c:v>
                </c:pt>
                <c:pt idx="61">
                  <c:v>0.53522648077862001</c:v>
                </c:pt>
                <c:pt idx="62">
                  <c:v>0.52828186002604105</c:v>
                </c:pt>
                <c:pt idx="63">
                  <c:v>0.52136307924491798</c:v>
                </c:pt>
                <c:pt idx="64">
                  <c:v>0.514470467495865</c:v>
                </c:pt>
                <c:pt idx="65">
                  <c:v>0.50760435733380505</c:v>
                </c:pt>
                <c:pt idx="66">
                  <c:v>0.50076508536611397</c:v>
                </c:pt>
                <c:pt idx="67">
                  <c:v>0.493952992833952</c:v>
                </c:pt>
                <c:pt idx="68">
                  <c:v>0.48716842622281498</c:v>
                </c:pt>
                <c:pt idx="69">
                  <c:v>0.48041173790932501</c:v>
                </c:pt>
                <c:pt idx="70">
                  <c:v>0.47368328685245997</c:v>
                </c:pt>
                <c:pt idx="71">
                  <c:v>0.466983439337819</c:v>
                </c:pt>
                <c:pt idx="72">
                  <c:v>0.46031256978594998</c:v>
                </c:pt>
                <c:pt idx="73">
                  <c:v>0.45367106163632798</c:v>
                </c:pt>
                <c:pt idx="74">
                  <c:v>0.44705930832171598</c:v>
                </c:pt>
                <c:pt idx="75">
                  <c:v>0.44047771434965799</c:v>
                </c:pt>
                <c:pt idx="76">
                  <c:v>0.43392669651132398</c:v>
                </c:pt>
                <c:pt idx="77">
                  <c:v>0.42740668524192799</c:v>
                </c:pt>
                <c:pt idx="78">
                  <c:v>0.42091812616213098</c:v>
                </c:pt>
                <c:pt idx="79">
                  <c:v>0.41446148183589199</c:v>
                </c:pt>
                <c:pt idx="80">
                  <c:v>0.408037233788767</c:v>
                </c:pt>
                <c:pt idx="81">
                  <c:v>0.40164588484034103</c:v>
                </c:pt>
                <c:pt idx="82">
                  <c:v>0.39528796181805897</c:v>
                </c:pt>
                <c:pt idx="83">
                  <c:v>0.38896401873613201</c:v>
                </c:pt>
                <c:pt idx="84">
                  <c:v>0.38267464054573702</c:v>
                </c:pt>
                <c:pt idx="85">
                  <c:v>0.37642044759072602</c:v>
                </c:pt>
                <c:pt idx="86">
                  <c:v>0.370202100941811</c:v>
                </c:pt>
                <c:pt idx="87">
                  <c:v>0.36402030883263897</c:v>
                </c:pt>
                <c:pt idx="88">
                  <c:v>0.357875834489852</c:v>
                </c:pt>
                <c:pt idx="89">
                  <c:v>0.35176950574277599</c:v>
                </c:pt>
                <c:pt idx="90">
                  <c:v>0.34570222692785502</c:v>
                </c:pt>
                <c:pt idx="91">
                  <c:v>0.339674993784013</c:v>
                </c:pt>
                <c:pt idx="92">
                  <c:v>0.33368891229235398</c:v>
                </c:pt>
                <c:pt idx="93">
                  <c:v>0.32774522278444301</c:v>
                </c:pt>
                <c:pt idx="94">
                  <c:v>0.321845331187534</c:v>
                </c:pt>
                <c:pt idx="95">
                  <c:v>0.31599085008830702</c:v>
                </c:pt>
                <c:pt idx="96">
                  <c:v>0.31018365353615202</c:v>
                </c:pt>
                <c:pt idx="97">
                  <c:v>0.30442595144069101</c:v>
                </c:pt>
                <c:pt idx="98">
                  <c:v>0.29872039250908899</c:v>
                </c:pt>
                <c:pt idx="99">
                  <c:v>0.29307020974959702</c:v>
                </c:pt>
                <c:pt idx="100">
                  <c:v>0.28747943117978503</c:v>
                </c:pt>
                <c:pt idx="101">
                  <c:v>0.281953193493853</c:v>
                </c:pt>
                <c:pt idx="102">
                  <c:v>0.27649822402769803</c:v>
                </c:pt>
                <c:pt idx="103">
                  <c:v>0.27112360895987497</c:v>
                </c:pt>
                <c:pt idx="104">
                  <c:v>0.265842071033285</c:v>
                </c:pt>
                <c:pt idx="105">
                  <c:v>0.26067220267955898</c:v>
                </c:pt>
                <c:pt idx="106">
                  <c:v>0.25564259689873597</c:v>
                </c:pt>
                <c:pt idx="107">
                  <c:v>0.25079996868872301</c:v>
                </c:pt>
                <c:pt idx="108">
                  <c:v>0.246225881782352</c:v>
                </c:pt>
                <c:pt idx="109">
                  <c:v>0.24206839184176601</c:v>
                </c:pt>
                <c:pt idx="110">
                  <c:v>0.238520135246545</c:v>
                </c:pt>
                <c:pt idx="111">
                  <c:v>0.238520135246545</c:v>
                </c:pt>
                <c:pt idx="112">
                  <c:v>0.235924303235023</c:v>
                </c:pt>
                <c:pt idx="113">
                  <c:v>0.233276813921036</c:v>
                </c:pt>
                <c:pt idx="114">
                  <c:v>0.230625220014227</c:v>
                </c:pt>
                <c:pt idx="115">
                  <c:v>0.230625220014227</c:v>
                </c:pt>
                <c:pt idx="116">
                  <c:v>0.230625220014227</c:v>
                </c:pt>
                <c:pt idx="117">
                  <c:v>0.22885858483730101</c:v>
                </c:pt>
                <c:pt idx="118">
                  <c:v>0.13534496087173101</c:v>
                </c:pt>
                <c:pt idx="119">
                  <c:v>0.124279706196102</c:v>
                </c:pt>
                <c:pt idx="120">
                  <c:v>0.113486427324359</c:v>
                </c:pt>
                <c:pt idx="121">
                  <c:v>0.102998593929718</c:v>
                </c:pt>
                <c:pt idx="122">
                  <c:v>9.2853456337673404E-2</c:v>
                </c:pt>
                <c:pt idx="123">
                  <c:v>8.3094736701816302E-2</c:v>
                </c:pt>
                <c:pt idx="124">
                  <c:v>7.3776389146558194E-2</c:v>
                </c:pt>
                <c:pt idx="125">
                  <c:v>6.4969684086808296E-2</c:v>
                </c:pt>
                <c:pt idx="126">
                  <c:v>5.6778510342793402E-2</c:v>
                </c:pt>
                <c:pt idx="127">
                  <c:v>4.9375305236804598E-2</c:v>
                </c:pt>
                <c:pt idx="128">
                  <c:v>4.3079848301518398E-2</c:v>
                </c:pt>
                <c:pt idx="129">
                  <c:v>3.8266387850900203E-2</c:v>
                </c:pt>
                <c:pt idx="130">
                  <c:v>3.8266387850900203E-2</c:v>
                </c:pt>
                <c:pt idx="131">
                  <c:v>3.8266387850900203E-2</c:v>
                </c:pt>
                <c:pt idx="132">
                  <c:v>3.8266387850900203E-2</c:v>
                </c:pt>
                <c:pt idx="133">
                  <c:v>3.8266387850900203E-2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Implicit_Fracs!$AD$4:$AD$137</c:f>
              <c:numCache>
                <c:formatCode>General</c:formatCode>
                <c:ptCount val="134"/>
                <c:pt idx="0">
                  <c:v>1.6E-2</c:v>
                </c:pt>
                <c:pt idx="1">
                  <c:v>1.7043262471541198E-2</c:v>
                </c:pt>
                <c:pt idx="2">
                  <c:v>1.7004279738140601E-2</c:v>
                </c:pt>
                <c:pt idx="3">
                  <c:v>1.6907070050108702E-2</c:v>
                </c:pt>
                <c:pt idx="4">
                  <c:v>1.67854633459057E-2</c:v>
                </c:pt>
                <c:pt idx="5">
                  <c:v>1.66503251730367E-2</c:v>
                </c:pt>
                <c:pt idx="6">
                  <c:v>1.6506583689152799E-2</c:v>
                </c:pt>
                <c:pt idx="7">
                  <c:v>1.63569057174263E-2</c:v>
                </c:pt>
                <c:pt idx="8">
                  <c:v>1.6202901711252798E-2</c:v>
                </c:pt>
                <c:pt idx="9">
                  <c:v>1.60456206780159E-2</c:v>
                </c:pt>
                <c:pt idx="10">
                  <c:v>1.5885785225080301E-2</c:v>
                </c:pt>
                <c:pt idx="11">
                  <c:v>1.5723915180274502E-2</c:v>
                </c:pt>
                <c:pt idx="12">
                  <c:v>1.5560397742862501E-2</c:v>
                </c:pt>
                <c:pt idx="13">
                  <c:v>1.53955297144388E-2</c:v>
                </c:pt>
                <c:pt idx="14">
                  <c:v>1.5229544157969E-2</c:v>
                </c:pt>
                <c:pt idx="15">
                  <c:v>1.50626278991351E-2</c:v>
                </c:pt>
                <c:pt idx="16">
                  <c:v>1.48949334011936E-2</c:v>
                </c:pt>
                <c:pt idx="17">
                  <c:v>1.47265870529721E-2</c:v>
                </c:pt>
                <c:pt idx="18">
                  <c:v>1.45576950967394E-2</c:v>
                </c:pt>
                <c:pt idx="19">
                  <c:v>1.43883479598132E-2</c:v>
                </c:pt>
                <c:pt idx="20">
                  <c:v>1.4218623480129099E-2</c:v>
                </c:pt>
                <c:pt idx="21">
                  <c:v>1.40485893488513E-2</c:v>
                </c:pt>
                <c:pt idx="22">
                  <c:v>1.3878304988040401E-2</c:v>
                </c:pt>
                <c:pt idx="23">
                  <c:v>1.3707823013635699E-2</c:v>
                </c:pt>
                <c:pt idx="24">
                  <c:v>1.35371903893009E-2</c:v>
                </c:pt>
                <c:pt idx="25">
                  <c:v>1.33664454741483E-2</c:v>
                </c:pt>
                <c:pt idx="26">
                  <c:v>1.3195619108591501E-2</c:v>
                </c:pt>
                <c:pt idx="27">
                  <c:v>1.30247390003548E-2</c:v>
                </c:pt>
                <c:pt idx="28">
                  <c:v>1.28538301841841E-2</c:v>
                </c:pt>
                <c:pt idx="29">
                  <c:v>1.26829154015722E-2</c:v>
                </c:pt>
                <c:pt idx="30">
                  <c:v>1.2512015416716499E-2</c:v>
                </c:pt>
                <c:pt idx="31">
                  <c:v>1.2341149281210001E-2</c:v>
                </c:pt>
                <c:pt idx="32">
                  <c:v>1.21703345572106E-2</c:v>
                </c:pt>
                <c:pt idx="33">
                  <c:v>1.1999587506730899E-2</c:v>
                </c:pt>
                <c:pt idx="34">
                  <c:v>1.18289232531077E-2</c:v>
                </c:pt>
                <c:pt idx="35">
                  <c:v>1.16583559194824E-2</c:v>
                </c:pt>
                <c:pt idx="36">
                  <c:v>1.1487898748178E-2</c:v>
                </c:pt>
                <c:pt idx="37">
                  <c:v>1.1317564204116301E-2</c:v>
                </c:pt>
                <c:pt idx="38">
                  <c:v>1.1147364064830899E-2</c:v>
                </c:pt>
                <c:pt idx="39">
                  <c:v>1.0977309499180399E-2</c:v>
                </c:pt>
                <c:pt idx="40">
                  <c:v>1.08074111364845E-2</c:v>
                </c:pt>
                <c:pt idx="41">
                  <c:v>1.0637679127518699E-2</c:v>
                </c:pt>
                <c:pt idx="42">
                  <c:v>1.04681231985607E-2</c:v>
                </c:pt>
                <c:pt idx="43">
                  <c:v>1.02987526994892E-2</c:v>
                </c:pt>
                <c:pt idx="44">
                  <c:v>1.01295766467739E-2</c:v>
                </c:pt>
                <c:pt idx="45">
                  <c:v>9.9606037620713992E-3</c:v>
                </c:pt>
                <c:pt idx="46">
                  <c:v>9.7918425070331605E-3</c:v>
                </c:pt>
                <c:pt idx="47">
                  <c:v>9.6233011148406499E-3</c:v>
                </c:pt>
                <c:pt idx="48">
                  <c:v>9.4549876189134602E-3</c:v>
                </c:pt>
                <c:pt idx="49">
                  <c:v>9.2869098791745694E-3</c:v>
                </c:pt>
                <c:pt idx="50">
                  <c:v>9.11907560620644E-3</c:v>
                </c:pt>
                <c:pt idx="51">
                  <c:v>8.9514923835899499E-3</c:v>
                </c:pt>
                <c:pt idx="52">
                  <c:v>8.7841676886823098E-3</c:v>
                </c:pt>
                <c:pt idx="53">
                  <c:v>8.6171089120610795E-3</c:v>
                </c:pt>
                <c:pt idx="54">
                  <c:v>8.4503233758451493E-3</c:v>
                </c:pt>
                <c:pt idx="55">
                  <c:v>8.2838183510635308E-3</c:v>
                </c:pt>
                <c:pt idx="56">
                  <c:v>8.1176010742539904E-3</c:v>
                </c:pt>
                <c:pt idx="57">
                  <c:v>7.9516787634418308E-3</c:v>
                </c:pt>
                <c:pt idx="58">
                  <c:v>7.7860586336408501E-3</c:v>
                </c:pt>
                <c:pt idx="59">
                  <c:v>7.6207479120240004E-3</c:v>
                </c:pt>
                <c:pt idx="60">
                  <c:v>7.4557538528908004E-3</c:v>
                </c:pt>
                <c:pt idx="61">
                  <c:v>7.2910837525715401E-3</c:v>
                </c:pt>
                <c:pt idx="62">
                  <c:v>7.1267449643941799E-3</c:v>
                </c:pt>
                <c:pt idx="63">
                  <c:v>6.9627449138573898E-3</c:v>
                </c:pt>
                <c:pt idx="64">
                  <c:v>6.7990911141437797E-3</c:v>
                </c:pt>
                <c:pt idx="65">
                  <c:v>6.6357911821344597E-3</c:v>
                </c:pt>
                <c:pt idx="66">
                  <c:v>6.4728528550748003E-3</c:v>
                </c:pt>
                <c:pt idx="67">
                  <c:v>6.3102840080794097E-3</c:v>
                </c:pt>
                <c:pt idx="68">
                  <c:v>6.1480926726668796E-3</c:v>
                </c:pt>
                <c:pt idx="69">
                  <c:v>5.9862870565456604E-3</c:v>
                </c:pt>
                <c:pt idx="70">
                  <c:v>5.8248755649087797E-3</c:v>
                </c:pt>
                <c:pt idx="71">
                  <c:v>5.6638668235153601E-3</c:v>
                </c:pt>
                <c:pt idx="72">
                  <c:v>5.5032697039069699E-3</c:v>
                </c:pt>
                <c:pt idx="73">
                  <c:v>5.3430933511358298E-3</c:v>
                </c:pt>
                <c:pt idx="74">
                  <c:v>5.1833472144751404E-3</c:v>
                </c:pt>
                <c:pt idx="75">
                  <c:v>5.0240410816538104E-3</c:v>
                </c:pt>
                <c:pt idx="76">
                  <c:v>4.86518511726774E-3</c:v>
                </c:pt>
                <c:pt idx="77">
                  <c:v>4.70678990615168E-3</c:v>
                </c:pt>
                <c:pt idx="78">
                  <c:v>4.5488665026625699E-3</c:v>
                </c:pt>
                <c:pt idx="79">
                  <c:v>4.39142648702539E-3</c:v>
                </c:pt>
                <c:pt idx="80">
                  <c:v>4.2344820301652699E-3</c:v>
                </c:pt>
                <c:pt idx="81">
                  <c:v>4.0780459687698896E-3</c:v>
                </c:pt>
                <c:pt idx="82">
                  <c:v>3.9221318927633404E-3</c:v>
                </c:pt>
                <c:pt idx="83">
                  <c:v>3.7667542479108201E-3</c:v>
                </c:pt>
                <c:pt idx="84">
                  <c:v>3.61192845700319E-3</c:v>
                </c:pt>
                <c:pt idx="85">
                  <c:v>3.4576710639880699E-3</c:v>
                </c:pt>
                <c:pt idx="86">
                  <c:v>3.3039999066731001E-3</c:v>
                </c:pt>
                <c:pt idx="87">
                  <c:v>3.1509343252771301E-3</c:v>
                </c:pt>
                <c:pt idx="88">
                  <c:v>2.9984954163486798E-3</c:v>
                </c:pt>
                <c:pt idx="89">
                  <c:v>2.84670634463441E-3</c:v>
                </c:pt>
                <c:pt idx="90">
                  <c:v>2.69559272972368E-3</c:v>
                </c:pt>
                <c:pt idx="91">
                  <c:v>2.5451831302431799E-3</c:v>
                </c:pt>
                <c:pt idx="92">
                  <c:v>2.39550965684171E-3</c:v>
                </c:pt>
                <c:pt idx="93">
                  <c:v>2.2466087574437199E-3</c:v>
                </c:pt>
                <c:pt idx="94">
                  <c:v>2.0985222362566599E-3</c:v>
                </c:pt>
                <c:pt idx="95">
                  <c:v>1.95129859502482E-3</c:v>
                </c:pt>
                <c:pt idx="96">
                  <c:v>1.8049948263561899E-3</c:v>
                </c:pt>
                <c:pt idx="97">
                  <c:v>1.65967885375139E-3</c:v>
                </c:pt>
                <c:pt idx="98">
                  <c:v>1.5154329171690401E-3</c:v>
                </c:pt>
                <c:pt idx="99">
                  <c:v>1.3723583755120201E-3</c:v>
                </c:pt>
                <c:pt idx="100">
                  <c:v>1.2305826925739301E-3</c:v>
                </c:pt>
                <c:pt idx="101">
                  <c:v>1.09026989703377E-3</c:v>
                </c:pt>
                <c:pt idx="102">
                  <c:v>9.5163677780583499E-4</c:v>
                </c:pt>
                <c:pt idx="103">
                  <c:v>8.1497896436869899E-4</c:v>
                </c:pt>
                <c:pt idx="104">
                  <c:v>6.80714929825864E-4</c:v>
                </c:pt>
                <c:pt idx="105">
                  <c:v>5.4946451023637404E-4</c:v>
                </c:pt>
                <c:pt idx="106">
                  <c:v>4.2219888387401297E-4</c:v>
                </c:pt>
                <c:pt idx="107">
                  <c:v>3.0055190115342502E-4</c:v>
                </c:pt>
                <c:pt idx="108">
                  <c:v>1.8753424772643301E-4</c:v>
                </c:pt>
                <c:pt idx="109" formatCode="0.00E+00">
                  <c:v>8.9352568898703097E-5</c:v>
                </c:pt>
                <c:pt idx="110" formatCode="0.00E+00">
                  <c:v>2.0017249854489002E-5</c:v>
                </c:pt>
                <c:pt idx="111" formatCode="0.00E+00">
                  <c:v>3.7475727969789599E-6</c:v>
                </c:pt>
                <c:pt idx="112" formatCode="0.00E+00">
                  <c:v>1.00001832276116E-6</c:v>
                </c:pt>
                <c:pt idx="113" formatCode="0.00E+00">
                  <c:v>2.6569930251486301E-7</c:v>
                </c:pt>
                <c:pt idx="114" formatCode="0.00E+00">
                  <c:v>7.034817610344E-8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Implicit_Fracs!$AE$4:$AE$137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1.78445968682379E-4</c:v>
                </c:pt>
                <c:pt idx="3">
                  <c:v>3.57884680670851E-4</c:v>
                </c:pt>
                <c:pt idx="4">
                  <c:v>5.3795034806725702E-4</c:v>
                </c:pt>
                <c:pt idx="5">
                  <c:v>7.1843697428171697E-4</c:v>
                </c:pt>
                <c:pt idx="6">
                  <c:v>8.9920334461290202E-4</c:v>
                </c:pt>
                <c:pt idx="7">
                  <c:v>1.0801483087859E-3</c:v>
                </c:pt>
                <c:pt idx="8">
                  <c:v>1.26119752710944E-3</c:v>
                </c:pt>
                <c:pt idx="9">
                  <c:v>1.4422948989052499E-3</c:v>
                </c:pt>
                <c:pt idx="10">
                  <c:v>1.6233968526080599E-3</c:v>
                </c:pt>
                <c:pt idx="11">
                  <c:v>1.8044685326998901E-3</c:v>
                </c:pt>
                <c:pt idx="12">
                  <c:v>1.9854812462893499E-3</c:v>
                </c:pt>
                <c:pt idx="13">
                  <c:v>2.1664107402117301E-3</c:v>
                </c:pt>
                <c:pt idx="14">
                  <c:v>2.3472360242390699E-3</c:v>
                </c:pt>
                <c:pt idx="15">
                  <c:v>2.5279385545531798E-3</c:v>
                </c:pt>
                <c:pt idx="16">
                  <c:v>2.7085016568583501E-3</c:v>
                </c:pt>
                <c:pt idx="17">
                  <c:v>2.8889101108677401E-3</c:v>
                </c:pt>
                <c:pt idx="18">
                  <c:v>3.0691498451071199E-3</c:v>
                </c:pt>
                <c:pt idx="19">
                  <c:v>3.2492077084206599E-3</c:v>
                </c:pt>
                <c:pt idx="20">
                  <c:v>3.4290712957715098E-3</c:v>
                </c:pt>
                <c:pt idx="21">
                  <c:v>3.6087288131803402E-3</c:v>
                </c:pt>
                <c:pt idx="22">
                  <c:v>3.7881689713835901E-3</c:v>
                </c:pt>
                <c:pt idx="23">
                  <c:v>3.9673809009295501E-3</c:v>
                </c:pt>
                <c:pt idx="24">
                  <c:v>4.14635408353868E-3</c:v>
                </c:pt>
                <c:pt idx="25">
                  <c:v>4.3250819913377E-3</c:v>
                </c:pt>
                <c:pt idx="26">
                  <c:v>4.5035617369100899E-3</c:v>
                </c:pt>
                <c:pt idx="27">
                  <c:v>4.6817904312809102E-3</c:v>
                </c:pt>
                <c:pt idx="28">
                  <c:v>4.8597651780911402E-3</c:v>
                </c:pt>
                <c:pt idx="29">
                  <c:v>5.0374830684696203E-3</c:v>
                </c:pt>
                <c:pt idx="30">
                  <c:v>5.21494117646225E-3</c:v>
                </c:pt>
                <c:pt idx="31">
                  <c:v>5.3921365549107203E-3</c:v>
                </c:pt>
                <c:pt idx="32">
                  <c:v>5.5690662316865399E-3</c:v>
                </c:pt>
                <c:pt idx="33">
                  <c:v>5.7457272062135497E-3</c:v>
                </c:pt>
                <c:pt idx="34">
                  <c:v>5.9221164462186001E-3</c:v>
                </c:pt>
                <c:pt idx="35">
                  <c:v>6.09823088466199E-3</c:v>
                </c:pt>
                <c:pt idx="36">
                  <c:v>6.2740674168069504E-3</c:v>
                </c:pt>
                <c:pt idx="37">
                  <c:v>6.4496228973942296E-3</c:v>
                </c:pt>
                <c:pt idx="38">
                  <c:v>6.6248941378943401E-3</c:v>
                </c:pt>
                <c:pt idx="39">
                  <c:v>6.79987790380713E-3</c:v>
                </c:pt>
                <c:pt idx="40">
                  <c:v>6.9745709119913898E-3</c:v>
                </c:pt>
                <c:pt idx="41">
                  <c:v>7.14896982800015E-3</c:v>
                </c:pt>
                <c:pt idx="42">
                  <c:v>7.3230712634054004E-3</c:v>
                </c:pt>
                <c:pt idx="43">
                  <c:v>7.4968717730919199E-3</c:v>
                </c:pt>
                <c:pt idx="44">
                  <c:v>7.6703678525078499E-3</c:v>
                </c:pt>
                <c:pt idx="45">
                  <c:v>7.8435559348529992E-3</c:v>
                </c:pt>
                <c:pt idx="46">
                  <c:v>8.0164323881875901E-3</c:v>
                </c:pt>
                <c:pt idx="47">
                  <c:v>8.1889935124492396E-3</c:v>
                </c:pt>
                <c:pt idx="48">
                  <c:v>8.36123553635954E-3</c:v>
                </c:pt>
                <c:pt idx="49">
                  <c:v>8.5331546142037897E-3</c:v>
                </c:pt>
                <c:pt idx="50">
                  <c:v>8.70474682246619E-3</c:v>
                </c:pt>
                <c:pt idx="51">
                  <c:v>8.8760081563012492E-3</c:v>
                </c:pt>
                <c:pt idx="52">
                  <c:v>9.0469345258221492E-3</c:v>
                </c:pt>
                <c:pt idx="53">
                  <c:v>9.2175217521848502E-3</c:v>
                </c:pt>
                <c:pt idx="54">
                  <c:v>9.3877655634368104E-3</c:v>
                </c:pt>
                <c:pt idx="55">
                  <c:v>9.5576615901178906E-3</c:v>
                </c:pt>
                <c:pt idx="56">
                  <c:v>9.7272053605700903E-3</c:v>
                </c:pt>
                <c:pt idx="57">
                  <c:v>9.8963922959291305E-3</c:v>
                </c:pt>
                <c:pt idx="58">
                  <c:v>1.00652177047656E-2</c:v>
                </c:pt>
                <c:pt idx="59">
                  <c:v>1.02336767773261E-2</c:v>
                </c:pt>
                <c:pt idx="60">
                  <c:v>1.0401764579335599E-2</c:v>
                </c:pt>
                <c:pt idx="61">
                  <c:v>1.05694760453013E-2</c:v>
                </c:pt>
                <c:pt idx="62">
                  <c:v>1.0736805971265801E-2</c:v>
                </c:pt>
                <c:pt idx="63">
                  <c:v>1.0903749006933101E-2</c:v>
                </c:pt>
                <c:pt idx="64">
                  <c:v>1.10702996470973E-2</c:v>
                </c:pt>
                <c:pt idx="65">
                  <c:v>1.1236452222273799E-2</c:v>
                </c:pt>
                <c:pt idx="66">
                  <c:v>1.1402200888438199E-2</c:v>
                </c:pt>
                <c:pt idx="67">
                  <c:v>1.15675396157445E-2</c:v>
                </c:pt>
                <c:pt idx="68">
                  <c:v>1.17324621760847E-2</c:v>
                </c:pt>
                <c:pt idx="69">
                  <c:v>1.1896962129328E-2</c:v>
                </c:pt>
                <c:pt idx="70">
                  <c:v>1.20610328080371E-2</c:v>
                </c:pt>
                <c:pt idx="71">
                  <c:v>1.22246673004477E-2</c:v>
                </c:pt>
                <c:pt idx="72">
                  <c:v>1.23878584314273E-2</c:v>
                </c:pt>
                <c:pt idx="73">
                  <c:v>1.25505987411084E-2</c:v>
                </c:pt>
                <c:pt idx="74">
                  <c:v>1.2712880460805801E-2</c:v>
                </c:pt>
                <c:pt idx="75">
                  <c:v>1.28746954857647E-2</c:v>
                </c:pt>
                <c:pt idx="76">
                  <c:v>1.30360353441922E-2</c:v>
                </c:pt>
                <c:pt idx="77">
                  <c:v>1.31968911619052E-2</c:v>
                </c:pt>
                <c:pt idx="78">
                  <c:v>1.33572536217859E-2</c:v>
                </c:pt>
                <c:pt idx="79">
                  <c:v>1.3517112917059799E-2</c:v>
                </c:pt>
                <c:pt idx="80">
                  <c:v>1.3676458697171901E-2</c:v>
                </c:pt>
                <c:pt idx="81">
                  <c:v>1.3835280004759001E-2</c:v>
                </c:pt>
                <c:pt idx="82">
                  <c:v>1.3993565201832901E-2</c:v>
                </c:pt>
                <c:pt idx="83">
                  <c:v>1.4151301882818899E-2</c:v>
                </c:pt>
                <c:pt idx="84">
                  <c:v>1.4308476771454101E-2</c:v>
                </c:pt>
                <c:pt idx="85">
                  <c:v>1.44650755977469E-2</c:v>
                </c:pt>
                <c:pt idx="86">
                  <c:v>1.4621082950093E-2</c:v>
                </c:pt>
                <c:pt idx="87">
                  <c:v>1.47764820961901E-2</c:v>
                </c:pt>
                <c:pt idx="88">
                  <c:v>1.4931254764420599E-2</c:v>
                </c:pt>
                <c:pt idx="89">
                  <c:v>1.5085380874663899E-2</c:v>
                </c:pt>
                <c:pt idx="90">
                  <c:v>1.52388382037542E-2</c:v>
                </c:pt>
                <c:pt idx="91">
                  <c:v>1.53916019655233E-2</c:v>
                </c:pt>
                <c:pt idx="92">
                  <c:v>1.55436442778615E-2</c:v>
                </c:pt>
                <c:pt idx="93">
                  <c:v>1.5694933478336601E-2</c:v>
                </c:pt>
                <c:pt idx="94">
                  <c:v>1.5845433233863199E-2</c:v>
                </c:pt>
                <c:pt idx="95">
                  <c:v>1.59951013657747E-2</c:v>
                </c:pt>
                <c:pt idx="96">
                  <c:v>1.6143888274623298E-2</c:v>
                </c:pt>
                <c:pt idx="97">
                  <c:v>1.6291734790813799E-2</c:v>
                </c:pt>
                <c:pt idx="98">
                  <c:v>1.6438569183299799E-2</c:v>
                </c:pt>
                <c:pt idx="99">
                  <c:v>1.6584302902627301E-2</c:v>
                </c:pt>
                <c:pt idx="100">
                  <c:v>1.67288243669701E-2</c:v>
                </c:pt>
                <c:pt idx="101">
                  <c:v>1.68719896228633E-2</c:v>
                </c:pt>
                <c:pt idx="102">
                  <c:v>1.7013607825324899E-2</c:v>
                </c:pt>
                <c:pt idx="103">
                  <c:v>1.71534177489088E-2</c:v>
                </c:pt>
                <c:pt idx="104">
                  <c:v>1.7291047954988401E-2</c:v>
                </c:pt>
                <c:pt idx="105">
                  <c:v>1.7425945305789399E-2</c:v>
                </c:pt>
                <c:pt idx="106">
                  <c:v>1.7557237529191201E-2</c:v>
                </c:pt>
                <c:pt idx="107">
                  <c:v>1.7683445836862498E-2</c:v>
                </c:pt>
                <c:pt idx="108">
                  <c:v>1.78018207351246E-2</c:v>
                </c:pt>
                <c:pt idx="109">
                  <c:v>1.7906645412462101E-2</c:v>
                </c:pt>
                <c:pt idx="110">
                  <c:v>1.7985161755202199E-2</c:v>
                </c:pt>
                <c:pt idx="111">
                  <c:v>1.8024187211592799E-2</c:v>
                </c:pt>
                <c:pt idx="112">
                  <c:v>1.80956540062919E-2</c:v>
                </c:pt>
                <c:pt idx="113">
                  <c:v>1.81673484021771E-2</c:v>
                </c:pt>
                <c:pt idx="114">
                  <c:v>1.8239513512308601E-2</c:v>
                </c:pt>
                <c:pt idx="115">
                  <c:v>1.8239513512308601E-2</c:v>
                </c:pt>
                <c:pt idx="116">
                  <c:v>1.8239513512308601E-2</c:v>
                </c:pt>
                <c:pt idx="117">
                  <c:v>1.8239513512308601E-2</c:v>
                </c:pt>
                <c:pt idx="118">
                  <c:v>1.8239513512308601E-2</c:v>
                </c:pt>
                <c:pt idx="119">
                  <c:v>1.8239513512308601E-2</c:v>
                </c:pt>
                <c:pt idx="120">
                  <c:v>1.8239513512308601E-2</c:v>
                </c:pt>
                <c:pt idx="121">
                  <c:v>1.8239513512308601E-2</c:v>
                </c:pt>
                <c:pt idx="122">
                  <c:v>1.8239513512308601E-2</c:v>
                </c:pt>
                <c:pt idx="123">
                  <c:v>1.8239513512308601E-2</c:v>
                </c:pt>
                <c:pt idx="124">
                  <c:v>1.8239513512308601E-2</c:v>
                </c:pt>
                <c:pt idx="125">
                  <c:v>1.8239513512308601E-2</c:v>
                </c:pt>
                <c:pt idx="126">
                  <c:v>1.8239513512308601E-2</c:v>
                </c:pt>
                <c:pt idx="127">
                  <c:v>1.8239513512308601E-2</c:v>
                </c:pt>
                <c:pt idx="128">
                  <c:v>1.8239513512308601E-2</c:v>
                </c:pt>
                <c:pt idx="129">
                  <c:v>1.8239513512308601E-2</c:v>
                </c:pt>
                <c:pt idx="130">
                  <c:v>1.8239513512308601E-2</c:v>
                </c:pt>
                <c:pt idx="131">
                  <c:v>1.8239513512308601E-2</c:v>
                </c:pt>
                <c:pt idx="132">
                  <c:v>1.8239513512308601E-2</c:v>
                </c:pt>
                <c:pt idx="133">
                  <c:v>1.8239513512308601E-2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Implicit_Fracs!$AF$4:$AF$137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Implicit_Fracs!$S$4:$S$137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6.21846548772807E-3</c:v>
                </c:pt>
                <c:pt idx="118">
                  <c:v>1.2571382118437001E-2</c:v>
                </c:pt>
                <c:pt idx="119">
                  <c:v>1.6428066316580101E-2</c:v>
                </c:pt>
                <c:pt idx="120">
                  <c:v>1.9482915343112101E-2</c:v>
                </c:pt>
                <c:pt idx="121">
                  <c:v>2.1691136353262402E-2</c:v>
                </c:pt>
                <c:pt idx="122">
                  <c:v>2.30013209492579E-2</c:v>
                </c:pt>
                <c:pt idx="123">
                  <c:v>2.3351330713380899E-2</c:v>
                </c:pt>
                <c:pt idx="124">
                  <c:v>2.26622544035322E-2</c:v>
                </c:pt>
                <c:pt idx="125">
                  <c:v>2.0829071275611101E-2</c:v>
                </c:pt>
                <c:pt idx="126">
                  <c:v>1.7708275043382099E-2</c:v>
                </c:pt>
                <c:pt idx="127">
                  <c:v>1.31184060534983E-2</c:v>
                </c:pt>
                <c:pt idx="128">
                  <c:v>7.0000291490250896E-3</c:v>
                </c:pt>
                <c:pt idx="129">
                  <c:v>9.5141155129202005E-4</c:v>
                </c:pt>
                <c:pt idx="130" formatCode="0.00E+00">
                  <c:v>2.34307385610224E-7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Implicit_Fracs!$T$4:$T$137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2.07538597561557E-3</c:v>
                </c:pt>
                <c:pt idx="120">
                  <c:v>4.9143363235370696E-3</c:v>
                </c:pt>
                <c:pt idx="121">
                  <c:v>8.5516456589653303E-3</c:v>
                </c:pt>
                <c:pt idx="122">
                  <c:v>1.3026217534201801E-2</c:v>
                </c:pt>
                <c:pt idx="123">
                  <c:v>1.83829608837341E-2</c:v>
                </c:pt>
                <c:pt idx="124">
                  <c:v>2.4675406393555602E-2</c:v>
                </c:pt>
                <c:pt idx="125">
                  <c:v>3.1968587753536899E-2</c:v>
                </c:pt>
                <c:pt idx="126">
                  <c:v>4.0337875620429897E-2</c:v>
                </c:pt>
                <c:pt idx="127">
                  <c:v>4.9837606093640199E-2</c:v>
                </c:pt>
                <c:pt idx="128">
                  <c:v>6.0274090433097602E-2</c:v>
                </c:pt>
                <c:pt idx="129">
                  <c:v>6.9722269430422701E-2</c:v>
                </c:pt>
                <c:pt idx="130">
                  <c:v>7.0673446674329093E-2</c:v>
                </c:pt>
                <c:pt idx="131">
                  <c:v>7.0673680981714698E-2</c:v>
                </c:pt>
                <c:pt idx="132">
                  <c:v>7.0673680981714698E-2</c:v>
                </c:pt>
                <c:pt idx="133">
                  <c:v>7.0673680981714698E-2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Implicit_Fracs!$U$4:$U$137</c:f>
              <c:numCache>
                <c:formatCode>General</c:formatCode>
                <c:ptCount val="134"/>
                <c:pt idx="0">
                  <c:v>1</c:v>
                </c:pt>
                <c:pt idx="1">
                  <c:v>1</c:v>
                </c:pt>
                <c:pt idx="2">
                  <c:v>0.99574781728566297</c:v>
                </c:pt>
                <c:pt idx="3">
                  <c:v>0.99080491937855797</c:v>
                </c:pt>
                <c:pt idx="4">
                  <c:v>0.98586333775506596</c:v>
                </c:pt>
                <c:pt idx="5">
                  <c:v>0.98106006597651996</c:v>
                </c:pt>
                <c:pt idx="6">
                  <c:v>0.97639471715130499</c:v>
                </c:pt>
                <c:pt idx="7">
                  <c:v>0.971837780621156</c:v>
                </c:pt>
                <c:pt idx="8">
                  <c:v>0.96735985086634202</c:v>
                </c:pt>
                <c:pt idx="9">
                  <c:v>0.96293805225976403</c:v>
                </c:pt>
                <c:pt idx="10">
                  <c:v>0.95855601224530496</c:v>
                </c:pt>
                <c:pt idx="11">
                  <c:v>0.95420238409824198</c:v>
                </c:pt>
                <c:pt idx="12">
                  <c:v>0.94986937628791401</c:v>
                </c:pt>
                <c:pt idx="13">
                  <c:v>0.94555162111596303</c:v>
                </c:pt>
                <c:pt idx="14">
                  <c:v>0.94124538104942501</c:v>
                </c:pt>
                <c:pt idx="15">
                  <c:v>0.93694801397565497</c:v>
                </c:pt>
                <c:pt idx="16">
                  <c:v>0.93265761897646604</c:v>
                </c:pt>
                <c:pt idx="17">
                  <c:v>0.928372802659297</c:v>
                </c:pt>
                <c:pt idx="18">
                  <c:v>0.92409252443883205</c:v>
                </c:pt>
                <c:pt idx="19">
                  <c:v>0.91981599317318097</c:v>
                </c:pt>
                <c:pt idx="20">
                  <c:v>0.91554259724380005</c:v>
                </c:pt>
                <c:pt idx="21">
                  <c:v>0.91127185655690501</c:v>
                </c:pt>
                <c:pt idx="22">
                  <c:v>0.90700338906074496</c:v>
                </c:pt>
                <c:pt idx="23">
                  <c:v>0.90273688699802201</c:v>
                </c:pt>
                <c:pt idx="24">
                  <c:v>0.89845430653921998</c:v>
                </c:pt>
                <c:pt idx="25">
                  <c:v>0.894139307724924</c:v>
                </c:pt>
                <c:pt idx="26">
                  <c:v>0.88979293358091804</c:v>
                </c:pt>
                <c:pt idx="27">
                  <c:v>0.88541610813254201</c:v>
                </c:pt>
                <c:pt idx="28">
                  <c:v>0.88100965348657401</c:v>
                </c:pt>
                <c:pt idx="29">
                  <c:v>0.876574303976832</c:v>
                </c:pt>
                <c:pt idx="30">
                  <c:v>0.87211071796097395</c:v>
                </c:pt>
                <c:pt idx="31">
                  <c:v>0.86761948772334596</c:v>
                </c:pt>
                <c:pt idx="32">
                  <c:v>0.86310114783946101</c:v>
                </c:pt>
                <c:pt idx="33">
                  <c:v>0.85855618228211705</c:v>
                </c:pt>
                <c:pt idx="34">
                  <c:v>0.85398503049172103</c:v>
                </c:pt>
                <c:pt idx="35">
                  <c:v>0.84938809258887404</c:v>
                </c:pt>
                <c:pt idx="36">
                  <c:v>0.84476573387272802</c:v>
                </c:pt>
                <c:pt idx="37">
                  <c:v>0.84011828872151495</c:v>
                </c:pt>
                <c:pt idx="38">
                  <c:v>0.83544606399022903</c:v>
                </c:pt>
                <c:pt idx="39">
                  <c:v>0.83074934198361505</c:v>
                </c:pt>
                <c:pt idx="40">
                  <c:v>0.82602838306876003</c:v>
                </c:pt>
                <c:pt idx="41">
                  <c:v>0.82128342798092102</c:v>
                </c:pt>
                <c:pt idx="42">
                  <c:v>0.81651469986717895</c:v>
                </c:pt>
                <c:pt idx="43">
                  <c:v>0.81172240610547997</c:v>
                </c:pt>
                <c:pt idx="44">
                  <c:v>0.80690673993056194</c:v>
                </c:pt>
                <c:pt idx="45">
                  <c:v>0.80333049223398001</c:v>
                </c:pt>
                <c:pt idx="46">
                  <c:v>0.797206001178562</c:v>
                </c:pt>
                <c:pt idx="47">
                  <c:v>0.79232125679429599</c:v>
                </c:pt>
                <c:pt idx="48">
                  <c:v>0.78741379865988903</c:v>
                </c:pt>
                <c:pt idx="49">
                  <c:v>0.78248376859715896</c:v>
                </c:pt>
                <c:pt idx="50">
                  <c:v>0.77753130124332104</c:v>
                </c:pt>
                <c:pt idx="51">
                  <c:v>0.783874474558791</c:v>
                </c:pt>
                <c:pt idx="52">
                  <c:v>0.77866496199822199</c:v>
                </c:pt>
                <c:pt idx="53">
                  <c:v>0.77583020281293102</c:v>
                </c:pt>
                <c:pt idx="54">
                  <c:v>0.77145733951478701</c:v>
                </c:pt>
                <c:pt idx="55">
                  <c:v>0.76749072821663999</c:v>
                </c:pt>
                <c:pt idx="56">
                  <c:v>0.76333434847980997</c:v>
                </c:pt>
                <c:pt idx="57">
                  <c:v>0.75918224842272497</c:v>
                </c:pt>
                <c:pt idx="58">
                  <c:v>0.75500807043728302</c:v>
                </c:pt>
                <c:pt idx="59">
                  <c:v>0.75082354584176103</c:v>
                </c:pt>
                <c:pt idx="60">
                  <c:v>0.746632108656753</c:v>
                </c:pt>
                <c:pt idx="61">
                  <c:v>0.74243649547628199</c:v>
                </c:pt>
                <c:pt idx="62">
                  <c:v>0.73823848107060697</c:v>
                </c:pt>
                <c:pt idx="63">
                  <c:v>0.73403924889195105</c:v>
                </c:pt>
                <c:pt idx="64">
                  <c:v>0.72983959274640198</c:v>
                </c:pt>
                <c:pt idx="65">
                  <c:v>0.72564005227519901</c:v>
                </c:pt>
                <c:pt idx="66">
                  <c:v>0.72144100188997995</c:v>
                </c:pt>
                <c:pt idx="67">
                  <c:v>0.71724270908605203</c:v>
                </c:pt>
                <c:pt idx="68">
                  <c:v>0.71304537265933798</c:v>
                </c:pt>
                <c:pt idx="69">
                  <c:v>0.70884914780997099</c:v>
                </c:pt>
                <c:pt idx="70">
                  <c:v>0.70465416272336001</c:v>
                </c:pt>
                <c:pt idx="71">
                  <c:v>0.70046052962733596</c:v>
                </c:pt>
                <c:pt idx="72">
                  <c:v>0.69626835227811601</c:v>
                </c:pt>
                <c:pt idx="73">
                  <c:v>0.69207773114536497</c:v>
                </c:pt>
                <c:pt idx="74">
                  <c:v>0.687888767126143</c:v>
                </c:pt>
                <c:pt idx="75">
                  <c:v>0.68370156433285501</c:v>
                </c:pt>
                <c:pt idx="76">
                  <c:v>0.67951623231796299</c:v>
                </c:pt>
                <c:pt idx="77">
                  <c:v>0.67533288798173297</c:v>
                </c:pt>
                <c:pt idx="78">
                  <c:v>0.67115165733573101</c:v>
                </c:pt>
                <c:pt idx="79">
                  <c:v>0.66697267724919995</c:v>
                </c:pt>
                <c:pt idx="80">
                  <c:v>0.66279609727920297</c:v>
                </c:pt>
                <c:pt idx="81">
                  <c:v>0.65862208167177205</c:v>
                </c:pt>
                <c:pt idx="82">
                  <c:v>0.654450811617868</c:v>
                </c:pt>
                <c:pt idx="83">
                  <c:v>0.65028248785196197</c:v>
                </c:pt>
                <c:pt idx="84">
                  <c:v>0.64611733369295599</c:v>
                </c:pt>
                <c:pt idx="85">
                  <c:v>0.64195559864574603</c:v>
                </c:pt>
                <c:pt idx="86">
                  <c:v>0.63779756271025501</c:v>
                </c:pt>
                <c:pt idx="87">
                  <c:v>0.63364354158374403</c:v>
                </c:pt>
                <c:pt idx="88">
                  <c:v>0.62949389299643799</c:v>
                </c:pt>
                <c:pt idx="89">
                  <c:v>0.62534902449522201</c:v>
                </c:pt>
                <c:pt idx="90">
                  <c:v>0.621209403093963</c:v>
                </c:pt>
                <c:pt idx="91">
                  <c:v>0.61707556735452296</c:v>
                </c:pt>
                <c:pt idx="92">
                  <c:v>0.61294814266912601</c:v>
                </c:pt>
                <c:pt idx="93">
                  <c:v>0.60882786081259299</c:v>
                </c:pt>
                <c:pt idx="94">
                  <c:v>0.604715585269334</c:v>
                </c:pt>
                <c:pt idx="95">
                  <c:v>0.60061234449154399</c:v>
                </c:pt>
                <c:pt idx="96">
                  <c:v>0.59651937623677198</c:v>
                </c:pt>
                <c:pt idx="97">
                  <c:v>0.59243818767813405</c:v>
                </c:pt>
                <c:pt idx="98">
                  <c:v>0.588370638446715</c:v>
                </c:pt>
                <c:pt idx="99">
                  <c:v>0.58431905781402405</c:v>
                </c:pt>
                <c:pt idx="100">
                  <c:v>0.58028641407415205</c:v>
                </c:pt>
                <c:pt idx="101">
                  <c:v>0.57627656619293199</c:v>
                </c:pt>
                <c:pt idx="102">
                  <c:v>0.57229464966857901</c:v>
                </c:pt>
                <c:pt idx="103">
                  <c:v>0.56834769019395304</c:v>
                </c:pt>
                <c:pt idx="104">
                  <c:v>0.56444562196617099</c:v>
                </c:pt>
                <c:pt idx="105">
                  <c:v>0.56060306305225505</c:v>
                </c:pt>
                <c:pt idx="106">
                  <c:v>0.556842590883321</c:v>
                </c:pt>
                <c:pt idx="107">
                  <c:v>0.55320116369859795</c:v>
                </c:pt>
                <c:pt idx="108">
                  <c:v>0.54974330543263406</c:v>
                </c:pt>
                <c:pt idx="109">
                  <c:v>0.54658598309281003</c:v>
                </c:pt>
                <c:pt idx="110">
                  <c:v>0.54388207948870404</c:v>
                </c:pt>
                <c:pt idx="111">
                  <c:v>0.54388207951820999</c:v>
                </c:pt>
                <c:pt idx="112">
                  <c:v>0.54190110772630096</c:v>
                </c:pt>
                <c:pt idx="113">
                  <c:v>0.53987307399415696</c:v>
                </c:pt>
                <c:pt idx="114">
                  <c:v>0.53783431599641096</c:v>
                </c:pt>
                <c:pt idx="115">
                  <c:v>0.53783431601238896</c:v>
                </c:pt>
                <c:pt idx="116">
                  <c:v>0.53783431601238896</c:v>
                </c:pt>
                <c:pt idx="117">
                  <c:v>0.53783431601069998</c:v>
                </c:pt>
                <c:pt idx="118">
                  <c:v>5.7851199778400399E-2</c:v>
                </c:pt>
                <c:pt idx="119">
                  <c:v>5.1099781399245703E-2</c:v>
                </c:pt>
                <c:pt idx="120">
                  <c:v>4.4746379216354798E-2</c:v>
                </c:pt>
                <c:pt idx="121">
                  <c:v>3.8806763069396101E-2</c:v>
                </c:pt>
                <c:pt idx="122">
                  <c:v>3.3296306342964502E-2</c:v>
                </c:pt>
                <c:pt idx="123">
                  <c:v>2.8230702107810701E-2</c:v>
                </c:pt>
                <c:pt idx="124">
                  <c:v>2.3626672985357901E-2</c:v>
                </c:pt>
                <c:pt idx="125">
                  <c:v>1.9503402578054201E-2</c:v>
                </c:pt>
                <c:pt idx="126">
                  <c:v>1.58860159438131E-2</c:v>
                </c:pt>
                <c:pt idx="127">
                  <c:v>1.2814390791277301E-2</c:v>
                </c:pt>
                <c:pt idx="128">
                  <c:v>1.03624623041292E-2</c:v>
                </c:pt>
                <c:pt idx="129">
                  <c:v>8.5925427537150295E-3</c:v>
                </c:pt>
                <c:pt idx="130">
                  <c:v>8.5925427537150295E-3</c:v>
                </c:pt>
                <c:pt idx="131">
                  <c:v>8.5925427537150295E-3</c:v>
                </c:pt>
                <c:pt idx="132">
                  <c:v>8.5925427537150295E-3</c:v>
                </c:pt>
                <c:pt idx="133">
                  <c:v>8.5925427537150295E-3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Implicit_Fracs!$P$4:$P$137</c:f>
              <c:numCache>
                <c:formatCode>General</c:formatCode>
                <c:ptCount val="134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1.6561102357802698E-2</c:v>
                </c:pt>
                <c:pt idx="118">
                  <c:v>1.6638367574049899E-2</c:v>
                </c:pt>
                <c:pt idx="119">
                  <c:v>1.44496676727957E-2</c:v>
                </c:pt>
                <c:pt idx="120">
                  <c:v>1.23601970116547E-2</c:v>
                </c:pt>
                <c:pt idx="121">
                  <c:v>1.03784422475374E-2</c:v>
                </c:pt>
                <c:pt idx="122">
                  <c:v>8.5128309294919807E-3</c:v>
                </c:pt>
                <c:pt idx="123">
                  <c:v>6.7723463489810102E-3</c:v>
                </c:pt>
                <c:pt idx="124">
                  <c:v>5.1671509808340699E-3</c:v>
                </c:pt>
                <c:pt idx="125">
                  <c:v>3.7096800519749698E-3</c:v>
                </c:pt>
                <c:pt idx="126">
                  <c:v>2.4171439440718598E-3</c:v>
                </c:pt>
                <c:pt idx="127">
                  <c:v>1.3182862086674599E-3</c:v>
                </c:pt>
                <c:pt idx="128">
                  <c:v>4.7431972309852698E-4</c:v>
                </c:pt>
                <c:pt idx="129" formatCode="0.00E+00">
                  <c:v>3.39068042946169E-5</c:v>
                </c:pt>
                <c:pt idx="130" formatCode="0.00E+00">
                  <c:v>4.5690235048519099E-8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Implicit_Fracs!$Q$4:$Q$137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2.1932730496252101E-3</c:v>
                </c:pt>
                <c:pt idx="120">
                  <c:v>4.28597071036841E-3</c:v>
                </c:pt>
                <c:pt idx="121">
                  <c:v>6.2701563182472001E-3</c:v>
                </c:pt>
                <c:pt idx="122">
                  <c:v>8.1376744412022008E-3</c:v>
                </c:pt>
                <c:pt idx="123">
                  <c:v>9.8796975158238504E-3</c:v>
                </c:pt>
                <c:pt idx="124">
                  <c:v>1.1486161805047201E-2</c:v>
                </c:pt>
                <c:pt idx="125">
                  <c:v>1.29447003188231E-2</c:v>
                </c:pt>
                <c:pt idx="126">
                  <c:v>1.4238154370380399E-2</c:v>
                </c:pt>
                <c:pt idx="127">
                  <c:v>1.5337825002946601E-2</c:v>
                </c:pt>
                <c:pt idx="128">
                  <c:v>1.61825491199598E-2</c:v>
                </c:pt>
                <c:pt idx="129">
                  <c:v>1.6623802310902401E-2</c:v>
                </c:pt>
                <c:pt idx="130">
                  <c:v>1.6627608620725501E-2</c:v>
                </c:pt>
                <c:pt idx="131">
                  <c:v>1.6627608620725501E-2</c:v>
                </c:pt>
                <c:pt idx="132">
                  <c:v>1.6627608620725501E-2</c:v>
                </c:pt>
                <c:pt idx="133">
                  <c:v>1.6627608620725501E-2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Implicit_Fracs!$R$4:$R$137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Implicit_Fracs!$AU$4:$AU$137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Implicit_Fracs!$AV$4:$AV$137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Implicit_Fracs!$AW$4:$AW$137</c:f>
              <c:numCache>
                <c:formatCode>General</c:formatCode>
                <c:ptCount val="1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Implicit_Fracs!$AR$4:$AR$137</c:f>
              <c:numCache>
                <c:formatCode>General</c:formatCode>
                <c:ptCount val="134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Implicit_Fracs!$AS$4:$AS$137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Implicit_Fracs!$AT$4:$AT$137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Implicit_Fracs!$BI$4:$BI$137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Implicit_Fracs!$BJ$4:$BJ$137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Implicit_Fracs!$BK$4:$BK$137</c:f>
              <c:numCache>
                <c:formatCode>General</c:formatCode>
                <c:ptCount val="1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Implicit_Fracs!$BF$4:$BF$137</c:f>
              <c:numCache>
                <c:formatCode>General</c:formatCode>
                <c:ptCount val="134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Implicit_Fracs!$BG$4:$BG$137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Implicit_Fracs!$BH$4:$BH$137</c:f>
              <c:numCache>
                <c:formatCode>General</c:formatCode>
                <c:ptCount val="1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Implicit_Fracs!$A$200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Implicit_Fracs!$B$196:$V$196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Implicit_Fracs!$B$200:$V$200</c:f>
              <c:numCache>
                <c:formatCode>General</c:formatCode>
                <c:ptCount val="21"/>
                <c:pt idx="0">
                  <c:v>0.76243535251012662</c:v>
                </c:pt>
                <c:pt idx="1">
                  <c:v>0.7623754534602184</c:v>
                </c:pt>
                <c:pt idx="2">
                  <c:v>0.76229443539657604</c:v>
                </c:pt>
                <c:pt idx="3">
                  <c:v>0.76011856346536588</c:v>
                </c:pt>
                <c:pt idx="4">
                  <c:v>0.75578330469535793</c:v>
                </c:pt>
                <c:pt idx="5">
                  <c:v>0.74939168663347488</c:v>
                </c:pt>
                <c:pt idx="6">
                  <c:v>0.74068467485569689</c:v>
                </c:pt>
                <c:pt idx="7">
                  <c:v>0.73005689985034239</c:v>
                </c:pt>
                <c:pt idx="8">
                  <c:v>0.71707429892764463</c:v>
                </c:pt>
                <c:pt idx="9">
                  <c:v>0.70166080057906011</c:v>
                </c:pt>
                <c:pt idx="10">
                  <c:v>0.68321146837083369</c:v>
                </c:pt>
                <c:pt idx="11">
                  <c:v>0.65904337076863351</c:v>
                </c:pt>
                <c:pt idx="12">
                  <c:v>0.63243704241225607</c:v>
                </c:pt>
                <c:pt idx="13">
                  <c:v>0.59370869899456158</c:v>
                </c:pt>
                <c:pt idx="14">
                  <c:v>0.54274768585916877</c:v>
                </c:pt>
                <c:pt idx="15">
                  <c:v>0.4810943445871439</c:v>
                </c:pt>
                <c:pt idx="16">
                  <c:v>0.40563271793811684</c:v>
                </c:pt>
                <c:pt idx="17">
                  <c:v>0.31998906981366981</c:v>
                </c:pt>
                <c:pt idx="18">
                  <c:v>0.23123048592213485</c:v>
                </c:pt>
                <c:pt idx="19">
                  <c:v>0.14859759990962379</c:v>
                </c:pt>
                <c:pt idx="20">
                  <c:v>8.2156164691007824E-2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118.183052363662</c:v>
                </c:pt>
                <c:pt idx="1">
                  <c:v>114.30322405754799</c:v>
                </c:pt>
                <c:pt idx="2">
                  <c:v>98.026702396321099</c:v>
                </c:pt>
                <c:pt idx="3">
                  <c:v>95.341301388365395</c:v>
                </c:pt>
                <c:pt idx="4">
                  <c:v>91.559518999643799</c:v>
                </c:pt>
                <c:pt idx="5">
                  <c:v>91.428997354952699</c:v>
                </c:pt>
                <c:pt idx="6">
                  <c:v>90.713764413427398</c:v>
                </c:pt>
                <c:pt idx="7">
                  <c:v>90.189946158951301</c:v>
                </c:pt>
                <c:pt idx="8">
                  <c:v>87.065223688706695</c:v>
                </c:pt>
                <c:pt idx="9">
                  <c:v>82.782289735893897</c:v>
                </c:pt>
                <c:pt idx="10">
                  <c:v>82.774430748049994</c:v>
                </c:pt>
                <c:pt idx="11">
                  <c:v>77.530219722222995</c:v>
                </c:pt>
                <c:pt idx="12">
                  <c:v>64.110862936045606</c:v>
                </c:pt>
                <c:pt idx="13">
                  <c:v>53.739638033410401</c:v>
                </c:pt>
                <c:pt idx="14">
                  <c:v>48.731381297604798</c:v>
                </c:pt>
                <c:pt idx="15">
                  <c:v>45.071701048767203</c:v>
                </c:pt>
                <c:pt idx="16">
                  <c:v>40.217568172252903</c:v>
                </c:pt>
                <c:pt idx="17">
                  <c:v>39.599881773015902</c:v>
                </c:pt>
                <c:pt idx="18">
                  <c:v>39.591581811375796</c:v>
                </c:pt>
                <c:pt idx="19">
                  <c:v>38.315823591436498</c:v>
                </c:pt>
                <c:pt idx="20">
                  <c:v>37.770988810940501</c:v>
                </c:pt>
                <c:pt idx="21">
                  <c:v>36.798226325411299</c:v>
                </c:pt>
                <c:pt idx="22">
                  <c:v>36.785116488932097</c:v>
                </c:pt>
                <c:pt idx="23">
                  <c:v>31.5449525264704</c:v>
                </c:pt>
                <c:pt idx="24">
                  <c:v>28.940986522264399</c:v>
                </c:pt>
                <c:pt idx="25">
                  <c:v>28.033694605567799</c:v>
                </c:pt>
                <c:pt idx="26">
                  <c:v>27.052613998675401</c:v>
                </c:pt>
                <c:pt idx="27">
                  <c:v>26.8219987895976</c:v>
                </c:pt>
                <c:pt idx="28">
                  <c:v>25.956079337954002</c:v>
                </c:pt>
                <c:pt idx="29">
                  <c:v>25.279899636617301</c:v>
                </c:pt>
                <c:pt idx="30">
                  <c:v>23.9857369914406</c:v>
                </c:pt>
                <c:pt idx="31">
                  <c:v>23.779252385437001</c:v>
                </c:pt>
                <c:pt idx="32">
                  <c:v>21.278858706346099</c:v>
                </c:pt>
                <c:pt idx="33">
                  <c:v>20.7388729688175</c:v>
                </c:pt>
                <c:pt idx="34">
                  <c:v>18.2662524591505</c:v>
                </c:pt>
                <c:pt idx="35">
                  <c:v>15.253702632560399</c:v>
                </c:pt>
                <c:pt idx="36">
                  <c:v>15.0546010696098</c:v>
                </c:pt>
                <c:pt idx="37">
                  <c:v>14.875733980924799</c:v>
                </c:pt>
                <c:pt idx="38">
                  <c:v>14.836118853376799</c:v>
                </c:pt>
                <c:pt idx="39">
                  <c:v>14.218259683077401</c:v>
                </c:pt>
                <c:pt idx="40">
                  <c:v>13.7744144657894</c:v>
                </c:pt>
                <c:pt idx="41">
                  <c:v>13.4136102115528</c:v>
                </c:pt>
                <c:pt idx="42">
                  <c:v>10.580294970388101</c:v>
                </c:pt>
                <c:pt idx="43">
                  <c:v>9.9051969251389096</c:v>
                </c:pt>
                <c:pt idx="44">
                  <c:v>8.4869252942848306</c:v>
                </c:pt>
                <c:pt idx="45">
                  <c:v>8.2956798958445308</c:v>
                </c:pt>
                <c:pt idx="46">
                  <c:v>7.3370679247197303</c:v>
                </c:pt>
                <c:pt idx="47">
                  <c:v>6.9255577546899998</c:v>
                </c:pt>
                <c:pt idx="48">
                  <c:v>6.7178431336606801</c:v>
                </c:pt>
                <c:pt idx="49">
                  <c:v>6.57925404011689</c:v>
                </c:pt>
                <c:pt idx="50">
                  <c:v>4.9600054083390104</c:v>
                </c:pt>
                <c:pt idx="51">
                  <c:v>4.5882250647587002</c:v>
                </c:pt>
                <c:pt idx="52">
                  <c:v>4.3936856438228196</c:v>
                </c:pt>
                <c:pt idx="53">
                  <c:v>1.81679350310166</c:v>
                </c:pt>
                <c:pt idx="54">
                  <c:v>1.4990088830911099</c:v>
                </c:pt>
                <c:pt idx="55">
                  <c:v>1.1074940626462</c:v>
                </c:pt>
                <c:pt idx="56">
                  <c:v>0.74973467428387197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  <c:pt idx="0">
                  <c:v>7.386440772728875E-2</c:v>
                </c:pt>
                <c:pt idx="1">
                  <c:v>0.14530392276325627</c:v>
                </c:pt>
                <c:pt idx="2">
                  <c:v>0.20657061176095695</c:v>
                </c:pt>
                <c:pt idx="3">
                  <c:v>0.26615892512868533</c:v>
                </c:pt>
                <c:pt idx="4">
                  <c:v>0.3233836245034627</c:v>
                </c:pt>
                <c:pt idx="5">
                  <c:v>0.38052674785030816</c:v>
                </c:pt>
                <c:pt idx="6">
                  <c:v>0.43722285060870025</c:v>
                </c:pt>
                <c:pt idx="7">
                  <c:v>0.49359156695804485</c:v>
                </c:pt>
                <c:pt idx="8">
                  <c:v>0.54800733176348648</c:v>
                </c:pt>
                <c:pt idx="9">
                  <c:v>0.59974626284842014</c:v>
                </c:pt>
                <c:pt idx="10">
                  <c:v>0.65148028206595143</c:v>
                </c:pt>
                <c:pt idx="11">
                  <c:v>0.69993666939234078</c:v>
                </c:pt>
                <c:pt idx="12">
                  <c:v>0.7400059587273693</c:v>
                </c:pt>
                <c:pt idx="13">
                  <c:v>0.77359323249825085</c:v>
                </c:pt>
                <c:pt idx="14">
                  <c:v>0.80405034580925383</c:v>
                </c:pt>
                <c:pt idx="15">
                  <c:v>0.83222015896473334</c:v>
                </c:pt>
                <c:pt idx="16">
                  <c:v>0.85735613907239139</c:v>
                </c:pt>
                <c:pt idx="17">
                  <c:v>0.88210606518052637</c:v>
                </c:pt>
                <c:pt idx="18">
                  <c:v>0.90685080381263627</c:v>
                </c:pt>
                <c:pt idx="19">
                  <c:v>0.9307981935572841</c:v>
                </c:pt>
                <c:pt idx="20">
                  <c:v>0.95440506156412197</c:v>
                </c:pt>
                <c:pt idx="21">
                  <c:v>0.97740395301750405</c:v>
                </c:pt>
                <c:pt idx="22">
                  <c:v>1.0003946508230865</c:v>
                </c:pt>
                <c:pt idx="23">
                  <c:v>1.0201102461521305</c:v>
                </c:pt>
                <c:pt idx="24">
                  <c:v>1.0381983627285458</c:v>
                </c:pt>
                <c:pt idx="25">
                  <c:v>1.0557194218570256</c:v>
                </c:pt>
                <c:pt idx="26">
                  <c:v>1.0726273056061977</c:v>
                </c:pt>
                <c:pt idx="27">
                  <c:v>1.0893910548496961</c:v>
                </c:pt>
                <c:pt idx="28">
                  <c:v>1.1056136044359173</c:v>
                </c:pt>
                <c:pt idx="29">
                  <c:v>1.1214135417088031</c:v>
                </c:pt>
                <c:pt idx="30">
                  <c:v>1.1364046273284536</c:v>
                </c:pt>
                <c:pt idx="31">
                  <c:v>1.1512666600693517</c:v>
                </c:pt>
                <c:pt idx="32">
                  <c:v>1.164565946760818</c:v>
                </c:pt>
                <c:pt idx="33">
                  <c:v>1.1775277423663291</c:v>
                </c:pt>
                <c:pt idx="34">
                  <c:v>1.188944150153298</c:v>
                </c:pt>
                <c:pt idx="35">
                  <c:v>1.1984777142986482</c:v>
                </c:pt>
                <c:pt idx="36">
                  <c:v>1.2078868399671543</c:v>
                </c:pt>
                <c:pt idx="37">
                  <c:v>1.2171841737052322</c:v>
                </c:pt>
                <c:pt idx="38">
                  <c:v>1.2264567479885928</c:v>
                </c:pt>
                <c:pt idx="39">
                  <c:v>1.2353431602905163</c:v>
                </c:pt>
                <c:pt idx="40">
                  <c:v>1.2439521693316347</c:v>
                </c:pt>
                <c:pt idx="41">
                  <c:v>1.2523356757138551</c:v>
                </c:pt>
                <c:pt idx="42">
                  <c:v>1.2589483600703477</c:v>
                </c:pt>
                <c:pt idx="43">
                  <c:v>1.2651391081485595</c:v>
                </c:pt>
                <c:pt idx="44">
                  <c:v>1.2704434364574875</c:v>
                </c:pt>
                <c:pt idx="45">
                  <c:v>1.2756282363923903</c:v>
                </c:pt>
                <c:pt idx="46">
                  <c:v>1.2802139038453402</c:v>
                </c:pt>
                <c:pt idx="47">
                  <c:v>1.2845423774420215</c:v>
                </c:pt>
                <c:pt idx="48">
                  <c:v>1.2887410294005595</c:v>
                </c:pt>
                <c:pt idx="49">
                  <c:v>1.2928530631756325</c:v>
                </c:pt>
                <c:pt idx="50">
                  <c:v>1.2959530665558445</c:v>
                </c:pt>
                <c:pt idx="51">
                  <c:v>1.2988207072213187</c:v>
                </c:pt>
                <c:pt idx="52">
                  <c:v>1.301566760748708</c:v>
                </c:pt>
                <c:pt idx="53">
                  <c:v>1.3027022566881465</c:v>
                </c:pt>
                <c:pt idx="54">
                  <c:v>1.3036391372400784</c:v>
                </c:pt>
                <c:pt idx="55">
                  <c:v>1.3043313210292322</c:v>
                </c:pt>
                <c:pt idx="56">
                  <c:v>1.3047999052006596</c:v>
                </c:pt>
                <c:pt idx="57">
                  <c:v>1.3047999052006596</c:v>
                </c:pt>
                <c:pt idx="58">
                  <c:v>1.3047999052006596</c:v>
                </c:pt>
                <c:pt idx="59">
                  <c:v>1.3047999052006596</c:v>
                </c:pt>
                <c:pt idx="60">
                  <c:v>1.3047999052006596</c:v>
                </c:pt>
                <c:pt idx="61">
                  <c:v>1.3047999052006596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Implicit_Fracs!$A$198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Implicit_Fracs!$B$196:$V$196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Implicit_Fracs!$B$198:$V$198</c:f>
              <c:numCache>
                <c:formatCode>General</c:formatCode>
                <c:ptCount val="21"/>
                <c:pt idx="0">
                  <c:v>3.4867122133034098E-2</c:v>
                </c:pt>
                <c:pt idx="1">
                  <c:v>3.4852792219768294E-2</c:v>
                </c:pt>
                <c:pt idx="2">
                  <c:v>3.4692961535074202E-2</c:v>
                </c:pt>
                <c:pt idx="3">
                  <c:v>3.2364233792595898E-2</c:v>
                </c:pt>
                <c:pt idx="4">
                  <c:v>2.9295942733735699E-2</c:v>
                </c:pt>
                <c:pt idx="5">
                  <c:v>2.6246022823983507E-2</c:v>
                </c:pt>
                <c:pt idx="6">
                  <c:v>2.3322855830441212E-2</c:v>
                </c:pt>
                <c:pt idx="7">
                  <c:v>2.0735763766763098E-2</c:v>
                </c:pt>
                <c:pt idx="8">
                  <c:v>1.8394820706799431E-2</c:v>
                </c:pt>
                <c:pt idx="9">
                  <c:v>1.6311961651361871E-2</c:v>
                </c:pt>
                <c:pt idx="10">
                  <c:v>1.4425993768629389E-2</c:v>
                </c:pt>
                <c:pt idx="11">
                  <c:v>1.2566703711059781E-2</c:v>
                </c:pt>
                <c:pt idx="12">
                  <c:v>1.0998347702321632E-2</c:v>
                </c:pt>
                <c:pt idx="13">
                  <c:v>9.2437007243321052E-3</c:v>
                </c:pt>
                <c:pt idx="14">
                  <c:v>7.488116927250976E-3</c:v>
                </c:pt>
                <c:pt idx="15">
                  <c:v>5.8215680020609322E-3</c:v>
                </c:pt>
                <c:pt idx="16">
                  <c:v>4.2414615912078754E-3</c:v>
                </c:pt>
                <c:pt idx="17">
                  <c:v>2.8500697601016563E-3</c:v>
                </c:pt>
                <c:pt idx="18">
                  <c:v>1.7298043310956257E-3</c:v>
                </c:pt>
                <c:pt idx="19">
                  <c:v>9.1849787451465329E-4</c:v>
                </c:pt>
                <c:pt idx="20">
                  <c:v>4.1058518336511073E-4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118.183052363662</c:v>
                </c:pt>
                <c:pt idx="1">
                  <c:v>114.30322405754799</c:v>
                </c:pt>
                <c:pt idx="2">
                  <c:v>98.026702396321099</c:v>
                </c:pt>
                <c:pt idx="3">
                  <c:v>95.341301388365395</c:v>
                </c:pt>
                <c:pt idx="4">
                  <c:v>91.559518999643799</c:v>
                </c:pt>
                <c:pt idx="5">
                  <c:v>91.428997354952699</c:v>
                </c:pt>
                <c:pt idx="6">
                  <c:v>90.713764413427398</c:v>
                </c:pt>
                <c:pt idx="7">
                  <c:v>90.189946158951301</c:v>
                </c:pt>
                <c:pt idx="8">
                  <c:v>87.065223688706695</c:v>
                </c:pt>
                <c:pt idx="9">
                  <c:v>82.782289735893897</c:v>
                </c:pt>
                <c:pt idx="10">
                  <c:v>82.774430748049994</c:v>
                </c:pt>
                <c:pt idx="11">
                  <c:v>77.530219722222995</c:v>
                </c:pt>
                <c:pt idx="12">
                  <c:v>64.110862936045606</c:v>
                </c:pt>
                <c:pt idx="13">
                  <c:v>53.739638033410401</c:v>
                </c:pt>
                <c:pt idx="14">
                  <c:v>48.731381297604798</c:v>
                </c:pt>
                <c:pt idx="15">
                  <c:v>45.071701048767203</c:v>
                </c:pt>
                <c:pt idx="16">
                  <c:v>40.217568172252903</c:v>
                </c:pt>
                <c:pt idx="17">
                  <c:v>39.599881773015902</c:v>
                </c:pt>
                <c:pt idx="18">
                  <c:v>39.591581811375796</c:v>
                </c:pt>
                <c:pt idx="19">
                  <c:v>38.315823591436498</c:v>
                </c:pt>
                <c:pt idx="20">
                  <c:v>37.770988810940501</c:v>
                </c:pt>
                <c:pt idx="21">
                  <c:v>36.798226325411299</c:v>
                </c:pt>
                <c:pt idx="22">
                  <c:v>36.785116488932097</c:v>
                </c:pt>
                <c:pt idx="23">
                  <c:v>31.5449525264704</c:v>
                </c:pt>
                <c:pt idx="24">
                  <c:v>28.940986522264399</c:v>
                </c:pt>
                <c:pt idx="25">
                  <c:v>28.033694605567799</c:v>
                </c:pt>
                <c:pt idx="26">
                  <c:v>27.052613998675401</c:v>
                </c:pt>
                <c:pt idx="27">
                  <c:v>26.8219987895976</c:v>
                </c:pt>
                <c:pt idx="28">
                  <c:v>25.956079337954002</c:v>
                </c:pt>
                <c:pt idx="29">
                  <c:v>25.279899636617301</c:v>
                </c:pt>
                <c:pt idx="30">
                  <c:v>23.9857369914406</c:v>
                </c:pt>
                <c:pt idx="31">
                  <c:v>23.779252385437001</c:v>
                </c:pt>
                <c:pt idx="32">
                  <c:v>21.278858706346099</c:v>
                </c:pt>
                <c:pt idx="33">
                  <c:v>20.7388729688175</c:v>
                </c:pt>
                <c:pt idx="34">
                  <c:v>18.2662524591505</c:v>
                </c:pt>
                <c:pt idx="35">
                  <c:v>15.253702632560399</c:v>
                </c:pt>
                <c:pt idx="36">
                  <c:v>15.0546010696098</c:v>
                </c:pt>
                <c:pt idx="37">
                  <c:v>14.875733980924799</c:v>
                </c:pt>
                <c:pt idx="38">
                  <c:v>14.836118853376799</c:v>
                </c:pt>
                <c:pt idx="39">
                  <c:v>14.218259683077401</c:v>
                </c:pt>
                <c:pt idx="40">
                  <c:v>13.7744144657894</c:v>
                </c:pt>
                <c:pt idx="41">
                  <c:v>13.4136102115528</c:v>
                </c:pt>
                <c:pt idx="42">
                  <c:v>10.580294970388101</c:v>
                </c:pt>
                <c:pt idx="43">
                  <c:v>9.9051969251389096</c:v>
                </c:pt>
                <c:pt idx="44">
                  <c:v>8.4869252942848306</c:v>
                </c:pt>
                <c:pt idx="45">
                  <c:v>8.2956798958445308</c:v>
                </c:pt>
                <c:pt idx="46">
                  <c:v>7.3370679247197303</c:v>
                </c:pt>
                <c:pt idx="47">
                  <c:v>6.9255577546899998</c:v>
                </c:pt>
                <c:pt idx="48">
                  <c:v>6.7178431336606801</c:v>
                </c:pt>
                <c:pt idx="49">
                  <c:v>6.57925404011689</c:v>
                </c:pt>
                <c:pt idx="50">
                  <c:v>4.9600054083390104</c:v>
                </c:pt>
                <c:pt idx="51">
                  <c:v>4.5882250647587002</c:v>
                </c:pt>
                <c:pt idx="52">
                  <c:v>4.3936856438228196</c:v>
                </c:pt>
                <c:pt idx="53">
                  <c:v>1.81679350310166</c:v>
                </c:pt>
                <c:pt idx="54">
                  <c:v>1.4990088830911099</c:v>
                </c:pt>
                <c:pt idx="55">
                  <c:v>1.1074940626462</c:v>
                </c:pt>
                <c:pt idx="56">
                  <c:v>0.74973467428387197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  <c:pt idx="54">
                  <c:v>3.4375000000000003E-2</c:v>
                </c:pt>
                <c:pt idx="55">
                  <c:v>3.5000000000000003E-2</c:v>
                </c:pt>
                <c:pt idx="56">
                  <c:v>3.5624999999999997E-2</c:v>
                </c:pt>
                <c:pt idx="57">
                  <c:v>3.6249999999999998E-2</c:v>
                </c:pt>
                <c:pt idx="58">
                  <c:v>3.6874999999999998E-2</c:v>
                </c:pt>
                <c:pt idx="59">
                  <c:v>3.7499999999999999E-2</c:v>
                </c:pt>
                <c:pt idx="60">
                  <c:v>3.8124999999999999E-2</c:v>
                </c:pt>
                <c:pt idx="61">
                  <c:v>3.875E-2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Implicit_Fracs!$A$211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Implicit_Fracs!$B$207:$V$207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Implicit_Fracs!$B$211:$V$211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Implicit_Fracs!$A$209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Implicit_Fracs!$B$207:$V$207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Implicit_Fracs!$B$209:$V$209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Implicit_Fracs!$A$201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Implicit_Fracs!$B$196:$V$196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Implicit_Fracs!$B$201:$V$201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Implicit_Fracs!$A$202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Implicit_Fracs!$B$196:$V$196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Implicit_Fracs!$B$202:$V$202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Implicit_Fracs!$A$212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Implicit_Fracs!$B$207:$V$207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Implicit_Fracs!$B$212:$V$212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Implicit_Fracs!$A$213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Implicit_Fracs!$B$207:$V$207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Implicit_Fracs!$B$213:$V$213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Implicit_Fracs!$F$4:$F$137</c:f>
              <c:numCache>
                <c:formatCode>General</c:formatCode>
                <c:ptCount val="134"/>
                <c:pt idx="0">
                  <c:v>-6.5458908507104701E-4</c:v>
                </c:pt>
                <c:pt idx="1">
                  <c:v>-1.3176814316740099E-3</c:v>
                </c:pt>
                <c:pt idx="2">
                  <c:v>-1.3186826813090199E-3</c:v>
                </c:pt>
                <c:pt idx="3">
                  <c:v>-1.3193476474701201E-3</c:v>
                </c:pt>
                <c:pt idx="4">
                  <c:v>-1.31984797091046E-3</c:v>
                </c:pt>
                <c:pt idx="5">
                  <c:v>-1.3202502140737401E-3</c:v>
                </c:pt>
                <c:pt idx="6">
                  <c:v>-1.3205872802011999E-3</c:v>
                </c:pt>
                <c:pt idx="7">
                  <c:v>-1.3208778730863201E-3</c:v>
                </c:pt>
                <c:pt idx="8">
                  <c:v>-1.3211336516595401E-3</c:v>
                </c:pt>
                <c:pt idx="9">
                  <c:v>-1.32136237772539E-3</c:v>
                </c:pt>
                <c:pt idx="10">
                  <c:v>-1.3215694806964901E-3</c:v>
                </c:pt>
                <c:pt idx="11">
                  <c:v>-1.3217589080321199E-3</c:v>
                </c:pt>
                <c:pt idx="12">
                  <c:v>-1.32193362018386E-3</c:v>
                </c:pt>
                <c:pt idx="13">
                  <c:v>-1.3220958947116599E-3</c:v>
                </c:pt>
                <c:pt idx="14">
                  <c:v>-1.3222475215856899E-3</c:v>
                </c:pt>
                <c:pt idx="15">
                  <c:v>-1.3223899332967699E-3</c:v>
                </c:pt>
                <c:pt idx="16">
                  <c:v>-1.3225242942656E-3</c:v>
                </c:pt>
                <c:pt idx="17">
                  <c:v>-1.3226515639358999E-3</c:v>
                </c:pt>
                <c:pt idx="18">
                  <c:v>-1.3227725423333701E-3</c:v>
                </c:pt>
                <c:pt idx="19">
                  <c:v>-1.3228879036321099E-3</c:v>
                </c:pt>
                <c:pt idx="20">
                  <c:v>-1.3229982213287901E-3</c:v>
                </c:pt>
                <c:pt idx="21">
                  <c:v>-1.3231039874234099E-3</c:v>
                </c:pt>
                <c:pt idx="22">
                  <c:v>-1.32320562724178E-3</c:v>
                </c:pt>
                <c:pt idx="23">
                  <c:v>-1.3233035110370201E-3</c:v>
                </c:pt>
                <c:pt idx="24">
                  <c:v>-1.3233979631753401E-3</c:v>
                </c:pt>
                <c:pt idx="25">
                  <c:v>-1.32348926948594E-3</c:v>
                </c:pt>
                <c:pt idx="26">
                  <c:v>-1.3235776832238001E-3</c:v>
                </c:pt>
                <c:pt idx="27">
                  <c:v>-1.32366342992866E-3</c:v>
                </c:pt>
                <c:pt idx="28">
                  <c:v>-1.32374671139542E-3</c:v>
                </c:pt>
                <c:pt idx="29">
                  <c:v>-1.3238277089615499E-3</c:v>
                </c:pt>
                <c:pt idx="30">
                  <c:v>-1.3239065862481901E-3</c:v>
                </c:pt>
                <c:pt idx="31">
                  <c:v>-1.32398349146053E-3</c:v>
                </c:pt>
                <c:pt idx="32">
                  <c:v>-1.3240585593302101E-3</c:v>
                </c:pt>
                <c:pt idx="33">
                  <c:v>-1.3241319127647801E-3</c:v>
                </c:pt>
                <c:pt idx="34">
                  <c:v>-1.324203664256E-3</c:v>
                </c:pt>
                <c:pt idx="35">
                  <c:v>-1.3242739170883401E-3</c:v>
                </c:pt>
                <c:pt idx="36">
                  <c:v>-1.32434276638105E-3</c:v>
                </c:pt>
                <c:pt idx="37">
                  <c:v>-1.3244102999908399E-3</c:v>
                </c:pt>
                <c:pt idx="38">
                  <c:v>-1.3244765992973099E-3</c:v>
                </c:pt>
                <c:pt idx="39">
                  <c:v>-1.3245417398892001E-3</c:v>
                </c:pt>
                <c:pt idx="40">
                  <c:v>-1.3246057921664301E-3</c:v>
                </c:pt>
                <c:pt idx="41">
                  <c:v>-1.3246688218705E-3</c:v>
                </c:pt>
                <c:pt idx="42">
                  <c:v>-1.32473089055338E-3</c:v>
                </c:pt>
                <c:pt idx="43">
                  <c:v>-1.32479205599384E-3</c:v>
                </c:pt>
                <c:pt idx="44">
                  <c:v>-1.32485237256833E-3</c:v>
                </c:pt>
                <c:pt idx="45">
                  <c:v>-1.3249118915828E-3</c:v>
                </c:pt>
                <c:pt idx="46">
                  <c:v>-1.32497066157058E-3</c:v>
                </c:pt>
                <c:pt idx="47">
                  <c:v>-1.32502872856099E-3</c:v>
                </c:pt>
                <c:pt idx="48">
                  <c:v>-1.3250861363223901E-3</c:v>
                </c:pt>
                <c:pt idx="49">
                  <c:v>-1.32514292658318E-3</c:v>
                </c:pt>
                <c:pt idx="50">
                  <c:v>-1.32519913923346E-3</c:v>
                </c:pt>
                <c:pt idx="51">
                  <c:v>-1.3252548125101101E-3</c:v>
                </c:pt>
                <c:pt idx="52">
                  <c:v>-1.3253099831673099E-3</c:v>
                </c:pt>
                <c:pt idx="53">
                  <c:v>-1.32536468663457E-3</c:v>
                </c:pt>
                <c:pt idx="54">
                  <c:v>-1.32541895716401E-3</c:v>
                </c:pt>
                <c:pt idx="55">
                  <c:v>-1.32547282796843E-3</c:v>
                </c:pt>
                <c:pt idx="56">
                  <c:v>-1.3255263313515799E-3</c:v>
                </c:pt>
                <c:pt idx="57">
                  <c:v>-1.3255794988320201E-3</c:v>
                </c:pt>
                <c:pt idx="58">
                  <c:v>-1.3256323612616E-3</c:v>
                </c:pt>
                <c:pt idx="59">
                  <c:v>-1.32568494893996E-3</c:v>
                </c:pt>
                <c:pt idx="60">
                  <c:v>-1.3257372917258401E-3</c:v>
                </c:pt>
                <c:pt idx="61">
                  <c:v>-1.32578941914643E-3</c:v>
                </c:pt>
                <c:pt idx="62">
                  <c:v>-1.3258413605057699E-3</c:v>
                </c:pt>
                <c:pt idx="63">
                  <c:v>-1.3258931449931599E-3</c:v>
                </c:pt>
                <c:pt idx="64">
                  <c:v>-1.3259448017927599E-3</c:v>
                </c:pt>
                <c:pt idx="65">
                  <c:v>-1.3259963601953101E-3</c:v>
                </c:pt>
                <c:pt idx="66">
                  <c:v>-1.32604784971334E-3</c:v>
                </c:pt>
                <c:pt idx="67">
                  <c:v>-1.3260993002009601E-3</c:v>
                </c:pt>
                <c:pt idx="68">
                  <c:v>-1.3261507419797E-3</c:v>
                </c:pt>
                <c:pt idx="69">
                  <c:v>-1.3262022059718601E-3</c:v>
                </c:pt>
                <c:pt idx="70">
                  <c:v>-1.32625372384316E-3</c:v>
                </c:pt>
                <c:pt idx="71">
                  <c:v>-1.32630532815652E-3</c:v>
                </c:pt>
                <c:pt idx="72">
                  <c:v>-1.3263570525393401E-3</c:v>
                </c:pt>
                <c:pt idx="73">
                  <c:v>-1.3264089318667301E-3</c:v>
                </c:pt>
                <c:pt idx="74">
                  <c:v>-1.3264610024638101E-3</c:v>
                </c:pt>
                <c:pt idx="75">
                  <c:v>-1.32651330233057E-3</c:v>
                </c:pt>
                <c:pt idx="76">
                  <c:v>-1.3265658713935301E-3</c:v>
                </c:pt>
                <c:pt idx="77">
                  <c:v>-1.3266187517892501E-3</c:v>
                </c:pt>
                <c:pt idx="78">
                  <c:v>-1.3266719881857799E-3</c:v>
                </c:pt>
                <c:pt idx="79">
                  <c:v>-1.3267256281493001E-3</c:v>
                </c:pt>
                <c:pt idx="80">
                  <c:v>-1.3267797225650099E-3</c:v>
                </c:pt>
                <c:pt idx="81">
                  <c:v>-1.3268343261232101E-3</c:v>
                </c:pt>
                <c:pt idx="82">
                  <c:v>-1.3268894978842099E-3</c:v>
                </c:pt>
                <c:pt idx="83">
                  <c:v>-1.326945301939E-3</c:v>
                </c:pt>
                <c:pt idx="84">
                  <c:v>-1.32700180818698E-3</c:v>
                </c:pt>
                <c:pt idx="85">
                  <c:v>-1.3270590932577E-3</c:v>
                </c:pt>
                <c:pt idx="86">
                  <c:v>-1.3271172416109999E-3</c:v>
                </c:pt>
                <c:pt idx="87">
                  <c:v>-1.3271763468599999E-3</c:v>
                </c:pt>
                <c:pt idx="88">
                  <c:v>-1.3272365133744899E-3</c:v>
                </c:pt>
                <c:pt idx="89">
                  <c:v>-1.32729785824091E-3</c:v>
                </c:pt>
                <c:pt idx="90">
                  <c:v>-1.3273605136797601E-3</c:v>
                </c:pt>
                <c:pt idx="91">
                  <c:v>-1.3274246300567501E-3</c:v>
                </c:pt>
                <c:pt idx="92">
                  <c:v>-1.3274903796735801E-3</c:v>
                </c:pt>
                <c:pt idx="93">
                  <c:v>-1.3275579615959899E-3</c:v>
                </c:pt>
                <c:pt idx="94">
                  <c:v>-1.3276276078822201E-3</c:v>
                </c:pt>
                <c:pt idx="95">
                  <c:v>-1.3276995917323299E-3</c:v>
                </c:pt>
                <c:pt idx="96">
                  <c:v>-1.3277742383198999E-3</c:v>
                </c:pt>
                <c:pt idx="97">
                  <c:v>-1.327851939445E-3</c:v>
                </c:pt>
                <c:pt idx="98">
                  <c:v>-1.32793317375444E-3</c:v>
                </c:pt>
                <c:pt idx="99">
                  <c:v>-1.32801853528293E-3</c:v>
                </c:pt>
                <c:pt idx="100">
                  <c:v>-1.32810877479836E-3</c:v>
                </c:pt>
                <c:pt idx="101">
                  <c:v>-1.32820486152624E-3</c:v>
                </c:pt>
                <c:pt idx="102">
                  <c:v>-1.3283080786112801E-3</c:v>
                </c:pt>
                <c:pt idx="103">
                  <c:v>-1.3284201770953801E-3</c:v>
                </c:pt>
                <c:pt idx="104">
                  <c:v>-1.3285436372397999E-3</c:v>
                </c:pt>
                <c:pt idx="105">
                  <c:v>-1.3286821407563301E-3</c:v>
                </c:pt>
                <c:pt idx="106">
                  <c:v>-1.3288414946998101E-3</c:v>
                </c:pt>
                <c:pt idx="107">
                  <c:v>-1.32903163647806E-3</c:v>
                </c:pt>
                <c:pt idx="108">
                  <c:v>-1.3292716444816301E-3</c:v>
                </c:pt>
                <c:pt idx="109">
                  <c:v>-1.3296050828176199E-3</c:v>
                </c:pt>
                <c:pt idx="110">
                  <c:v>-1.3301645597823401E-3</c:v>
                </c:pt>
                <c:pt idx="111">
                  <c:v>-1.3316410404667601E-3</c:v>
                </c:pt>
                <c:pt idx="112">
                  <c:v>-1.33431996568736E-3</c:v>
                </c:pt>
                <c:pt idx="113">
                  <c:v>-1.3370043847481701E-3</c:v>
                </c:pt>
                <c:pt idx="114">
                  <c:v>-1.3397045211694101E-3</c:v>
                </c:pt>
                <c:pt idx="115">
                  <c:v>-1.3424220517699E-3</c:v>
                </c:pt>
                <c:pt idx="116">
                  <c:v>-2.2905350523007399E-3</c:v>
                </c:pt>
                <c:pt idx="117">
                  <c:v>-3.8328114622283101E-3</c:v>
                </c:pt>
                <c:pt idx="118">
                  <c:v>-3.8356152476168698E-3</c:v>
                </c:pt>
                <c:pt idx="119">
                  <c:v>-3.8379299379392201E-3</c:v>
                </c:pt>
                <c:pt idx="120">
                  <c:v>-3.8401822640655699E-3</c:v>
                </c:pt>
                <c:pt idx="121">
                  <c:v>-3.8424140815787001E-3</c:v>
                </c:pt>
                <c:pt idx="122">
                  <c:v>-3.8446671085117798E-3</c:v>
                </c:pt>
                <c:pt idx="123">
                  <c:v>-3.8469880401552402E-3</c:v>
                </c:pt>
                <c:pt idx="124">
                  <c:v>-3.8494358472481501E-3</c:v>
                </c:pt>
                <c:pt idx="125">
                  <c:v>-3.8520947445920702E-3</c:v>
                </c:pt>
                <c:pt idx="126">
                  <c:v>-3.8551019442570099E-3</c:v>
                </c:pt>
                <c:pt idx="127">
                  <c:v>-3.8587195349777201E-3</c:v>
                </c:pt>
                <c:pt idx="128">
                  <c:v>-3.8635739088152101E-3</c:v>
                </c:pt>
                <c:pt idx="129">
                  <c:v>-3.8718454998966602E-3</c:v>
                </c:pt>
                <c:pt idx="130">
                  <c:v>-3.8991903710217202E-3</c:v>
                </c:pt>
                <c:pt idx="131">
                  <c:v>-3.9896202877663404E-3</c:v>
                </c:pt>
                <c:pt idx="132">
                  <c:v>-5.9896202877663396E-3</c:v>
                </c:pt>
                <c:pt idx="133">
                  <c:v>-5.9896202877663396E-3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Implicit_Fracs!$C$4:$C$137</c:f>
              <c:numCache>
                <c:formatCode>General</c:formatCode>
                <c:ptCount val="134"/>
                <c:pt idx="0">
                  <c:v>6.5458908507104702E-2</c:v>
                </c:pt>
                <c:pt idx="1">
                  <c:v>0.13176814316740099</c:v>
                </c:pt>
                <c:pt idx="2">
                  <c:v>0.13186826813090199</c:v>
                </c:pt>
                <c:pt idx="3">
                  <c:v>0.13193476474701199</c:v>
                </c:pt>
                <c:pt idx="4">
                  <c:v>0.13198479709104599</c:v>
                </c:pt>
                <c:pt idx="5">
                  <c:v>0.13202502140737399</c:v>
                </c:pt>
                <c:pt idx="6">
                  <c:v>0.13205872802012</c:v>
                </c:pt>
                <c:pt idx="7">
                  <c:v>0.13208778730863199</c:v>
                </c:pt>
                <c:pt idx="8">
                  <c:v>0.13211336516595401</c:v>
                </c:pt>
                <c:pt idx="9">
                  <c:v>0.13213623777253899</c:v>
                </c:pt>
                <c:pt idx="10">
                  <c:v>0.13215694806964901</c:v>
                </c:pt>
                <c:pt idx="11">
                  <c:v>0.13217589080321199</c:v>
                </c:pt>
                <c:pt idx="12">
                  <c:v>0.132193362018386</c:v>
                </c:pt>
                <c:pt idx="13">
                  <c:v>0.13220958947116601</c:v>
                </c:pt>
                <c:pt idx="14">
                  <c:v>0.13222475215856899</c:v>
                </c:pt>
                <c:pt idx="15">
                  <c:v>0.13223899332967701</c:v>
                </c:pt>
                <c:pt idx="16">
                  <c:v>0.13225242942655999</c:v>
                </c:pt>
                <c:pt idx="17">
                  <c:v>0.13226515639358999</c:v>
                </c:pt>
                <c:pt idx="18">
                  <c:v>0.132277254233337</c:v>
                </c:pt>
                <c:pt idx="19">
                  <c:v>0.13228879036321101</c:v>
                </c:pt>
                <c:pt idx="20">
                  <c:v>0.132299822132879</c:v>
                </c:pt>
                <c:pt idx="21">
                  <c:v>0.13231039874234099</c:v>
                </c:pt>
                <c:pt idx="22">
                  <c:v>0.132320562724178</c:v>
                </c:pt>
                <c:pt idx="23">
                  <c:v>0.132330351103702</c:v>
                </c:pt>
                <c:pt idx="24">
                  <c:v>0.13233979631753401</c:v>
                </c:pt>
                <c:pt idx="25">
                  <c:v>0.13234892694859399</c:v>
                </c:pt>
                <c:pt idx="26">
                  <c:v>0.13235776832238</c:v>
                </c:pt>
                <c:pt idx="27">
                  <c:v>0.13236634299286601</c:v>
                </c:pt>
                <c:pt idx="28">
                  <c:v>0.13237467113954199</c:v>
                </c:pt>
                <c:pt idx="29">
                  <c:v>0.13238277089615499</c:v>
                </c:pt>
                <c:pt idx="30">
                  <c:v>0.132390658624819</c:v>
                </c:pt>
                <c:pt idx="31">
                  <c:v>0.132398349146053</c:v>
                </c:pt>
                <c:pt idx="32">
                  <c:v>0.13240585593302101</c:v>
                </c:pt>
                <c:pt idx="33">
                  <c:v>0.13241319127647799</c:v>
                </c:pt>
                <c:pt idx="34">
                  <c:v>0.13242036642560001</c:v>
                </c:pt>
                <c:pt idx="35">
                  <c:v>0.132427391708834</c:v>
                </c:pt>
                <c:pt idx="36">
                  <c:v>0.132434276638105</c:v>
                </c:pt>
                <c:pt idx="37">
                  <c:v>0.132441029999084</c:v>
                </c:pt>
                <c:pt idx="38">
                  <c:v>0.13244765992973101</c:v>
                </c:pt>
                <c:pt idx="39">
                  <c:v>0.13245417398892001</c:v>
                </c:pt>
                <c:pt idx="40">
                  <c:v>0.132460579216643</c:v>
                </c:pt>
                <c:pt idx="41">
                  <c:v>0.132466882187049</c:v>
                </c:pt>
                <c:pt idx="42">
                  <c:v>0.132473089055338</c:v>
                </c:pt>
                <c:pt idx="43">
                  <c:v>0.132479205599384</c:v>
                </c:pt>
                <c:pt idx="44">
                  <c:v>0.13248523725683301</c:v>
                </c:pt>
                <c:pt idx="45">
                  <c:v>0.13249118915828001</c:v>
                </c:pt>
                <c:pt idx="46">
                  <c:v>0.132497066157058</c:v>
                </c:pt>
                <c:pt idx="47">
                  <c:v>0.13250287285609899</c:v>
                </c:pt>
                <c:pt idx="48">
                  <c:v>0.13250861363223901</c:v>
                </c:pt>
                <c:pt idx="49">
                  <c:v>0.13251429265831799</c:v>
                </c:pt>
                <c:pt idx="50">
                  <c:v>0.132519913923346</c:v>
                </c:pt>
                <c:pt idx="51">
                  <c:v>0.13252548125101099</c:v>
                </c:pt>
                <c:pt idx="52">
                  <c:v>0.13253099831673101</c:v>
                </c:pt>
                <c:pt idx="53">
                  <c:v>0.132536468663457</c:v>
                </c:pt>
                <c:pt idx="54">
                  <c:v>0.13254189571640099</c:v>
                </c:pt>
                <c:pt idx="55">
                  <c:v>0.132547282796843</c:v>
                </c:pt>
                <c:pt idx="56">
                  <c:v>0.132552633135158</c:v>
                </c:pt>
                <c:pt idx="57">
                  <c:v>0.13255794988320099</c:v>
                </c:pt>
                <c:pt idx="58">
                  <c:v>0.13256323612616</c:v>
                </c:pt>
                <c:pt idx="59">
                  <c:v>0.132568494893996</c:v>
                </c:pt>
                <c:pt idx="60">
                  <c:v>0.132573729172584</c:v>
                </c:pt>
                <c:pt idx="61">
                  <c:v>0.13257894191464301</c:v>
                </c:pt>
                <c:pt idx="62">
                  <c:v>0.13258413605057701</c:v>
                </c:pt>
                <c:pt idx="63">
                  <c:v>0.13258931449931599</c:v>
                </c:pt>
                <c:pt idx="64">
                  <c:v>0.132594480179276</c:v>
                </c:pt>
                <c:pt idx="65">
                  <c:v>0.13259963601953101</c:v>
                </c:pt>
                <c:pt idx="66">
                  <c:v>0.13260478497133399</c:v>
                </c:pt>
                <c:pt idx="67">
                  <c:v>0.132609930020096</c:v>
                </c:pt>
                <c:pt idx="68">
                  <c:v>0.13261507419797</c:v>
                </c:pt>
                <c:pt idx="69">
                  <c:v>0.13262022059718601</c:v>
                </c:pt>
                <c:pt idx="70">
                  <c:v>0.13262537238431599</c:v>
                </c:pt>
                <c:pt idx="71">
                  <c:v>0.13263053281565201</c:v>
                </c:pt>
                <c:pt idx="72">
                  <c:v>0.13263570525393401</c:v>
                </c:pt>
                <c:pt idx="73">
                  <c:v>0.13264089318667299</c:v>
                </c:pt>
                <c:pt idx="74">
                  <c:v>0.13264610024638099</c:v>
                </c:pt>
                <c:pt idx="75">
                  <c:v>0.132651330233057</c:v>
                </c:pt>
                <c:pt idx="76">
                  <c:v>0.13265658713935299</c:v>
                </c:pt>
                <c:pt idx="77">
                  <c:v>0.132661875178925</c:v>
                </c:pt>
                <c:pt idx="78">
                  <c:v>0.132667198818578</c:v>
                </c:pt>
                <c:pt idx="79">
                  <c:v>0.13267256281493001</c:v>
                </c:pt>
                <c:pt idx="80">
                  <c:v>0.13267797225650099</c:v>
                </c:pt>
                <c:pt idx="81">
                  <c:v>0.13268343261232099</c:v>
                </c:pt>
                <c:pt idx="82">
                  <c:v>0.132688949788421</c:v>
                </c:pt>
                <c:pt idx="83">
                  <c:v>0.13269453019390001</c:v>
                </c:pt>
                <c:pt idx="84">
                  <c:v>0.132700180818698</c:v>
                </c:pt>
                <c:pt idx="85">
                  <c:v>0.13270590932577001</c:v>
                </c:pt>
                <c:pt idx="86">
                  <c:v>0.1327117241611</c:v>
                </c:pt>
                <c:pt idx="87">
                  <c:v>0.13271763468600001</c:v>
                </c:pt>
                <c:pt idx="88">
                  <c:v>0.13272365133744901</c:v>
                </c:pt>
                <c:pt idx="89">
                  <c:v>0.13272978582409101</c:v>
                </c:pt>
                <c:pt idx="90">
                  <c:v>0.132736051367976</c:v>
                </c:pt>
                <c:pt idx="91">
                  <c:v>0.13274246300567499</c:v>
                </c:pt>
                <c:pt idx="92">
                  <c:v>0.13274903796735801</c:v>
                </c:pt>
                <c:pt idx="93">
                  <c:v>0.13275579615959901</c:v>
                </c:pt>
                <c:pt idx="94">
                  <c:v>0.132762760788222</c:v>
                </c:pt>
                <c:pt idx="95">
                  <c:v>0.132769959173233</c:v>
                </c:pt>
                <c:pt idx="96">
                  <c:v>0.13277742383199001</c:v>
                </c:pt>
                <c:pt idx="97">
                  <c:v>0.1327851939445</c:v>
                </c:pt>
                <c:pt idx="98">
                  <c:v>0.132793317375444</c:v>
                </c:pt>
                <c:pt idx="99">
                  <c:v>0.13280185352829299</c:v>
                </c:pt>
                <c:pt idx="100">
                  <c:v>0.132810877479836</c:v>
                </c:pt>
                <c:pt idx="101">
                  <c:v>0.13282048615262401</c:v>
                </c:pt>
                <c:pt idx="102">
                  <c:v>0.132830807861128</c:v>
                </c:pt>
                <c:pt idx="103">
                  <c:v>0.13284201770953799</c:v>
                </c:pt>
                <c:pt idx="104">
                  <c:v>0.13285436372397999</c:v>
                </c:pt>
                <c:pt idx="105">
                  <c:v>0.13286821407563301</c:v>
                </c:pt>
                <c:pt idx="106">
                  <c:v>0.13288414946998101</c:v>
                </c:pt>
                <c:pt idx="107">
                  <c:v>0.13290316364780599</c:v>
                </c:pt>
                <c:pt idx="108">
                  <c:v>0.13292716444816299</c:v>
                </c:pt>
                <c:pt idx="109">
                  <c:v>0.13296050828176201</c:v>
                </c:pt>
                <c:pt idx="110">
                  <c:v>0.133016455978234</c:v>
                </c:pt>
                <c:pt idx="111">
                  <c:v>0.133164104046676</c:v>
                </c:pt>
                <c:pt idx="112">
                  <c:v>0.133431996568736</c:v>
                </c:pt>
                <c:pt idx="113">
                  <c:v>0.133700438474817</c:v>
                </c:pt>
                <c:pt idx="114">
                  <c:v>0.133970452116941</c:v>
                </c:pt>
                <c:pt idx="115">
                  <c:v>0.13424220517699001</c:v>
                </c:pt>
                <c:pt idx="116">
                  <c:v>0.22905350523007401</c:v>
                </c:pt>
                <c:pt idx="117">
                  <c:v>0.38328114622283099</c:v>
                </c:pt>
                <c:pt idx="118">
                  <c:v>0.38356152476168698</c:v>
                </c:pt>
                <c:pt idx="119">
                  <c:v>0.38379299379392201</c:v>
                </c:pt>
                <c:pt idx="120">
                  <c:v>0.38401822640655697</c:v>
                </c:pt>
                <c:pt idx="121">
                  <c:v>0.38424140815787</c:v>
                </c:pt>
                <c:pt idx="122">
                  <c:v>0.38446671085117801</c:v>
                </c:pt>
                <c:pt idx="123">
                  <c:v>0.38469880401552398</c:v>
                </c:pt>
                <c:pt idx="124">
                  <c:v>0.38494358472481499</c:v>
                </c:pt>
                <c:pt idx="125">
                  <c:v>0.385209474459207</c:v>
                </c:pt>
                <c:pt idx="126">
                  <c:v>0.385510194425701</c:v>
                </c:pt>
                <c:pt idx="127">
                  <c:v>0.38587195349777198</c:v>
                </c:pt>
                <c:pt idx="128">
                  <c:v>0.38635739088152099</c:v>
                </c:pt>
                <c:pt idx="129">
                  <c:v>0.387184549989666</c:v>
                </c:pt>
                <c:pt idx="130">
                  <c:v>0.38991903710217202</c:v>
                </c:pt>
                <c:pt idx="131">
                  <c:v>0.398962028776634</c:v>
                </c:pt>
                <c:pt idx="132">
                  <c:v>0.59896202877663396</c:v>
                </c:pt>
                <c:pt idx="133">
                  <c:v>0.59896202877663396</c:v>
                </c:pt>
              </c:numCache>
            </c:numRef>
          </c:xVal>
          <c:yVal>
            <c:numRef>
              <c:f>Implicit_Fracs!$G$4:$G$137</c:f>
              <c:numCache>
                <c:formatCode>0.00E+00</c:formatCode>
                <c:ptCount val="134"/>
                <c:pt idx="0" formatCode="General">
                  <c:v>0</c:v>
                </c:pt>
                <c:pt idx="1">
                  <c:v>1.0842021724855E-19</c:v>
                </c:pt>
                <c:pt idx="2">
                  <c:v>1.0842021724855E-19</c:v>
                </c:pt>
                <c:pt idx="3">
                  <c:v>1.0842021724855E-19</c:v>
                </c:pt>
                <c:pt idx="4">
                  <c:v>1.0842021724855E-19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>
                  <c:v>1.0842021724855E-19</c:v>
                </c:pt>
                <c:pt idx="9" formatCode="General">
                  <c:v>0</c:v>
                </c:pt>
                <c:pt idx="10">
                  <c:v>1.0842021724855E-19</c:v>
                </c:pt>
                <c:pt idx="11">
                  <c:v>1.0842021724855E-19</c:v>
                </c:pt>
                <c:pt idx="12">
                  <c:v>1.0842021724855E-19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>
                  <c:v>1.0842021724855E-19</c:v>
                </c:pt>
                <c:pt idx="17">
                  <c:v>1.0842021724855E-19</c:v>
                </c:pt>
                <c:pt idx="18">
                  <c:v>1.0842021724855E-19</c:v>
                </c:pt>
                <c:pt idx="19">
                  <c:v>1.0842021724855E-19</c:v>
                </c:pt>
                <c:pt idx="20">
                  <c:v>1.0842021724855E-19</c:v>
                </c:pt>
                <c:pt idx="21">
                  <c:v>1.0842021724855E-19</c:v>
                </c:pt>
                <c:pt idx="22">
                  <c:v>1.0842021724855E-19</c:v>
                </c:pt>
                <c:pt idx="23" formatCode="General">
                  <c:v>0</c:v>
                </c:pt>
                <c:pt idx="24" formatCode="General">
                  <c:v>0</c:v>
                </c:pt>
                <c:pt idx="25">
                  <c:v>1.0842021724855E-19</c:v>
                </c:pt>
                <c:pt idx="26">
                  <c:v>1.0842021724855E-19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>
                  <c:v>1.0842021724855E-19</c:v>
                </c:pt>
                <c:pt idx="32" formatCode="General">
                  <c:v>0</c:v>
                </c:pt>
                <c:pt idx="33" formatCode="General">
                  <c:v>0</c:v>
                </c:pt>
                <c:pt idx="34">
                  <c:v>1.0842021724855E-19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>
                  <c:v>1.0842021724855E-19</c:v>
                </c:pt>
                <c:pt idx="46">
                  <c:v>1.0842021724855E-19</c:v>
                </c:pt>
                <c:pt idx="47">
                  <c:v>1.0842021724855E-19</c:v>
                </c:pt>
                <c:pt idx="48">
                  <c:v>1.0842021724855E-19</c:v>
                </c:pt>
                <c:pt idx="49">
                  <c:v>1.0842021724855E-19</c:v>
                </c:pt>
                <c:pt idx="50">
                  <c:v>1.0842021724855E-19</c:v>
                </c:pt>
                <c:pt idx="51">
                  <c:v>1.0842021724855E-19</c:v>
                </c:pt>
                <c:pt idx="52">
                  <c:v>1.0842021724855E-19</c:v>
                </c:pt>
                <c:pt idx="53" formatCode="General">
                  <c:v>0</c:v>
                </c:pt>
                <c:pt idx="54" formatCode="General">
                  <c:v>0</c:v>
                </c:pt>
                <c:pt idx="55">
                  <c:v>1.0842021724855E-19</c:v>
                </c:pt>
                <c:pt idx="56">
                  <c:v>1.0842021724855E-19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>
                  <c:v>1.0842021724855E-19</c:v>
                </c:pt>
                <c:pt idx="62">
                  <c:v>1.0842021724855E-19</c:v>
                </c:pt>
                <c:pt idx="63">
                  <c:v>1.0842021724855E-19</c:v>
                </c:pt>
                <c:pt idx="64">
                  <c:v>1.0842021724855E-19</c:v>
                </c:pt>
                <c:pt idx="65" formatCode="General">
                  <c:v>0</c:v>
                </c:pt>
                <c:pt idx="66" formatCode="General">
                  <c:v>0</c:v>
                </c:pt>
                <c:pt idx="67">
                  <c:v>1.0842021724855E-19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>
                  <c:v>1.0842021724855E-19</c:v>
                </c:pt>
                <c:pt idx="72" formatCode="General">
                  <c:v>0</c:v>
                </c:pt>
                <c:pt idx="73" formatCode="General">
                  <c:v>0</c:v>
                </c:pt>
                <c:pt idx="74">
                  <c:v>1.0842021724855E-19</c:v>
                </c:pt>
                <c:pt idx="75" formatCode="General">
                  <c:v>0</c:v>
                </c:pt>
                <c:pt idx="76">
                  <c:v>1.0842021724855E-19</c:v>
                </c:pt>
                <c:pt idx="77">
                  <c:v>1.0842021724855E-19</c:v>
                </c:pt>
                <c:pt idx="78">
                  <c:v>1.0842021724855E-19</c:v>
                </c:pt>
                <c:pt idx="79">
                  <c:v>1.0842021724855E-19</c:v>
                </c:pt>
                <c:pt idx="80">
                  <c:v>1.0842021724855E-19</c:v>
                </c:pt>
                <c:pt idx="81" formatCode="General">
                  <c:v>0</c:v>
                </c:pt>
                <c:pt idx="82" formatCode="General">
                  <c:v>0</c:v>
                </c:pt>
                <c:pt idx="83">
                  <c:v>1.0842021724855E-19</c:v>
                </c:pt>
                <c:pt idx="84" formatCode="General">
                  <c:v>0</c:v>
                </c:pt>
                <c:pt idx="85">
                  <c:v>1.0842021724855E-19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>
                  <c:v>1.0842021724855E-19</c:v>
                </c:pt>
                <c:pt idx="90">
                  <c:v>1.0842021724855E-19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>
                  <c:v>1.0842021724855E-19</c:v>
                </c:pt>
                <c:pt idx="95" formatCode="General">
                  <c:v>0</c:v>
                </c:pt>
                <c:pt idx="96">
                  <c:v>1.0842021724855E-19</c:v>
                </c:pt>
                <c:pt idx="97">
                  <c:v>1.0842021724855E-19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>
                  <c:v>1.0842021724855E-19</c:v>
                </c:pt>
                <c:pt idx="105" formatCode="General">
                  <c:v>0</c:v>
                </c:pt>
                <c:pt idx="106">
                  <c:v>1.0842021724855E-19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>
                  <c:v>1.0842021724855E-19</c:v>
                </c:pt>
                <c:pt idx="110">
                  <c:v>1.0842021724855E-19</c:v>
                </c:pt>
                <c:pt idx="111" formatCode="General">
                  <c:v>0</c:v>
                </c:pt>
                <c:pt idx="112">
                  <c:v>1.0842021724855E-19</c:v>
                </c:pt>
                <c:pt idx="113" formatCode="General">
                  <c:v>0</c:v>
                </c:pt>
                <c:pt idx="114">
                  <c:v>1.0842021724855E-19</c:v>
                </c:pt>
                <c:pt idx="115" formatCode="General">
                  <c:v>0</c:v>
                </c:pt>
                <c:pt idx="116">
                  <c:v>2.1684043449710098E-19</c:v>
                </c:pt>
                <c:pt idx="117">
                  <c:v>2.1684043449710098E-19</c:v>
                </c:pt>
                <c:pt idx="118">
                  <c:v>2.1684043449710098E-19</c:v>
                </c:pt>
                <c:pt idx="119">
                  <c:v>2.1684043449710098E-19</c:v>
                </c:pt>
                <c:pt idx="120">
                  <c:v>2.1684043449710098E-19</c:v>
                </c:pt>
                <c:pt idx="121">
                  <c:v>2.1684043449710098E-19</c:v>
                </c:pt>
                <c:pt idx="122">
                  <c:v>2.1684043449710098E-19</c:v>
                </c:pt>
                <c:pt idx="123">
                  <c:v>2.1684043449710098E-19</c:v>
                </c:pt>
                <c:pt idx="124">
                  <c:v>2.1684043449710098E-19</c:v>
                </c:pt>
                <c:pt idx="125">
                  <c:v>2.1684043449710098E-19</c:v>
                </c:pt>
                <c:pt idx="126">
                  <c:v>2.1684043449710098E-19</c:v>
                </c:pt>
                <c:pt idx="127">
                  <c:v>2.1684043449710098E-19</c:v>
                </c:pt>
                <c:pt idx="128">
                  <c:v>2.1684043449710098E-19</c:v>
                </c:pt>
                <c:pt idx="129">
                  <c:v>2.1684043449710098E-19</c:v>
                </c:pt>
                <c:pt idx="130">
                  <c:v>2.1684043449710098E-19</c:v>
                </c:pt>
                <c:pt idx="131" formatCode="General">
                  <c:v>0</c:v>
                </c:pt>
                <c:pt idx="132">
                  <c:v>4.3368086899420197E-19</c:v>
                </c:pt>
                <c:pt idx="133">
                  <c:v>4.3368086899420197E-19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0 Vertical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Implicit_Fracs!$C$3:$C$137</c:f>
              <c:numCache>
                <c:formatCode>General</c:formatCode>
                <c:ptCount val="135"/>
                <c:pt idx="0">
                  <c:v>0</c:v>
                </c:pt>
                <c:pt idx="1">
                  <c:v>6.5458908507104702E-2</c:v>
                </c:pt>
                <c:pt idx="2">
                  <c:v>0.13176814316740099</c:v>
                </c:pt>
                <c:pt idx="3">
                  <c:v>0.13186826813090199</c:v>
                </c:pt>
                <c:pt idx="4">
                  <c:v>0.13193476474701199</c:v>
                </c:pt>
                <c:pt idx="5">
                  <c:v>0.13198479709104599</c:v>
                </c:pt>
                <c:pt idx="6">
                  <c:v>0.13202502140737399</c:v>
                </c:pt>
                <c:pt idx="7">
                  <c:v>0.13205872802012</c:v>
                </c:pt>
                <c:pt idx="8">
                  <c:v>0.13208778730863199</c:v>
                </c:pt>
                <c:pt idx="9">
                  <c:v>0.13211336516595401</c:v>
                </c:pt>
                <c:pt idx="10">
                  <c:v>0.13213623777253899</c:v>
                </c:pt>
                <c:pt idx="11">
                  <c:v>0.13215694806964901</c:v>
                </c:pt>
                <c:pt idx="12">
                  <c:v>0.13217589080321199</c:v>
                </c:pt>
                <c:pt idx="13">
                  <c:v>0.132193362018386</c:v>
                </c:pt>
                <c:pt idx="14">
                  <c:v>0.13220958947116601</c:v>
                </c:pt>
                <c:pt idx="15">
                  <c:v>0.13222475215856899</c:v>
                </c:pt>
                <c:pt idx="16">
                  <c:v>0.13223899332967701</c:v>
                </c:pt>
                <c:pt idx="17">
                  <c:v>0.13225242942655999</c:v>
                </c:pt>
                <c:pt idx="18">
                  <c:v>0.13226515639358999</c:v>
                </c:pt>
                <c:pt idx="19">
                  <c:v>0.132277254233337</c:v>
                </c:pt>
                <c:pt idx="20">
                  <c:v>0.13228879036321101</c:v>
                </c:pt>
                <c:pt idx="21">
                  <c:v>0.132299822132879</c:v>
                </c:pt>
                <c:pt idx="22">
                  <c:v>0.13231039874234099</c:v>
                </c:pt>
                <c:pt idx="23">
                  <c:v>0.132320562724178</c:v>
                </c:pt>
                <c:pt idx="24">
                  <c:v>0.132330351103702</c:v>
                </c:pt>
                <c:pt idx="25">
                  <c:v>0.13233979631753401</c:v>
                </c:pt>
                <c:pt idx="26">
                  <c:v>0.13234892694859399</c:v>
                </c:pt>
                <c:pt idx="27">
                  <c:v>0.13235776832238</c:v>
                </c:pt>
                <c:pt idx="28">
                  <c:v>0.13236634299286601</c:v>
                </c:pt>
                <c:pt idx="29">
                  <c:v>0.13237467113954199</c:v>
                </c:pt>
                <c:pt idx="30">
                  <c:v>0.13238277089615499</c:v>
                </c:pt>
                <c:pt idx="31">
                  <c:v>0.132390658624819</c:v>
                </c:pt>
                <c:pt idx="32">
                  <c:v>0.132398349146053</c:v>
                </c:pt>
                <c:pt idx="33">
                  <c:v>0.13240585593302101</c:v>
                </c:pt>
                <c:pt idx="34">
                  <c:v>0.13241319127647799</c:v>
                </c:pt>
                <c:pt idx="35">
                  <c:v>0.13242036642560001</c:v>
                </c:pt>
                <c:pt idx="36">
                  <c:v>0.132427391708834</c:v>
                </c:pt>
                <c:pt idx="37">
                  <c:v>0.132434276638105</c:v>
                </c:pt>
                <c:pt idx="38">
                  <c:v>0.132441029999084</c:v>
                </c:pt>
                <c:pt idx="39">
                  <c:v>0.13244765992973101</c:v>
                </c:pt>
                <c:pt idx="40">
                  <c:v>0.13245417398892001</c:v>
                </c:pt>
                <c:pt idx="41">
                  <c:v>0.132460579216643</c:v>
                </c:pt>
                <c:pt idx="42">
                  <c:v>0.132466882187049</c:v>
                </c:pt>
                <c:pt idx="43">
                  <c:v>0.132473089055338</c:v>
                </c:pt>
                <c:pt idx="44">
                  <c:v>0.132479205599384</c:v>
                </c:pt>
                <c:pt idx="45">
                  <c:v>0.13248523725683301</c:v>
                </c:pt>
                <c:pt idx="46">
                  <c:v>0.13249118915828001</c:v>
                </c:pt>
                <c:pt idx="47">
                  <c:v>0.132497066157058</c:v>
                </c:pt>
                <c:pt idx="48">
                  <c:v>0.13250287285609899</c:v>
                </c:pt>
                <c:pt idx="49">
                  <c:v>0.13250861363223901</c:v>
                </c:pt>
                <c:pt idx="50">
                  <c:v>0.13251429265831799</c:v>
                </c:pt>
                <c:pt idx="51">
                  <c:v>0.132519913923346</c:v>
                </c:pt>
                <c:pt idx="52">
                  <c:v>0.13252548125101099</c:v>
                </c:pt>
                <c:pt idx="53">
                  <c:v>0.13253099831673101</c:v>
                </c:pt>
                <c:pt idx="54">
                  <c:v>0.132536468663457</c:v>
                </c:pt>
                <c:pt idx="55">
                  <c:v>0.13254189571640099</c:v>
                </c:pt>
                <c:pt idx="56">
                  <c:v>0.132547282796843</c:v>
                </c:pt>
                <c:pt idx="57">
                  <c:v>0.132552633135158</c:v>
                </c:pt>
                <c:pt idx="58">
                  <c:v>0.13255794988320099</c:v>
                </c:pt>
                <c:pt idx="59">
                  <c:v>0.13256323612616</c:v>
                </c:pt>
                <c:pt idx="60">
                  <c:v>0.132568494893996</c:v>
                </c:pt>
                <c:pt idx="61">
                  <c:v>0.132573729172584</c:v>
                </c:pt>
                <c:pt idx="62">
                  <c:v>0.13257894191464301</c:v>
                </c:pt>
                <c:pt idx="63">
                  <c:v>0.13258413605057701</c:v>
                </c:pt>
                <c:pt idx="64">
                  <c:v>0.13258931449931599</c:v>
                </c:pt>
                <c:pt idx="65">
                  <c:v>0.132594480179276</c:v>
                </c:pt>
                <c:pt idx="66">
                  <c:v>0.13259963601953101</c:v>
                </c:pt>
                <c:pt idx="67">
                  <c:v>0.13260478497133399</c:v>
                </c:pt>
                <c:pt idx="68">
                  <c:v>0.132609930020096</c:v>
                </c:pt>
                <c:pt idx="69">
                  <c:v>0.13261507419797</c:v>
                </c:pt>
                <c:pt idx="70">
                  <c:v>0.13262022059718601</c:v>
                </c:pt>
                <c:pt idx="71">
                  <c:v>0.13262537238431599</c:v>
                </c:pt>
                <c:pt idx="72">
                  <c:v>0.13263053281565201</c:v>
                </c:pt>
                <c:pt idx="73">
                  <c:v>0.13263570525393401</c:v>
                </c:pt>
                <c:pt idx="74">
                  <c:v>0.13264089318667299</c:v>
                </c:pt>
                <c:pt idx="75">
                  <c:v>0.13264610024638099</c:v>
                </c:pt>
                <c:pt idx="76">
                  <c:v>0.132651330233057</c:v>
                </c:pt>
                <c:pt idx="77">
                  <c:v>0.13265658713935299</c:v>
                </c:pt>
                <c:pt idx="78">
                  <c:v>0.132661875178925</c:v>
                </c:pt>
                <c:pt idx="79">
                  <c:v>0.132667198818578</c:v>
                </c:pt>
                <c:pt idx="80">
                  <c:v>0.13267256281493001</c:v>
                </c:pt>
                <c:pt idx="81">
                  <c:v>0.13267797225650099</c:v>
                </c:pt>
                <c:pt idx="82">
                  <c:v>0.13268343261232099</c:v>
                </c:pt>
                <c:pt idx="83">
                  <c:v>0.132688949788421</c:v>
                </c:pt>
                <c:pt idx="84">
                  <c:v>0.13269453019390001</c:v>
                </c:pt>
                <c:pt idx="85">
                  <c:v>0.132700180818698</c:v>
                </c:pt>
                <c:pt idx="86">
                  <c:v>0.13270590932577001</c:v>
                </c:pt>
                <c:pt idx="87">
                  <c:v>0.1327117241611</c:v>
                </c:pt>
                <c:pt idx="88">
                  <c:v>0.13271763468600001</c:v>
                </c:pt>
                <c:pt idx="89">
                  <c:v>0.13272365133744901</c:v>
                </c:pt>
                <c:pt idx="90">
                  <c:v>0.13272978582409101</c:v>
                </c:pt>
                <c:pt idx="91">
                  <c:v>0.132736051367976</c:v>
                </c:pt>
                <c:pt idx="92">
                  <c:v>0.13274246300567499</c:v>
                </c:pt>
                <c:pt idx="93">
                  <c:v>0.13274903796735801</c:v>
                </c:pt>
                <c:pt idx="94">
                  <c:v>0.13275579615959901</c:v>
                </c:pt>
                <c:pt idx="95">
                  <c:v>0.132762760788222</c:v>
                </c:pt>
                <c:pt idx="96">
                  <c:v>0.132769959173233</c:v>
                </c:pt>
                <c:pt idx="97">
                  <c:v>0.13277742383199001</c:v>
                </c:pt>
                <c:pt idx="98">
                  <c:v>0.1327851939445</c:v>
                </c:pt>
                <c:pt idx="99">
                  <c:v>0.132793317375444</c:v>
                </c:pt>
                <c:pt idx="100">
                  <c:v>0.13280185352829299</c:v>
                </c:pt>
                <c:pt idx="101">
                  <c:v>0.132810877479836</c:v>
                </c:pt>
                <c:pt idx="102">
                  <c:v>0.13282048615262401</c:v>
                </c:pt>
                <c:pt idx="103">
                  <c:v>0.132830807861128</c:v>
                </c:pt>
                <c:pt idx="104">
                  <c:v>0.13284201770953799</c:v>
                </c:pt>
                <c:pt idx="105">
                  <c:v>0.13285436372397999</c:v>
                </c:pt>
                <c:pt idx="106">
                  <c:v>0.13286821407563301</c:v>
                </c:pt>
                <c:pt idx="107">
                  <c:v>0.13288414946998101</c:v>
                </c:pt>
                <c:pt idx="108">
                  <c:v>0.13290316364780599</c:v>
                </c:pt>
                <c:pt idx="109">
                  <c:v>0.13292716444816299</c:v>
                </c:pt>
                <c:pt idx="110">
                  <c:v>0.13296050828176201</c:v>
                </c:pt>
                <c:pt idx="111">
                  <c:v>0.133016455978234</c:v>
                </c:pt>
                <c:pt idx="112">
                  <c:v>0.133164104046676</c:v>
                </c:pt>
                <c:pt idx="113">
                  <c:v>0.133431996568736</c:v>
                </c:pt>
                <c:pt idx="114">
                  <c:v>0.133700438474817</c:v>
                </c:pt>
                <c:pt idx="115">
                  <c:v>0.133970452116941</c:v>
                </c:pt>
                <c:pt idx="116">
                  <c:v>0.13424220517699001</c:v>
                </c:pt>
                <c:pt idx="117">
                  <c:v>0.22905350523007401</c:v>
                </c:pt>
                <c:pt idx="118">
                  <c:v>0.38328114622283099</c:v>
                </c:pt>
                <c:pt idx="119">
                  <c:v>0.38356152476168698</c:v>
                </c:pt>
                <c:pt idx="120">
                  <c:v>0.38379299379392201</c:v>
                </c:pt>
                <c:pt idx="121">
                  <c:v>0.38401822640655697</c:v>
                </c:pt>
                <c:pt idx="122">
                  <c:v>0.38424140815787</c:v>
                </c:pt>
                <c:pt idx="123">
                  <c:v>0.38446671085117801</c:v>
                </c:pt>
                <c:pt idx="124">
                  <c:v>0.38469880401552398</c:v>
                </c:pt>
                <c:pt idx="125">
                  <c:v>0.38494358472481499</c:v>
                </c:pt>
                <c:pt idx="126">
                  <c:v>0.385209474459207</c:v>
                </c:pt>
                <c:pt idx="127">
                  <c:v>0.385510194425701</c:v>
                </c:pt>
                <c:pt idx="128">
                  <c:v>0.38587195349777198</c:v>
                </c:pt>
                <c:pt idx="129">
                  <c:v>0.38635739088152099</c:v>
                </c:pt>
                <c:pt idx="130">
                  <c:v>0.387184549989666</c:v>
                </c:pt>
                <c:pt idx="131">
                  <c:v>0.38991903710217202</c:v>
                </c:pt>
                <c:pt idx="132">
                  <c:v>0.398962028776634</c:v>
                </c:pt>
                <c:pt idx="133">
                  <c:v>0.59896202877663396</c:v>
                </c:pt>
                <c:pt idx="134">
                  <c:v>0.59896202877663396</c:v>
                </c:pt>
              </c:numCache>
            </c:numRef>
          </c:xVal>
          <c:yVal>
            <c:numRef>
              <c:f>Implicit_Fracs!$I$3:$I$137</c:f>
              <c:numCache>
                <c:formatCode>General</c:formatCode>
                <c:ptCount val="1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3842838.7214028598</c:v>
                </c:pt>
                <c:pt idx="119">
                  <c:v>3844437.5724671902</c:v>
                </c:pt>
                <c:pt idx="120">
                  <c:v>3845755.6679651099</c:v>
                </c:pt>
                <c:pt idx="121">
                  <c:v>3847036.7659133398</c:v>
                </c:pt>
                <c:pt idx="122">
                  <c:v>3848304.7692029802</c:v>
                </c:pt>
                <c:pt idx="123">
                  <c:v>3849583.3941653799</c:v>
                </c:pt>
                <c:pt idx="124">
                  <c:v>3850899.0722201699</c:v>
                </c:pt>
                <c:pt idx="125">
                  <c:v>3852285.0625284798</c:v>
                </c:pt>
                <c:pt idx="126">
                  <c:v>3853788.7331500198</c:v>
                </c:pt>
                <c:pt idx="127">
                  <c:v>3855487.1162216198</c:v>
                </c:pt>
                <c:pt idx="128">
                  <c:v>3857527.15922633</c:v>
                </c:pt>
                <c:pt idx="129">
                  <c:v>3860259.7012451701</c:v>
                </c:pt>
                <c:pt idx="130">
                  <c:v>3864904.5041646599</c:v>
                </c:pt>
                <c:pt idx="131">
                  <c:v>3880196.1502627502</c:v>
                </c:pt>
                <c:pt idx="132">
                  <c:v>3930074.4520742302</c:v>
                </c:pt>
                <c:pt idx="133">
                  <c:v>4983333.3333333302</c:v>
                </c:pt>
                <c:pt idx="134">
                  <c:v>4983333.3333333302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1 Vertical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Implicit_Fracs!$C$3:$C$137</c:f>
              <c:numCache>
                <c:formatCode>General</c:formatCode>
                <c:ptCount val="135"/>
                <c:pt idx="0">
                  <c:v>0</c:v>
                </c:pt>
                <c:pt idx="1">
                  <c:v>6.5458908507104702E-2</c:v>
                </c:pt>
                <c:pt idx="2">
                  <c:v>0.13176814316740099</c:v>
                </c:pt>
                <c:pt idx="3">
                  <c:v>0.13186826813090199</c:v>
                </c:pt>
                <c:pt idx="4">
                  <c:v>0.13193476474701199</c:v>
                </c:pt>
                <c:pt idx="5">
                  <c:v>0.13198479709104599</c:v>
                </c:pt>
                <c:pt idx="6">
                  <c:v>0.13202502140737399</c:v>
                </c:pt>
                <c:pt idx="7">
                  <c:v>0.13205872802012</c:v>
                </c:pt>
                <c:pt idx="8">
                  <c:v>0.13208778730863199</c:v>
                </c:pt>
                <c:pt idx="9">
                  <c:v>0.13211336516595401</c:v>
                </c:pt>
                <c:pt idx="10">
                  <c:v>0.13213623777253899</c:v>
                </c:pt>
                <c:pt idx="11">
                  <c:v>0.13215694806964901</c:v>
                </c:pt>
                <c:pt idx="12">
                  <c:v>0.13217589080321199</c:v>
                </c:pt>
                <c:pt idx="13">
                  <c:v>0.132193362018386</c:v>
                </c:pt>
                <c:pt idx="14">
                  <c:v>0.13220958947116601</c:v>
                </c:pt>
                <c:pt idx="15">
                  <c:v>0.13222475215856899</c:v>
                </c:pt>
                <c:pt idx="16">
                  <c:v>0.13223899332967701</c:v>
                </c:pt>
                <c:pt idx="17">
                  <c:v>0.13225242942655999</c:v>
                </c:pt>
                <c:pt idx="18">
                  <c:v>0.13226515639358999</c:v>
                </c:pt>
                <c:pt idx="19">
                  <c:v>0.132277254233337</c:v>
                </c:pt>
                <c:pt idx="20">
                  <c:v>0.13228879036321101</c:v>
                </c:pt>
                <c:pt idx="21">
                  <c:v>0.132299822132879</c:v>
                </c:pt>
                <c:pt idx="22">
                  <c:v>0.13231039874234099</c:v>
                </c:pt>
                <c:pt idx="23">
                  <c:v>0.132320562724178</c:v>
                </c:pt>
                <c:pt idx="24">
                  <c:v>0.132330351103702</c:v>
                </c:pt>
                <c:pt idx="25">
                  <c:v>0.13233979631753401</c:v>
                </c:pt>
                <c:pt idx="26">
                  <c:v>0.13234892694859399</c:v>
                </c:pt>
                <c:pt idx="27">
                  <c:v>0.13235776832238</c:v>
                </c:pt>
                <c:pt idx="28">
                  <c:v>0.13236634299286601</c:v>
                </c:pt>
                <c:pt idx="29">
                  <c:v>0.13237467113954199</c:v>
                </c:pt>
                <c:pt idx="30">
                  <c:v>0.13238277089615499</c:v>
                </c:pt>
                <c:pt idx="31">
                  <c:v>0.132390658624819</c:v>
                </c:pt>
                <c:pt idx="32">
                  <c:v>0.132398349146053</c:v>
                </c:pt>
                <c:pt idx="33">
                  <c:v>0.13240585593302101</c:v>
                </c:pt>
                <c:pt idx="34">
                  <c:v>0.13241319127647799</c:v>
                </c:pt>
                <c:pt idx="35">
                  <c:v>0.13242036642560001</c:v>
                </c:pt>
                <c:pt idx="36">
                  <c:v>0.132427391708834</c:v>
                </c:pt>
                <c:pt idx="37">
                  <c:v>0.132434276638105</c:v>
                </c:pt>
                <c:pt idx="38">
                  <c:v>0.132441029999084</c:v>
                </c:pt>
                <c:pt idx="39">
                  <c:v>0.13244765992973101</c:v>
                </c:pt>
                <c:pt idx="40">
                  <c:v>0.13245417398892001</c:v>
                </c:pt>
                <c:pt idx="41">
                  <c:v>0.132460579216643</c:v>
                </c:pt>
                <c:pt idx="42">
                  <c:v>0.132466882187049</c:v>
                </c:pt>
                <c:pt idx="43">
                  <c:v>0.132473089055338</c:v>
                </c:pt>
                <c:pt idx="44">
                  <c:v>0.132479205599384</c:v>
                </c:pt>
                <c:pt idx="45">
                  <c:v>0.13248523725683301</c:v>
                </c:pt>
                <c:pt idx="46">
                  <c:v>0.13249118915828001</c:v>
                </c:pt>
                <c:pt idx="47">
                  <c:v>0.132497066157058</c:v>
                </c:pt>
                <c:pt idx="48">
                  <c:v>0.13250287285609899</c:v>
                </c:pt>
                <c:pt idx="49">
                  <c:v>0.13250861363223901</c:v>
                </c:pt>
                <c:pt idx="50">
                  <c:v>0.13251429265831799</c:v>
                </c:pt>
                <c:pt idx="51">
                  <c:v>0.132519913923346</c:v>
                </c:pt>
                <c:pt idx="52">
                  <c:v>0.13252548125101099</c:v>
                </c:pt>
                <c:pt idx="53">
                  <c:v>0.13253099831673101</c:v>
                </c:pt>
                <c:pt idx="54">
                  <c:v>0.132536468663457</c:v>
                </c:pt>
                <c:pt idx="55">
                  <c:v>0.13254189571640099</c:v>
                </c:pt>
                <c:pt idx="56">
                  <c:v>0.132547282796843</c:v>
                </c:pt>
                <c:pt idx="57">
                  <c:v>0.132552633135158</c:v>
                </c:pt>
                <c:pt idx="58">
                  <c:v>0.13255794988320099</c:v>
                </c:pt>
                <c:pt idx="59">
                  <c:v>0.13256323612616</c:v>
                </c:pt>
                <c:pt idx="60">
                  <c:v>0.132568494893996</c:v>
                </c:pt>
                <c:pt idx="61">
                  <c:v>0.132573729172584</c:v>
                </c:pt>
                <c:pt idx="62">
                  <c:v>0.13257894191464301</c:v>
                </c:pt>
                <c:pt idx="63">
                  <c:v>0.13258413605057701</c:v>
                </c:pt>
                <c:pt idx="64">
                  <c:v>0.13258931449931599</c:v>
                </c:pt>
                <c:pt idx="65">
                  <c:v>0.132594480179276</c:v>
                </c:pt>
                <c:pt idx="66">
                  <c:v>0.13259963601953101</c:v>
                </c:pt>
                <c:pt idx="67">
                  <c:v>0.13260478497133399</c:v>
                </c:pt>
                <c:pt idx="68">
                  <c:v>0.132609930020096</c:v>
                </c:pt>
                <c:pt idx="69">
                  <c:v>0.13261507419797</c:v>
                </c:pt>
                <c:pt idx="70">
                  <c:v>0.13262022059718601</c:v>
                </c:pt>
                <c:pt idx="71">
                  <c:v>0.13262537238431599</c:v>
                </c:pt>
                <c:pt idx="72">
                  <c:v>0.13263053281565201</c:v>
                </c:pt>
                <c:pt idx="73">
                  <c:v>0.13263570525393401</c:v>
                </c:pt>
                <c:pt idx="74">
                  <c:v>0.13264089318667299</c:v>
                </c:pt>
                <c:pt idx="75">
                  <c:v>0.13264610024638099</c:v>
                </c:pt>
                <c:pt idx="76">
                  <c:v>0.132651330233057</c:v>
                </c:pt>
                <c:pt idx="77">
                  <c:v>0.13265658713935299</c:v>
                </c:pt>
                <c:pt idx="78">
                  <c:v>0.132661875178925</c:v>
                </c:pt>
                <c:pt idx="79">
                  <c:v>0.132667198818578</c:v>
                </c:pt>
                <c:pt idx="80">
                  <c:v>0.13267256281493001</c:v>
                </c:pt>
                <c:pt idx="81">
                  <c:v>0.13267797225650099</c:v>
                </c:pt>
                <c:pt idx="82">
                  <c:v>0.13268343261232099</c:v>
                </c:pt>
                <c:pt idx="83">
                  <c:v>0.132688949788421</c:v>
                </c:pt>
                <c:pt idx="84">
                  <c:v>0.13269453019390001</c:v>
                </c:pt>
                <c:pt idx="85">
                  <c:v>0.132700180818698</c:v>
                </c:pt>
                <c:pt idx="86">
                  <c:v>0.13270590932577001</c:v>
                </c:pt>
                <c:pt idx="87">
                  <c:v>0.1327117241611</c:v>
                </c:pt>
                <c:pt idx="88">
                  <c:v>0.13271763468600001</c:v>
                </c:pt>
                <c:pt idx="89">
                  <c:v>0.13272365133744901</c:v>
                </c:pt>
                <c:pt idx="90">
                  <c:v>0.13272978582409101</c:v>
                </c:pt>
                <c:pt idx="91">
                  <c:v>0.132736051367976</c:v>
                </c:pt>
                <c:pt idx="92">
                  <c:v>0.13274246300567499</c:v>
                </c:pt>
                <c:pt idx="93">
                  <c:v>0.13274903796735801</c:v>
                </c:pt>
                <c:pt idx="94">
                  <c:v>0.13275579615959901</c:v>
                </c:pt>
                <c:pt idx="95">
                  <c:v>0.132762760788222</c:v>
                </c:pt>
                <c:pt idx="96">
                  <c:v>0.132769959173233</c:v>
                </c:pt>
                <c:pt idx="97">
                  <c:v>0.13277742383199001</c:v>
                </c:pt>
                <c:pt idx="98">
                  <c:v>0.1327851939445</c:v>
                </c:pt>
                <c:pt idx="99">
                  <c:v>0.132793317375444</c:v>
                </c:pt>
                <c:pt idx="100">
                  <c:v>0.13280185352829299</c:v>
                </c:pt>
                <c:pt idx="101">
                  <c:v>0.132810877479836</c:v>
                </c:pt>
                <c:pt idx="102">
                  <c:v>0.13282048615262401</c:v>
                </c:pt>
                <c:pt idx="103">
                  <c:v>0.132830807861128</c:v>
                </c:pt>
                <c:pt idx="104">
                  <c:v>0.13284201770953799</c:v>
                </c:pt>
                <c:pt idx="105">
                  <c:v>0.13285436372397999</c:v>
                </c:pt>
                <c:pt idx="106">
                  <c:v>0.13286821407563301</c:v>
                </c:pt>
                <c:pt idx="107">
                  <c:v>0.13288414946998101</c:v>
                </c:pt>
                <c:pt idx="108">
                  <c:v>0.13290316364780599</c:v>
                </c:pt>
                <c:pt idx="109">
                  <c:v>0.13292716444816299</c:v>
                </c:pt>
                <c:pt idx="110">
                  <c:v>0.13296050828176201</c:v>
                </c:pt>
                <c:pt idx="111">
                  <c:v>0.133016455978234</c:v>
                </c:pt>
                <c:pt idx="112">
                  <c:v>0.133164104046676</c:v>
                </c:pt>
                <c:pt idx="113">
                  <c:v>0.133431996568736</c:v>
                </c:pt>
                <c:pt idx="114">
                  <c:v>0.133700438474817</c:v>
                </c:pt>
                <c:pt idx="115">
                  <c:v>0.133970452116941</c:v>
                </c:pt>
                <c:pt idx="116">
                  <c:v>0.13424220517699001</c:v>
                </c:pt>
                <c:pt idx="117">
                  <c:v>0.22905350523007401</c:v>
                </c:pt>
                <c:pt idx="118">
                  <c:v>0.38328114622283099</c:v>
                </c:pt>
                <c:pt idx="119">
                  <c:v>0.38356152476168698</c:v>
                </c:pt>
                <c:pt idx="120">
                  <c:v>0.38379299379392201</c:v>
                </c:pt>
                <c:pt idx="121">
                  <c:v>0.38401822640655697</c:v>
                </c:pt>
                <c:pt idx="122">
                  <c:v>0.38424140815787</c:v>
                </c:pt>
                <c:pt idx="123">
                  <c:v>0.38446671085117801</c:v>
                </c:pt>
                <c:pt idx="124">
                  <c:v>0.38469880401552398</c:v>
                </c:pt>
                <c:pt idx="125">
                  <c:v>0.38494358472481499</c:v>
                </c:pt>
                <c:pt idx="126">
                  <c:v>0.385209474459207</c:v>
                </c:pt>
                <c:pt idx="127">
                  <c:v>0.385510194425701</c:v>
                </c:pt>
                <c:pt idx="128">
                  <c:v>0.38587195349777198</c:v>
                </c:pt>
                <c:pt idx="129">
                  <c:v>0.38635739088152099</c:v>
                </c:pt>
                <c:pt idx="130">
                  <c:v>0.387184549989666</c:v>
                </c:pt>
                <c:pt idx="131">
                  <c:v>0.38991903710217202</c:v>
                </c:pt>
                <c:pt idx="132">
                  <c:v>0.398962028776634</c:v>
                </c:pt>
                <c:pt idx="133">
                  <c:v>0.59896202877663396</c:v>
                </c:pt>
                <c:pt idx="134">
                  <c:v>0.59896202877663396</c:v>
                </c:pt>
              </c:numCache>
            </c:numRef>
          </c:xVal>
          <c:yVal>
            <c:numRef>
              <c:f>Implicit_Fracs!$AK$3:$AK$137</c:f>
              <c:numCache>
                <c:formatCode>General</c:formatCode>
                <c:ptCount val="1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0 InclinedSteep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Implicit_Fracs!$C$3:$C$137</c:f>
              <c:numCache>
                <c:formatCode>General</c:formatCode>
                <c:ptCount val="135"/>
                <c:pt idx="0">
                  <c:v>0</c:v>
                </c:pt>
                <c:pt idx="1">
                  <c:v>6.5458908507104702E-2</c:v>
                </c:pt>
                <c:pt idx="2">
                  <c:v>0.13176814316740099</c:v>
                </c:pt>
                <c:pt idx="3">
                  <c:v>0.13186826813090199</c:v>
                </c:pt>
                <c:pt idx="4">
                  <c:v>0.13193476474701199</c:v>
                </c:pt>
                <c:pt idx="5">
                  <c:v>0.13198479709104599</c:v>
                </c:pt>
                <c:pt idx="6">
                  <c:v>0.13202502140737399</c:v>
                </c:pt>
                <c:pt idx="7">
                  <c:v>0.13205872802012</c:v>
                </c:pt>
                <c:pt idx="8">
                  <c:v>0.13208778730863199</c:v>
                </c:pt>
                <c:pt idx="9">
                  <c:v>0.13211336516595401</c:v>
                </c:pt>
                <c:pt idx="10">
                  <c:v>0.13213623777253899</c:v>
                </c:pt>
                <c:pt idx="11">
                  <c:v>0.13215694806964901</c:v>
                </c:pt>
                <c:pt idx="12">
                  <c:v>0.13217589080321199</c:v>
                </c:pt>
                <c:pt idx="13">
                  <c:v>0.132193362018386</c:v>
                </c:pt>
                <c:pt idx="14">
                  <c:v>0.13220958947116601</c:v>
                </c:pt>
                <c:pt idx="15">
                  <c:v>0.13222475215856899</c:v>
                </c:pt>
                <c:pt idx="16">
                  <c:v>0.13223899332967701</c:v>
                </c:pt>
                <c:pt idx="17">
                  <c:v>0.13225242942655999</c:v>
                </c:pt>
                <c:pt idx="18">
                  <c:v>0.13226515639358999</c:v>
                </c:pt>
                <c:pt idx="19">
                  <c:v>0.132277254233337</c:v>
                </c:pt>
                <c:pt idx="20">
                  <c:v>0.13228879036321101</c:v>
                </c:pt>
                <c:pt idx="21">
                  <c:v>0.132299822132879</c:v>
                </c:pt>
                <c:pt idx="22">
                  <c:v>0.13231039874234099</c:v>
                </c:pt>
                <c:pt idx="23">
                  <c:v>0.132320562724178</c:v>
                </c:pt>
                <c:pt idx="24">
                  <c:v>0.132330351103702</c:v>
                </c:pt>
                <c:pt idx="25">
                  <c:v>0.13233979631753401</c:v>
                </c:pt>
                <c:pt idx="26">
                  <c:v>0.13234892694859399</c:v>
                </c:pt>
                <c:pt idx="27">
                  <c:v>0.13235776832238</c:v>
                </c:pt>
                <c:pt idx="28">
                  <c:v>0.13236634299286601</c:v>
                </c:pt>
                <c:pt idx="29">
                  <c:v>0.13237467113954199</c:v>
                </c:pt>
                <c:pt idx="30">
                  <c:v>0.13238277089615499</c:v>
                </c:pt>
                <c:pt idx="31">
                  <c:v>0.132390658624819</c:v>
                </c:pt>
                <c:pt idx="32">
                  <c:v>0.132398349146053</c:v>
                </c:pt>
                <c:pt idx="33">
                  <c:v>0.13240585593302101</c:v>
                </c:pt>
                <c:pt idx="34">
                  <c:v>0.13241319127647799</c:v>
                </c:pt>
                <c:pt idx="35">
                  <c:v>0.13242036642560001</c:v>
                </c:pt>
                <c:pt idx="36">
                  <c:v>0.132427391708834</c:v>
                </c:pt>
                <c:pt idx="37">
                  <c:v>0.132434276638105</c:v>
                </c:pt>
                <c:pt idx="38">
                  <c:v>0.132441029999084</c:v>
                </c:pt>
                <c:pt idx="39">
                  <c:v>0.13244765992973101</c:v>
                </c:pt>
                <c:pt idx="40">
                  <c:v>0.13245417398892001</c:v>
                </c:pt>
                <c:pt idx="41">
                  <c:v>0.132460579216643</c:v>
                </c:pt>
                <c:pt idx="42">
                  <c:v>0.132466882187049</c:v>
                </c:pt>
                <c:pt idx="43">
                  <c:v>0.132473089055338</c:v>
                </c:pt>
                <c:pt idx="44">
                  <c:v>0.132479205599384</c:v>
                </c:pt>
                <c:pt idx="45">
                  <c:v>0.13248523725683301</c:v>
                </c:pt>
                <c:pt idx="46">
                  <c:v>0.13249118915828001</c:v>
                </c:pt>
                <c:pt idx="47">
                  <c:v>0.132497066157058</c:v>
                </c:pt>
                <c:pt idx="48">
                  <c:v>0.13250287285609899</c:v>
                </c:pt>
                <c:pt idx="49">
                  <c:v>0.13250861363223901</c:v>
                </c:pt>
                <c:pt idx="50">
                  <c:v>0.13251429265831799</c:v>
                </c:pt>
                <c:pt idx="51">
                  <c:v>0.132519913923346</c:v>
                </c:pt>
                <c:pt idx="52">
                  <c:v>0.13252548125101099</c:v>
                </c:pt>
                <c:pt idx="53">
                  <c:v>0.13253099831673101</c:v>
                </c:pt>
                <c:pt idx="54">
                  <c:v>0.132536468663457</c:v>
                </c:pt>
                <c:pt idx="55">
                  <c:v>0.13254189571640099</c:v>
                </c:pt>
                <c:pt idx="56">
                  <c:v>0.132547282796843</c:v>
                </c:pt>
                <c:pt idx="57">
                  <c:v>0.132552633135158</c:v>
                </c:pt>
                <c:pt idx="58">
                  <c:v>0.13255794988320099</c:v>
                </c:pt>
                <c:pt idx="59">
                  <c:v>0.13256323612616</c:v>
                </c:pt>
                <c:pt idx="60">
                  <c:v>0.132568494893996</c:v>
                </c:pt>
                <c:pt idx="61">
                  <c:v>0.132573729172584</c:v>
                </c:pt>
                <c:pt idx="62">
                  <c:v>0.13257894191464301</c:v>
                </c:pt>
                <c:pt idx="63">
                  <c:v>0.13258413605057701</c:v>
                </c:pt>
                <c:pt idx="64">
                  <c:v>0.13258931449931599</c:v>
                </c:pt>
                <c:pt idx="65">
                  <c:v>0.132594480179276</c:v>
                </c:pt>
                <c:pt idx="66">
                  <c:v>0.13259963601953101</c:v>
                </c:pt>
                <c:pt idx="67">
                  <c:v>0.13260478497133399</c:v>
                </c:pt>
                <c:pt idx="68">
                  <c:v>0.132609930020096</c:v>
                </c:pt>
                <c:pt idx="69">
                  <c:v>0.13261507419797</c:v>
                </c:pt>
                <c:pt idx="70">
                  <c:v>0.13262022059718601</c:v>
                </c:pt>
                <c:pt idx="71">
                  <c:v>0.13262537238431599</c:v>
                </c:pt>
                <c:pt idx="72">
                  <c:v>0.13263053281565201</c:v>
                </c:pt>
                <c:pt idx="73">
                  <c:v>0.13263570525393401</c:v>
                </c:pt>
                <c:pt idx="74">
                  <c:v>0.13264089318667299</c:v>
                </c:pt>
                <c:pt idx="75">
                  <c:v>0.13264610024638099</c:v>
                </c:pt>
                <c:pt idx="76">
                  <c:v>0.132651330233057</c:v>
                </c:pt>
                <c:pt idx="77">
                  <c:v>0.13265658713935299</c:v>
                </c:pt>
                <c:pt idx="78">
                  <c:v>0.132661875178925</c:v>
                </c:pt>
                <c:pt idx="79">
                  <c:v>0.132667198818578</c:v>
                </c:pt>
                <c:pt idx="80">
                  <c:v>0.13267256281493001</c:v>
                </c:pt>
                <c:pt idx="81">
                  <c:v>0.13267797225650099</c:v>
                </c:pt>
                <c:pt idx="82">
                  <c:v>0.13268343261232099</c:v>
                </c:pt>
                <c:pt idx="83">
                  <c:v>0.132688949788421</c:v>
                </c:pt>
                <c:pt idx="84">
                  <c:v>0.13269453019390001</c:v>
                </c:pt>
                <c:pt idx="85">
                  <c:v>0.132700180818698</c:v>
                </c:pt>
                <c:pt idx="86">
                  <c:v>0.13270590932577001</c:v>
                </c:pt>
                <c:pt idx="87">
                  <c:v>0.1327117241611</c:v>
                </c:pt>
                <c:pt idx="88">
                  <c:v>0.13271763468600001</c:v>
                </c:pt>
                <c:pt idx="89">
                  <c:v>0.13272365133744901</c:v>
                </c:pt>
                <c:pt idx="90">
                  <c:v>0.13272978582409101</c:v>
                </c:pt>
                <c:pt idx="91">
                  <c:v>0.132736051367976</c:v>
                </c:pt>
                <c:pt idx="92">
                  <c:v>0.13274246300567499</c:v>
                </c:pt>
                <c:pt idx="93">
                  <c:v>0.13274903796735801</c:v>
                </c:pt>
                <c:pt idx="94">
                  <c:v>0.13275579615959901</c:v>
                </c:pt>
                <c:pt idx="95">
                  <c:v>0.132762760788222</c:v>
                </c:pt>
                <c:pt idx="96">
                  <c:v>0.132769959173233</c:v>
                </c:pt>
                <c:pt idx="97">
                  <c:v>0.13277742383199001</c:v>
                </c:pt>
                <c:pt idx="98">
                  <c:v>0.1327851939445</c:v>
                </c:pt>
                <c:pt idx="99">
                  <c:v>0.132793317375444</c:v>
                </c:pt>
                <c:pt idx="100">
                  <c:v>0.13280185352829299</c:v>
                </c:pt>
                <c:pt idx="101">
                  <c:v>0.132810877479836</c:v>
                </c:pt>
                <c:pt idx="102">
                  <c:v>0.13282048615262401</c:v>
                </c:pt>
                <c:pt idx="103">
                  <c:v>0.132830807861128</c:v>
                </c:pt>
                <c:pt idx="104">
                  <c:v>0.13284201770953799</c:v>
                </c:pt>
                <c:pt idx="105">
                  <c:v>0.13285436372397999</c:v>
                </c:pt>
                <c:pt idx="106">
                  <c:v>0.13286821407563301</c:v>
                </c:pt>
                <c:pt idx="107">
                  <c:v>0.13288414946998101</c:v>
                </c:pt>
                <c:pt idx="108">
                  <c:v>0.13290316364780599</c:v>
                </c:pt>
                <c:pt idx="109">
                  <c:v>0.13292716444816299</c:v>
                </c:pt>
                <c:pt idx="110">
                  <c:v>0.13296050828176201</c:v>
                </c:pt>
                <c:pt idx="111">
                  <c:v>0.133016455978234</c:v>
                </c:pt>
                <c:pt idx="112">
                  <c:v>0.133164104046676</c:v>
                </c:pt>
                <c:pt idx="113">
                  <c:v>0.133431996568736</c:v>
                </c:pt>
                <c:pt idx="114">
                  <c:v>0.133700438474817</c:v>
                </c:pt>
                <c:pt idx="115">
                  <c:v>0.133970452116941</c:v>
                </c:pt>
                <c:pt idx="116">
                  <c:v>0.13424220517699001</c:v>
                </c:pt>
                <c:pt idx="117">
                  <c:v>0.22905350523007401</c:v>
                </c:pt>
                <c:pt idx="118">
                  <c:v>0.38328114622283099</c:v>
                </c:pt>
                <c:pt idx="119">
                  <c:v>0.38356152476168698</c:v>
                </c:pt>
                <c:pt idx="120">
                  <c:v>0.38379299379392201</c:v>
                </c:pt>
                <c:pt idx="121">
                  <c:v>0.38401822640655697</c:v>
                </c:pt>
                <c:pt idx="122">
                  <c:v>0.38424140815787</c:v>
                </c:pt>
                <c:pt idx="123">
                  <c:v>0.38446671085117801</c:v>
                </c:pt>
                <c:pt idx="124">
                  <c:v>0.38469880401552398</c:v>
                </c:pt>
                <c:pt idx="125">
                  <c:v>0.38494358472481499</c:v>
                </c:pt>
                <c:pt idx="126">
                  <c:v>0.385209474459207</c:v>
                </c:pt>
                <c:pt idx="127">
                  <c:v>0.385510194425701</c:v>
                </c:pt>
                <c:pt idx="128">
                  <c:v>0.38587195349777198</c:v>
                </c:pt>
                <c:pt idx="129">
                  <c:v>0.38635739088152099</c:v>
                </c:pt>
                <c:pt idx="130">
                  <c:v>0.387184549989666</c:v>
                </c:pt>
                <c:pt idx="131">
                  <c:v>0.38991903710217202</c:v>
                </c:pt>
                <c:pt idx="132">
                  <c:v>0.398962028776634</c:v>
                </c:pt>
                <c:pt idx="133">
                  <c:v>0.59896202877663396</c:v>
                </c:pt>
                <c:pt idx="134">
                  <c:v>0.59896202877663396</c:v>
                </c:pt>
              </c:numCache>
            </c:numRef>
          </c:xVal>
          <c:yVal>
            <c:numRef>
              <c:f>Implicit_Fracs!$W$3:$W$137</c:f>
              <c:numCache>
                <c:formatCode>General</c:formatCode>
                <c:ptCount val="135"/>
                <c:pt idx="0">
                  <c:v>0</c:v>
                </c:pt>
                <c:pt idx="1">
                  <c:v>0</c:v>
                </c:pt>
                <c:pt idx="2">
                  <c:v>3849331.6849450301</c:v>
                </c:pt>
                <c:pt idx="3">
                  <c:v>3853216.9898270699</c:v>
                </c:pt>
                <c:pt idx="4">
                  <c:v>3855796.06977819</c:v>
                </c:pt>
                <c:pt idx="5">
                  <c:v>3857735.9355968102</c:v>
                </c:pt>
                <c:pt idx="6">
                  <c:v>3859295.1321079</c:v>
                </c:pt>
                <c:pt idx="7">
                  <c:v>3860601.4231229001</c:v>
                </c:pt>
                <c:pt idx="8">
                  <c:v>3861727.4184958101</c:v>
                </c:pt>
                <c:pt idx="9">
                  <c:v>3862718.3706440199</c:v>
                </c:pt>
                <c:pt idx="10">
                  <c:v>3863604.4010745799</c:v>
                </c:pt>
                <c:pt idx="11">
                  <c:v>3864406.5770242298</c:v>
                </c:pt>
                <c:pt idx="12">
                  <c:v>3865140.2136156601</c:v>
                </c:pt>
                <c:pt idx="13">
                  <c:v>3865816.7954147202</c:v>
                </c:pt>
                <c:pt idx="14">
                  <c:v>3866445.1569789802</c:v>
                </c:pt>
                <c:pt idx="15">
                  <c:v>3867032.24091978</c:v>
                </c:pt>
                <c:pt idx="16">
                  <c:v>3867583.6028766702</c:v>
                </c:pt>
                <c:pt idx="17">
                  <c:v>3868103.7584951702</c:v>
                </c:pt>
                <c:pt idx="18">
                  <c:v>3868596.4282585802</c:v>
                </c:pt>
                <c:pt idx="19">
                  <c:v>3869064.7142651901</c:v>
                </c:pt>
                <c:pt idx="20">
                  <c:v>3869511.23046382</c:v>
                </c:pt>
                <c:pt idx="21">
                  <c:v>3869938.2003214001</c:v>
                </c:pt>
                <c:pt idx="22">
                  <c:v>3870347.5312338402</c:v>
                </c:pt>
                <c:pt idx="23">
                  <c:v>3870740.8720258898</c:v>
                </c:pt>
                <c:pt idx="24">
                  <c:v>3871119.6579536302</c:v>
                </c:pt>
                <c:pt idx="25">
                  <c:v>3871485.1463345401</c:v>
                </c:pt>
                <c:pt idx="26">
                  <c:v>3871838.44505517</c:v>
                </c:pt>
                <c:pt idx="27">
                  <c:v>3872180.5356973601</c:v>
                </c:pt>
                <c:pt idx="28">
                  <c:v>3872512.2923826198</c:v>
                </c:pt>
                <c:pt idx="29">
                  <c:v>3872834.49716989</c:v>
                </c:pt>
                <c:pt idx="30">
                  <c:v>3873147.8528041001</c:v>
                </c:pt>
                <c:pt idx="31">
                  <c:v>3873452.9933455498</c:v>
                </c:pt>
                <c:pt idx="32">
                  <c:v>3873750.4930901802</c:v>
                </c:pt>
                <c:pt idx="33">
                  <c:v>3874040.8741011699</c:v>
                </c:pt>
                <c:pt idx="34">
                  <c:v>3874324.6126046102</c:v>
                </c:pt>
                <c:pt idx="35">
                  <c:v>3874602.1444498501</c:v>
                </c:pt>
                <c:pt idx="36">
                  <c:v>3874873.8697948898</c:v>
                </c:pt>
                <c:pt idx="37">
                  <c:v>3875140.15714652</c:v>
                </c:pt>
                <c:pt idx="38">
                  <c:v>3875401.34685987</c:v>
                </c:pt>
                <c:pt idx="39">
                  <c:v>3875657.75418323</c:v>
                </c:pt>
                <c:pt idx="40">
                  <c:v>3875909.6719183</c:v>
                </c:pt>
                <c:pt idx="41">
                  <c:v>3876157.37275413</c:v>
                </c:pt>
                <c:pt idx="42">
                  <c:v>3876401.1113227699</c:v>
                </c:pt>
                <c:pt idx="43">
                  <c:v>3876641.1260170299</c:v>
                </c:pt>
                <c:pt idx="44">
                  <c:v>3876877.6406038702</c:v>
                </c:pt>
                <c:pt idx="45">
                  <c:v>3877110.8656620402</c:v>
                </c:pt>
                <c:pt idx="46">
                  <c:v>3877340.9998679599</c:v>
                </c:pt>
                <c:pt idx="47">
                  <c:v>3877568.2311501601</c:v>
                </c:pt>
                <c:pt idx="48">
                  <c:v>3877792.7377301198</c:v>
                </c:pt>
                <c:pt idx="49">
                  <c:v>3878014.6890640901</c:v>
                </c:pt>
                <c:pt idx="50">
                  <c:v>3878234.2466992498</c:v>
                </c:pt>
                <c:pt idx="51">
                  <c:v>3878451.5650552702</c:v>
                </c:pt>
                <c:pt idx="52">
                  <c:v>3878666.7921410101</c:v>
                </c:pt>
                <c:pt idx="53">
                  <c:v>3878880.0702152201</c:v>
                </c:pt>
                <c:pt idx="54">
                  <c:v>3879091.5363985598</c:v>
                </c:pt>
                <c:pt idx="55">
                  <c:v>3879301.3232439901</c:v>
                </c:pt>
                <c:pt idx="56">
                  <c:v>3879509.5592713398</c:v>
                </c:pt>
                <c:pt idx="57">
                  <c:v>3879716.3694718098</c:v>
                </c:pt>
                <c:pt idx="58">
                  <c:v>3879921.8757872698</c:v>
                </c:pt>
                <c:pt idx="59">
                  <c:v>3880126.1975690802</c:v>
                </c:pt>
                <c:pt idx="60">
                  <c:v>3880329.4520208798</c:v>
                </c:pt>
                <c:pt idx="61">
                  <c:v>3880531.7546294602</c:v>
                </c:pt>
                <c:pt idx="62">
                  <c:v>3880733.21958774</c:v>
                </c:pt>
                <c:pt idx="63">
                  <c:v>3880933.9602139401</c:v>
                </c:pt>
                <c:pt idx="64">
                  <c:v>3881134.0893708901</c:v>
                </c:pt>
                <c:pt idx="65">
                  <c:v>3881333.7198895901</c:v>
                </c:pt>
                <c:pt idx="66">
                  <c:v>3881532.9650012199</c:v>
                </c:pt>
                <c:pt idx="67">
                  <c:v>3881731.93878223</c:v>
                </c:pt>
                <c:pt idx="68">
                  <c:v>3881930.7566172499</c:v>
                </c:pt>
                <c:pt idx="69">
                  <c:v>3882129.5356851402</c:v>
                </c:pt>
                <c:pt idx="70">
                  <c:v>3882328.3954741801</c:v>
                </c:pt>
                <c:pt idx="71">
                  <c:v>3882527.4583328301</c:v>
                </c:pt>
                <c:pt idx="72">
                  <c:v>3882726.85006369</c:v>
                </c:pt>
                <c:pt idx="73">
                  <c:v>3882926.7005691598</c:v>
                </c:pt>
                <c:pt idx="74">
                  <c:v>3883127.1445589401</c:v>
                </c:pt>
                <c:pt idx="75">
                  <c:v>3883328.3223308101</c:v>
                </c:pt>
                <c:pt idx="76">
                  <c:v>3883530.3806385798</c:v>
                </c:pt>
                <c:pt idx="77">
                  <c:v>3883733.4736633799</c:v>
                </c:pt>
                <c:pt idx="78">
                  <c:v>3883937.7641078001</c:v>
                </c:pt>
                <c:pt idx="79">
                  <c:v>3884143.42443622</c:v>
                </c:pt>
                <c:pt idx="80">
                  <c:v>3884350.6382897398</c:v>
                </c:pt>
                <c:pt idx="81">
                  <c:v>3884559.6021101498</c:v>
                </c:pt>
                <c:pt idx="82">
                  <c:v>3884770.5270155501</c:v>
                </c:pt>
                <c:pt idx="83">
                  <c:v>3884983.64097992</c:v>
                </c:pt>
                <c:pt idx="84">
                  <c:v>3885199.1913821502</c:v>
                </c:pt>
                <c:pt idx="85">
                  <c:v>3885417.4480067301</c:v>
                </c:pt>
                <c:pt idx="86">
                  <c:v>3885638.7065998302</c:v>
                </c:pt>
                <c:pt idx="87">
                  <c:v>3885863.2931137802</c:v>
                </c:pt>
                <c:pt idx="88">
                  <c:v>3886091.56881095</c:v>
                </c:pt>
                <c:pt idx="89">
                  <c:v>3886323.9364497401</c:v>
                </c:pt>
                <c:pt idx="90">
                  <c:v>3886560.8478456899</c:v>
                </c:pt>
                <c:pt idx="91">
                  <c:v>3886802.8131975299</c:v>
                </c:pt>
                <c:pt idx="92">
                  <c:v>3887050.4127034401</c:v>
                </c:pt>
                <c:pt idx="93">
                  <c:v>3887304.31118477</c:v>
                </c:pt>
                <c:pt idx="94">
                  <c:v>3887565.2767111999</c:v>
                </c:pt>
                <c:pt idx="95">
                  <c:v>3887834.20462775</c:v>
                </c:pt>
                <c:pt idx="96">
                  <c:v>3888112.1489914898</c:v>
                </c:pt>
                <c:pt idx="97">
                  <c:v>3888400.3643552102</c:v>
                </c:pt>
                <c:pt idx="98">
                  <c:v>3888700.3622910399</c:v>
                </c:pt>
                <c:pt idx="99">
                  <c:v>3889013.9893888398</c:v>
                </c:pt>
                <c:pt idx="100">
                  <c:v>3889343.5373499701</c:v>
                </c:pt>
                <c:pt idx="101">
                  <c:v>3889691.9024695</c:v>
                </c:pt>
                <c:pt idx="102">
                  <c:v>3890062.8237225302</c:v>
                </c:pt>
                <c:pt idx="103">
                  <c:v>3890461.2509767599</c:v>
                </c:pt>
                <c:pt idx="104">
                  <c:v>3890893.9389005601</c:v>
                </c:pt>
                <c:pt idx="105">
                  <c:v>3891370.4548843098</c:v>
                </c:pt>
                <c:pt idx="106">
                  <c:v>3891905.0003897399</c:v>
                </c:pt>
                <c:pt idx="107">
                  <c:v>3892519.97419975</c:v>
                </c:pt>
                <c:pt idx="108">
                  <c:v>3893253.7050033701</c:v>
                </c:pt>
                <c:pt idx="109">
                  <c:v>3894179.7746175998</c:v>
                </c:pt>
                <c:pt idx="110">
                  <c:v>3895466.1902824501</c:v>
                </c:pt>
                <c:pt idx="111">
                  <c:v>3897624.3102787598</c:v>
                </c:pt>
                <c:pt idx="112">
                  <c:v>3903318.0766446898</c:v>
                </c:pt>
                <c:pt idx="113">
                  <c:v>3913641.2146105701</c:v>
                </c:pt>
                <c:pt idx="114">
                  <c:v>3923971.6670697499</c:v>
                </c:pt>
                <c:pt idx="115">
                  <c:v>3934348.6578466902</c:v>
                </c:pt>
                <c:pt idx="116">
                  <c:v>3944778.3969206</c:v>
                </c:pt>
                <c:pt idx="117">
                  <c:v>7578641.7870455803</c:v>
                </c:pt>
                <c:pt idx="118">
                  <c:v>10687563.619302601</c:v>
                </c:pt>
                <c:pt idx="119">
                  <c:v>10688857.116985099</c:v>
                </c:pt>
                <c:pt idx="120">
                  <c:v>10689923.478643101</c:v>
                </c:pt>
                <c:pt idx="121">
                  <c:v>10690959.908654699</c:v>
                </c:pt>
                <c:pt idx="122">
                  <c:v>10691985.744865</c:v>
                </c:pt>
                <c:pt idx="123">
                  <c:v>10693020.174188999</c:v>
                </c:pt>
                <c:pt idx="124">
                  <c:v>10694084.580094401</c:v>
                </c:pt>
                <c:pt idx="125">
                  <c:v>10695205.869807901</c:v>
                </c:pt>
                <c:pt idx="126">
                  <c:v>10696422.364894699</c:v>
                </c:pt>
                <c:pt idx="127">
                  <c:v>10697796.3856625</c:v>
                </c:pt>
                <c:pt idx="128">
                  <c:v>10699446.815122601</c:v>
                </c:pt>
                <c:pt idx="129">
                  <c:v>10701657.4880537</c:v>
                </c:pt>
                <c:pt idx="130">
                  <c:v>10705415.2125511</c:v>
                </c:pt>
                <c:pt idx="131">
                  <c:v>10717786.414116399</c:v>
                </c:pt>
                <c:pt idx="132">
                  <c:v>10758138.807932399</c:v>
                </c:pt>
                <c:pt idx="133">
                  <c:v>11610243.142347399</c:v>
                </c:pt>
                <c:pt idx="134">
                  <c:v>11610243.142347399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1 InclinedSteep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Implicit_Fracs!$C$3:$C$137</c:f>
              <c:numCache>
                <c:formatCode>General</c:formatCode>
                <c:ptCount val="135"/>
                <c:pt idx="0">
                  <c:v>0</c:v>
                </c:pt>
                <c:pt idx="1">
                  <c:v>6.5458908507104702E-2</c:v>
                </c:pt>
                <c:pt idx="2">
                  <c:v>0.13176814316740099</c:v>
                </c:pt>
                <c:pt idx="3">
                  <c:v>0.13186826813090199</c:v>
                </c:pt>
                <c:pt idx="4">
                  <c:v>0.13193476474701199</c:v>
                </c:pt>
                <c:pt idx="5">
                  <c:v>0.13198479709104599</c:v>
                </c:pt>
                <c:pt idx="6">
                  <c:v>0.13202502140737399</c:v>
                </c:pt>
                <c:pt idx="7">
                  <c:v>0.13205872802012</c:v>
                </c:pt>
                <c:pt idx="8">
                  <c:v>0.13208778730863199</c:v>
                </c:pt>
                <c:pt idx="9">
                  <c:v>0.13211336516595401</c:v>
                </c:pt>
                <c:pt idx="10">
                  <c:v>0.13213623777253899</c:v>
                </c:pt>
                <c:pt idx="11">
                  <c:v>0.13215694806964901</c:v>
                </c:pt>
                <c:pt idx="12">
                  <c:v>0.13217589080321199</c:v>
                </c:pt>
                <c:pt idx="13">
                  <c:v>0.132193362018386</c:v>
                </c:pt>
                <c:pt idx="14">
                  <c:v>0.13220958947116601</c:v>
                </c:pt>
                <c:pt idx="15">
                  <c:v>0.13222475215856899</c:v>
                </c:pt>
                <c:pt idx="16">
                  <c:v>0.13223899332967701</c:v>
                </c:pt>
                <c:pt idx="17">
                  <c:v>0.13225242942655999</c:v>
                </c:pt>
                <c:pt idx="18">
                  <c:v>0.13226515639358999</c:v>
                </c:pt>
                <c:pt idx="19">
                  <c:v>0.132277254233337</c:v>
                </c:pt>
                <c:pt idx="20">
                  <c:v>0.13228879036321101</c:v>
                </c:pt>
                <c:pt idx="21">
                  <c:v>0.132299822132879</c:v>
                </c:pt>
                <c:pt idx="22">
                  <c:v>0.13231039874234099</c:v>
                </c:pt>
                <c:pt idx="23">
                  <c:v>0.132320562724178</c:v>
                </c:pt>
                <c:pt idx="24">
                  <c:v>0.132330351103702</c:v>
                </c:pt>
                <c:pt idx="25">
                  <c:v>0.13233979631753401</c:v>
                </c:pt>
                <c:pt idx="26">
                  <c:v>0.13234892694859399</c:v>
                </c:pt>
                <c:pt idx="27">
                  <c:v>0.13235776832238</c:v>
                </c:pt>
                <c:pt idx="28">
                  <c:v>0.13236634299286601</c:v>
                </c:pt>
                <c:pt idx="29">
                  <c:v>0.13237467113954199</c:v>
                </c:pt>
                <c:pt idx="30">
                  <c:v>0.13238277089615499</c:v>
                </c:pt>
                <c:pt idx="31">
                  <c:v>0.132390658624819</c:v>
                </c:pt>
                <c:pt idx="32">
                  <c:v>0.132398349146053</c:v>
                </c:pt>
                <c:pt idx="33">
                  <c:v>0.13240585593302101</c:v>
                </c:pt>
                <c:pt idx="34">
                  <c:v>0.13241319127647799</c:v>
                </c:pt>
                <c:pt idx="35">
                  <c:v>0.13242036642560001</c:v>
                </c:pt>
                <c:pt idx="36">
                  <c:v>0.132427391708834</c:v>
                </c:pt>
                <c:pt idx="37">
                  <c:v>0.132434276638105</c:v>
                </c:pt>
                <c:pt idx="38">
                  <c:v>0.132441029999084</c:v>
                </c:pt>
                <c:pt idx="39">
                  <c:v>0.13244765992973101</c:v>
                </c:pt>
                <c:pt idx="40">
                  <c:v>0.13245417398892001</c:v>
                </c:pt>
                <c:pt idx="41">
                  <c:v>0.132460579216643</c:v>
                </c:pt>
                <c:pt idx="42">
                  <c:v>0.132466882187049</c:v>
                </c:pt>
                <c:pt idx="43">
                  <c:v>0.132473089055338</c:v>
                </c:pt>
                <c:pt idx="44">
                  <c:v>0.132479205599384</c:v>
                </c:pt>
                <c:pt idx="45">
                  <c:v>0.13248523725683301</c:v>
                </c:pt>
                <c:pt idx="46">
                  <c:v>0.13249118915828001</c:v>
                </c:pt>
                <c:pt idx="47">
                  <c:v>0.132497066157058</c:v>
                </c:pt>
                <c:pt idx="48">
                  <c:v>0.13250287285609899</c:v>
                </c:pt>
                <c:pt idx="49">
                  <c:v>0.13250861363223901</c:v>
                </c:pt>
                <c:pt idx="50">
                  <c:v>0.13251429265831799</c:v>
                </c:pt>
                <c:pt idx="51">
                  <c:v>0.132519913923346</c:v>
                </c:pt>
                <c:pt idx="52">
                  <c:v>0.13252548125101099</c:v>
                </c:pt>
                <c:pt idx="53">
                  <c:v>0.13253099831673101</c:v>
                </c:pt>
                <c:pt idx="54">
                  <c:v>0.132536468663457</c:v>
                </c:pt>
                <c:pt idx="55">
                  <c:v>0.13254189571640099</c:v>
                </c:pt>
                <c:pt idx="56">
                  <c:v>0.132547282796843</c:v>
                </c:pt>
                <c:pt idx="57">
                  <c:v>0.132552633135158</c:v>
                </c:pt>
                <c:pt idx="58">
                  <c:v>0.13255794988320099</c:v>
                </c:pt>
                <c:pt idx="59">
                  <c:v>0.13256323612616</c:v>
                </c:pt>
                <c:pt idx="60">
                  <c:v>0.132568494893996</c:v>
                </c:pt>
                <c:pt idx="61">
                  <c:v>0.132573729172584</c:v>
                </c:pt>
                <c:pt idx="62">
                  <c:v>0.13257894191464301</c:v>
                </c:pt>
                <c:pt idx="63">
                  <c:v>0.13258413605057701</c:v>
                </c:pt>
                <c:pt idx="64">
                  <c:v>0.13258931449931599</c:v>
                </c:pt>
                <c:pt idx="65">
                  <c:v>0.132594480179276</c:v>
                </c:pt>
                <c:pt idx="66">
                  <c:v>0.13259963601953101</c:v>
                </c:pt>
                <c:pt idx="67">
                  <c:v>0.13260478497133399</c:v>
                </c:pt>
                <c:pt idx="68">
                  <c:v>0.132609930020096</c:v>
                </c:pt>
                <c:pt idx="69">
                  <c:v>0.13261507419797</c:v>
                </c:pt>
                <c:pt idx="70">
                  <c:v>0.13262022059718601</c:v>
                </c:pt>
                <c:pt idx="71">
                  <c:v>0.13262537238431599</c:v>
                </c:pt>
                <c:pt idx="72">
                  <c:v>0.13263053281565201</c:v>
                </c:pt>
                <c:pt idx="73">
                  <c:v>0.13263570525393401</c:v>
                </c:pt>
                <c:pt idx="74">
                  <c:v>0.13264089318667299</c:v>
                </c:pt>
                <c:pt idx="75">
                  <c:v>0.13264610024638099</c:v>
                </c:pt>
                <c:pt idx="76">
                  <c:v>0.132651330233057</c:v>
                </c:pt>
                <c:pt idx="77">
                  <c:v>0.13265658713935299</c:v>
                </c:pt>
                <c:pt idx="78">
                  <c:v>0.132661875178925</c:v>
                </c:pt>
                <c:pt idx="79">
                  <c:v>0.132667198818578</c:v>
                </c:pt>
                <c:pt idx="80">
                  <c:v>0.13267256281493001</c:v>
                </c:pt>
                <c:pt idx="81">
                  <c:v>0.13267797225650099</c:v>
                </c:pt>
                <c:pt idx="82">
                  <c:v>0.13268343261232099</c:v>
                </c:pt>
                <c:pt idx="83">
                  <c:v>0.132688949788421</c:v>
                </c:pt>
                <c:pt idx="84">
                  <c:v>0.13269453019390001</c:v>
                </c:pt>
                <c:pt idx="85">
                  <c:v>0.132700180818698</c:v>
                </c:pt>
                <c:pt idx="86">
                  <c:v>0.13270590932577001</c:v>
                </c:pt>
                <c:pt idx="87">
                  <c:v>0.1327117241611</c:v>
                </c:pt>
                <c:pt idx="88">
                  <c:v>0.13271763468600001</c:v>
                </c:pt>
                <c:pt idx="89">
                  <c:v>0.13272365133744901</c:v>
                </c:pt>
                <c:pt idx="90">
                  <c:v>0.13272978582409101</c:v>
                </c:pt>
                <c:pt idx="91">
                  <c:v>0.132736051367976</c:v>
                </c:pt>
                <c:pt idx="92">
                  <c:v>0.13274246300567499</c:v>
                </c:pt>
                <c:pt idx="93">
                  <c:v>0.13274903796735801</c:v>
                </c:pt>
                <c:pt idx="94">
                  <c:v>0.13275579615959901</c:v>
                </c:pt>
                <c:pt idx="95">
                  <c:v>0.132762760788222</c:v>
                </c:pt>
                <c:pt idx="96">
                  <c:v>0.132769959173233</c:v>
                </c:pt>
                <c:pt idx="97">
                  <c:v>0.13277742383199001</c:v>
                </c:pt>
                <c:pt idx="98">
                  <c:v>0.1327851939445</c:v>
                </c:pt>
                <c:pt idx="99">
                  <c:v>0.132793317375444</c:v>
                </c:pt>
                <c:pt idx="100">
                  <c:v>0.13280185352829299</c:v>
                </c:pt>
                <c:pt idx="101">
                  <c:v>0.132810877479836</c:v>
                </c:pt>
                <c:pt idx="102">
                  <c:v>0.13282048615262401</c:v>
                </c:pt>
                <c:pt idx="103">
                  <c:v>0.132830807861128</c:v>
                </c:pt>
                <c:pt idx="104">
                  <c:v>0.13284201770953799</c:v>
                </c:pt>
                <c:pt idx="105">
                  <c:v>0.13285436372397999</c:v>
                </c:pt>
                <c:pt idx="106">
                  <c:v>0.13286821407563301</c:v>
                </c:pt>
                <c:pt idx="107">
                  <c:v>0.13288414946998101</c:v>
                </c:pt>
                <c:pt idx="108">
                  <c:v>0.13290316364780599</c:v>
                </c:pt>
                <c:pt idx="109">
                  <c:v>0.13292716444816299</c:v>
                </c:pt>
                <c:pt idx="110">
                  <c:v>0.13296050828176201</c:v>
                </c:pt>
                <c:pt idx="111">
                  <c:v>0.133016455978234</c:v>
                </c:pt>
                <c:pt idx="112">
                  <c:v>0.133164104046676</c:v>
                </c:pt>
                <c:pt idx="113">
                  <c:v>0.133431996568736</c:v>
                </c:pt>
                <c:pt idx="114">
                  <c:v>0.133700438474817</c:v>
                </c:pt>
                <c:pt idx="115">
                  <c:v>0.133970452116941</c:v>
                </c:pt>
                <c:pt idx="116">
                  <c:v>0.13424220517699001</c:v>
                </c:pt>
                <c:pt idx="117">
                  <c:v>0.22905350523007401</c:v>
                </c:pt>
                <c:pt idx="118">
                  <c:v>0.38328114622283099</c:v>
                </c:pt>
                <c:pt idx="119">
                  <c:v>0.38356152476168698</c:v>
                </c:pt>
                <c:pt idx="120">
                  <c:v>0.38379299379392201</c:v>
                </c:pt>
                <c:pt idx="121">
                  <c:v>0.38401822640655697</c:v>
                </c:pt>
                <c:pt idx="122">
                  <c:v>0.38424140815787</c:v>
                </c:pt>
                <c:pt idx="123">
                  <c:v>0.38446671085117801</c:v>
                </c:pt>
                <c:pt idx="124">
                  <c:v>0.38469880401552398</c:v>
                </c:pt>
                <c:pt idx="125">
                  <c:v>0.38494358472481499</c:v>
                </c:pt>
                <c:pt idx="126">
                  <c:v>0.385209474459207</c:v>
                </c:pt>
                <c:pt idx="127">
                  <c:v>0.385510194425701</c:v>
                </c:pt>
                <c:pt idx="128">
                  <c:v>0.38587195349777198</c:v>
                </c:pt>
                <c:pt idx="129">
                  <c:v>0.38635739088152099</c:v>
                </c:pt>
                <c:pt idx="130">
                  <c:v>0.387184549989666</c:v>
                </c:pt>
                <c:pt idx="131">
                  <c:v>0.38991903710217202</c:v>
                </c:pt>
                <c:pt idx="132">
                  <c:v>0.398962028776634</c:v>
                </c:pt>
                <c:pt idx="133">
                  <c:v>0.59896202877663396</c:v>
                </c:pt>
                <c:pt idx="134">
                  <c:v>0.59896202877663396</c:v>
                </c:pt>
              </c:numCache>
            </c:numRef>
          </c:xVal>
          <c:yVal>
            <c:numRef>
              <c:f>Implicit_Fracs!$AY$3:$AY$137</c:f>
              <c:numCache>
                <c:formatCode>General</c:formatCode>
                <c:ptCount val="1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Implicit_Fracs!$C$5:$C$137</c:f>
              <c:numCache>
                <c:formatCode>General</c:formatCode>
                <c:ptCount val="133"/>
                <c:pt idx="0">
                  <c:v>0.13176814316740099</c:v>
                </c:pt>
                <c:pt idx="1">
                  <c:v>0.13186826813090199</c:v>
                </c:pt>
                <c:pt idx="2">
                  <c:v>0.13193476474701199</c:v>
                </c:pt>
                <c:pt idx="3">
                  <c:v>0.13198479709104599</c:v>
                </c:pt>
                <c:pt idx="4">
                  <c:v>0.13202502140737399</c:v>
                </c:pt>
                <c:pt idx="5">
                  <c:v>0.13205872802012</c:v>
                </c:pt>
                <c:pt idx="6">
                  <c:v>0.13208778730863199</c:v>
                </c:pt>
                <c:pt idx="7">
                  <c:v>0.13211336516595401</c:v>
                </c:pt>
                <c:pt idx="8">
                  <c:v>0.13213623777253899</c:v>
                </c:pt>
                <c:pt idx="9">
                  <c:v>0.13215694806964901</c:v>
                </c:pt>
                <c:pt idx="10">
                  <c:v>0.13217589080321199</c:v>
                </c:pt>
                <c:pt idx="11">
                  <c:v>0.132193362018386</c:v>
                </c:pt>
                <c:pt idx="12">
                  <c:v>0.13220958947116601</c:v>
                </c:pt>
                <c:pt idx="13">
                  <c:v>0.13222475215856899</c:v>
                </c:pt>
                <c:pt idx="14">
                  <c:v>0.13223899332967701</c:v>
                </c:pt>
                <c:pt idx="15">
                  <c:v>0.13225242942655999</c:v>
                </c:pt>
                <c:pt idx="16">
                  <c:v>0.13226515639358999</c:v>
                </c:pt>
                <c:pt idx="17">
                  <c:v>0.132277254233337</c:v>
                </c:pt>
                <c:pt idx="18">
                  <c:v>0.13228879036321101</c:v>
                </c:pt>
                <c:pt idx="19">
                  <c:v>0.132299822132879</c:v>
                </c:pt>
                <c:pt idx="20">
                  <c:v>0.13231039874234099</c:v>
                </c:pt>
                <c:pt idx="21">
                  <c:v>0.132320562724178</c:v>
                </c:pt>
                <c:pt idx="22">
                  <c:v>0.132330351103702</c:v>
                </c:pt>
                <c:pt idx="23">
                  <c:v>0.13233979631753401</c:v>
                </c:pt>
                <c:pt idx="24">
                  <c:v>0.13234892694859399</c:v>
                </c:pt>
                <c:pt idx="25">
                  <c:v>0.13235776832238</c:v>
                </c:pt>
                <c:pt idx="26">
                  <c:v>0.13236634299286601</c:v>
                </c:pt>
                <c:pt idx="27">
                  <c:v>0.13237467113954199</c:v>
                </c:pt>
                <c:pt idx="28">
                  <c:v>0.13238277089615499</c:v>
                </c:pt>
                <c:pt idx="29">
                  <c:v>0.132390658624819</c:v>
                </c:pt>
                <c:pt idx="30">
                  <c:v>0.132398349146053</c:v>
                </c:pt>
                <c:pt idx="31">
                  <c:v>0.13240585593302101</c:v>
                </c:pt>
                <c:pt idx="32">
                  <c:v>0.13241319127647799</c:v>
                </c:pt>
                <c:pt idx="33">
                  <c:v>0.13242036642560001</c:v>
                </c:pt>
                <c:pt idx="34">
                  <c:v>0.132427391708834</c:v>
                </c:pt>
                <c:pt idx="35">
                  <c:v>0.132434276638105</c:v>
                </c:pt>
                <c:pt idx="36">
                  <c:v>0.132441029999084</c:v>
                </c:pt>
                <c:pt idx="37">
                  <c:v>0.13244765992973101</c:v>
                </c:pt>
                <c:pt idx="38">
                  <c:v>0.13245417398892001</c:v>
                </c:pt>
                <c:pt idx="39">
                  <c:v>0.132460579216643</c:v>
                </c:pt>
                <c:pt idx="40">
                  <c:v>0.132466882187049</c:v>
                </c:pt>
                <c:pt idx="41">
                  <c:v>0.132473089055338</c:v>
                </c:pt>
                <c:pt idx="42">
                  <c:v>0.132479205599384</c:v>
                </c:pt>
                <c:pt idx="43">
                  <c:v>0.13248523725683301</c:v>
                </c:pt>
                <c:pt idx="44">
                  <c:v>0.13249118915828001</c:v>
                </c:pt>
                <c:pt idx="45">
                  <c:v>0.132497066157058</c:v>
                </c:pt>
                <c:pt idx="46">
                  <c:v>0.13250287285609899</c:v>
                </c:pt>
                <c:pt idx="47">
                  <c:v>0.13250861363223901</c:v>
                </c:pt>
                <c:pt idx="48">
                  <c:v>0.13251429265831799</c:v>
                </c:pt>
                <c:pt idx="49">
                  <c:v>0.132519913923346</c:v>
                </c:pt>
                <c:pt idx="50">
                  <c:v>0.13252548125101099</c:v>
                </c:pt>
                <c:pt idx="51">
                  <c:v>0.13253099831673101</c:v>
                </c:pt>
                <c:pt idx="52">
                  <c:v>0.132536468663457</c:v>
                </c:pt>
                <c:pt idx="53">
                  <c:v>0.13254189571640099</c:v>
                </c:pt>
                <c:pt idx="54">
                  <c:v>0.132547282796843</c:v>
                </c:pt>
                <c:pt idx="55">
                  <c:v>0.132552633135158</c:v>
                </c:pt>
                <c:pt idx="56">
                  <c:v>0.13255794988320099</c:v>
                </c:pt>
                <c:pt idx="57">
                  <c:v>0.13256323612616</c:v>
                </c:pt>
                <c:pt idx="58">
                  <c:v>0.132568494893996</c:v>
                </c:pt>
                <c:pt idx="59">
                  <c:v>0.132573729172584</c:v>
                </c:pt>
                <c:pt idx="60">
                  <c:v>0.13257894191464301</c:v>
                </c:pt>
                <c:pt idx="61">
                  <c:v>0.13258413605057701</c:v>
                </c:pt>
                <c:pt idx="62">
                  <c:v>0.13258931449931599</c:v>
                </c:pt>
                <c:pt idx="63">
                  <c:v>0.132594480179276</c:v>
                </c:pt>
                <c:pt idx="64">
                  <c:v>0.13259963601953101</c:v>
                </c:pt>
                <c:pt idx="65">
                  <c:v>0.13260478497133399</c:v>
                </c:pt>
                <c:pt idx="66">
                  <c:v>0.132609930020096</c:v>
                </c:pt>
                <c:pt idx="67">
                  <c:v>0.13261507419797</c:v>
                </c:pt>
                <c:pt idx="68">
                  <c:v>0.13262022059718601</c:v>
                </c:pt>
                <c:pt idx="69">
                  <c:v>0.13262537238431599</c:v>
                </c:pt>
                <c:pt idx="70">
                  <c:v>0.13263053281565201</c:v>
                </c:pt>
                <c:pt idx="71">
                  <c:v>0.13263570525393401</c:v>
                </c:pt>
                <c:pt idx="72">
                  <c:v>0.13264089318667299</c:v>
                </c:pt>
                <c:pt idx="73">
                  <c:v>0.13264610024638099</c:v>
                </c:pt>
                <c:pt idx="74">
                  <c:v>0.132651330233057</c:v>
                </c:pt>
                <c:pt idx="75">
                  <c:v>0.13265658713935299</c:v>
                </c:pt>
                <c:pt idx="76">
                  <c:v>0.132661875178925</c:v>
                </c:pt>
                <c:pt idx="77">
                  <c:v>0.132667198818578</c:v>
                </c:pt>
                <c:pt idx="78">
                  <c:v>0.13267256281493001</c:v>
                </c:pt>
                <c:pt idx="79">
                  <c:v>0.13267797225650099</c:v>
                </c:pt>
                <c:pt idx="80">
                  <c:v>0.13268343261232099</c:v>
                </c:pt>
                <c:pt idx="81">
                  <c:v>0.132688949788421</c:v>
                </c:pt>
                <c:pt idx="82">
                  <c:v>0.13269453019390001</c:v>
                </c:pt>
                <c:pt idx="83">
                  <c:v>0.132700180818698</c:v>
                </c:pt>
                <c:pt idx="84">
                  <c:v>0.13270590932577001</c:v>
                </c:pt>
                <c:pt idx="85">
                  <c:v>0.1327117241611</c:v>
                </c:pt>
                <c:pt idx="86">
                  <c:v>0.13271763468600001</c:v>
                </c:pt>
                <c:pt idx="87">
                  <c:v>0.13272365133744901</c:v>
                </c:pt>
                <c:pt idx="88">
                  <c:v>0.13272978582409101</c:v>
                </c:pt>
                <c:pt idx="89">
                  <c:v>0.132736051367976</c:v>
                </c:pt>
                <c:pt idx="90">
                  <c:v>0.13274246300567499</c:v>
                </c:pt>
                <c:pt idx="91">
                  <c:v>0.13274903796735801</c:v>
                </c:pt>
                <c:pt idx="92">
                  <c:v>0.13275579615959901</c:v>
                </c:pt>
                <c:pt idx="93">
                  <c:v>0.132762760788222</c:v>
                </c:pt>
                <c:pt idx="94">
                  <c:v>0.132769959173233</c:v>
                </c:pt>
                <c:pt idx="95">
                  <c:v>0.13277742383199001</c:v>
                </c:pt>
                <c:pt idx="96">
                  <c:v>0.1327851939445</c:v>
                </c:pt>
                <c:pt idx="97">
                  <c:v>0.132793317375444</c:v>
                </c:pt>
                <c:pt idx="98">
                  <c:v>0.13280185352829299</c:v>
                </c:pt>
                <c:pt idx="99">
                  <c:v>0.132810877479836</c:v>
                </c:pt>
                <c:pt idx="100">
                  <c:v>0.13282048615262401</c:v>
                </c:pt>
                <c:pt idx="101">
                  <c:v>0.132830807861128</c:v>
                </c:pt>
                <c:pt idx="102">
                  <c:v>0.13284201770953799</c:v>
                </c:pt>
                <c:pt idx="103">
                  <c:v>0.13285436372397999</c:v>
                </c:pt>
                <c:pt idx="104">
                  <c:v>0.13286821407563301</c:v>
                </c:pt>
                <c:pt idx="105">
                  <c:v>0.13288414946998101</c:v>
                </c:pt>
                <c:pt idx="106">
                  <c:v>0.13290316364780599</c:v>
                </c:pt>
                <c:pt idx="107">
                  <c:v>0.13292716444816299</c:v>
                </c:pt>
                <c:pt idx="108">
                  <c:v>0.13296050828176201</c:v>
                </c:pt>
                <c:pt idx="109">
                  <c:v>0.133016455978234</c:v>
                </c:pt>
                <c:pt idx="110">
                  <c:v>0.133164104046676</c:v>
                </c:pt>
                <c:pt idx="111">
                  <c:v>0.133431996568736</c:v>
                </c:pt>
                <c:pt idx="112">
                  <c:v>0.133700438474817</c:v>
                </c:pt>
                <c:pt idx="113">
                  <c:v>0.133970452116941</c:v>
                </c:pt>
                <c:pt idx="114">
                  <c:v>0.13424220517699001</c:v>
                </c:pt>
                <c:pt idx="115">
                  <c:v>0.22905350523007401</c:v>
                </c:pt>
                <c:pt idx="116">
                  <c:v>0.38328114622283099</c:v>
                </c:pt>
                <c:pt idx="117">
                  <c:v>0.38356152476168698</c:v>
                </c:pt>
                <c:pt idx="118">
                  <c:v>0.38379299379392201</c:v>
                </c:pt>
                <c:pt idx="119">
                  <c:v>0.38401822640655697</c:v>
                </c:pt>
                <c:pt idx="120">
                  <c:v>0.38424140815787</c:v>
                </c:pt>
                <c:pt idx="121">
                  <c:v>0.38446671085117801</c:v>
                </c:pt>
                <c:pt idx="122">
                  <c:v>0.38469880401552398</c:v>
                </c:pt>
                <c:pt idx="123">
                  <c:v>0.38494358472481499</c:v>
                </c:pt>
                <c:pt idx="124">
                  <c:v>0.385209474459207</c:v>
                </c:pt>
                <c:pt idx="125">
                  <c:v>0.385510194425701</c:v>
                </c:pt>
                <c:pt idx="126">
                  <c:v>0.38587195349777198</c:v>
                </c:pt>
                <c:pt idx="127">
                  <c:v>0.38635739088152099</c:v>
                </c:pt>
                <c:pt idx="128">
                  <c:v>0.387184549989666</c:v>
                </c:pt>
                <c:pt idx="129">
                  <c:v>0.38991903710217202</c:v>
                </c:pt>
                <c:pt idx="130">
                  <c:v>0.398962028776634</c:v>
                </c:pt>
                <c:pt idx="131">
                  <c:v>0.59896202877663396</c:v>
                </c:pt>
                <c:pt idx="132">
                  <c:v>0.59896202877663396</c:v>
                </c:pt>
              </c:numCache>
            </c:numRef>
          </c:xVal>
          <c:yVal>
            <c:numRef>
              <c:f>Implicit_Fracs!$BL$5:$BL$137</c:f>
              <c:numCache>
                <c:formatCode>General</c:formatCode>
                <c:ptCount val="133"/>
                <c:pt idx="0">
                  <c:v>1.16077742219509E-4</c:v>
                </c:pt>
                <c:pt idx="1">
                  <c:v>1.15809820346038E-4</c:v>
                </c:pt>
                <c:pt idx="2">
                  <c:v>1.1555104864066E-4</c:v>
                </c:pt>
                <c:pt idx="3">
                  <c:v>1.15296096130968E-4</c:v>
                </c:pt>
                <c:pt idx="4">
                  <c:v>1.15043265325363E-4</c:v>
                </c:pt>
                <c:pt idx="5">
                  <c:v>1.1479179301488999E-4</c:v>
                </c:pt>
                <c:pt idx="6">
                  <c:v>1.1454126930808201E-4</c:v>
                </c:pt>
                <c:pt idx="7">
                  <c:v>1.14291448223522E-4</c:v>
                </c:pt>
                <c:pt idx="8">
                  <c:v>1.14042170400278E-4</c:v>
                </c:pt>
                <c:pt idx="9">
                  <c:v>1.13793326628195E-4</c:v>
                </c:pt>
                <c:pt idx="10">
                  <c:v>1.1354483877246299E-4</c:v>
                </c:pt>
                <c:pt idx="11">
                  <c:v>1.1329664899426499E-4</c:v>
                </c:pt>
                <c:pt idx="12">
                  <c:v>1.1304871328030301E-4</c:v>
                </c:pt>
                <c:pt idx="13">
                  <c:v>1.12800997365456E-4</c:v>
                </c:pt>
                <c:pt idx="14">
                  <c:v>1.1255347405865001E-4</c:v>
                </c:pt>
                <c:pt idx="15">
                  <c:v>1.12306121429241E-4</c:v>
                </c:pt>
                <c:pt idx="16">
                  <c:v>1.12058921541424E-4</c:v>
                </c:pt>
                <c:pt idx="17">
                  <c:v>1.11811859549095E-4</c:v>
                </c:pt>
                <c:pt idx="18">
                  <c:v>1.1156492303452E-4</c:v>
                </c:pt>
                <c:pt idx="19">
                  <c:v>1.11318101515962E-4</c:v>
                </c:pt>
                <c:pt idx="20">
                  <c:v>1.11071386074968E-4</c:v>
                </c:pt>
                <c:pt idx="21">
                  <c:v>1.10824769070012E-4</c:v>
                </c:pt>
                <c:pt idx="22">
                  <c:v>1.10578243913558E-4</c:v>
                </c:pt>
                <c:pt idx="23">
                  <c:v>1.10331804896403E-4</c:v>
                </c:pt>
                <c:pt idx="24">
                  <c:v>1.1008544708304801E-4</c:v>
                </c:pt>
                <c:pt idx="25">
                  <c:v>1.09839166197883E-4</c:v>
                </c:pt>
                <c:pt idx="26">
                  <c:v>1.0959295850048701E-4</c:v>
                </c:pt>
                <c:pt idx="27">
                  <c:v>1.0934682071145001E-4</c:v>
                </c:pt>
                <c:pt idx="28">
                  <c:v>1.09100749951285E-4</c:v>
                </c:pt>
                <c:pt idx="29">
                  <c:v>1.08854743689792E-4</c:v>
                </c:pt>
                <c:pt idx="30">
                  <c:v>1.08608799703843E-4</c:v>
                </c:pt>
                <c:pt idx="31">
                  <c:v>1.0836291604200199E-4</c:v>
                </c:pt>
                <c:pt idx="32">
                  <c:v>1.08117090994744E-4</c:v>
                </c:pt>
                <c:pt idx="33">
                  <c:v>1.07871323069289E-4</c:v>
                </c:pt>
                <c:pt idx="34">
                  <c:v>1.07625610968267E-4</c:v>
                </c:pt>
                <c:pt idx="35">
                  <c:v>1.07379953571591E-4</c:v>
                </c:pt>
                <c:pt idx="36">
                  <c:v>1.0713434992103E-4</c:v>
                </c:pt>
                <c:pt idx="37">
                  <c:v>1.06888799207075E-4</c:v>
                </c:pt>
                <c:pt idx="38">
                  <c:v>1.0664330075775099E-4</c:v>
                </c:pt>
                <c:pt idx="39">
                  <c:v>1.0639785402912799E-4</c:v>
                </c:pt>
                <c:pt idx="40">
                  <c:v>1.0615245859728001E-4</c:v>
                </c:pt>
                <c:pt idx="41">
                  <c:v>1.05907114151521E-4</c:v>
                </c:pt>
                <c:pt idx="42">
                  <c:v>1.05661820488768E-4</c:v>
                </c:pt>
                <c:pt idx="43">
                  <c:v>1.05416577508905E-4</c:v>
                </c:pt>
                <c:pt idx="44">
                  <c:v>1.05171385211039E-4</c:v>
                </c:pt>
                <c:pt idx="45">
                  <c:v>1.0492624369057999E-4</c:v>
                </c:pt>
                <c:pt idx="46">
                  <c:v>1.04681153137065E-4</c:v>
                </c:pt>
                <c:pt idx="47">
                  <c:v>1.04436113832679E-4</c:v>
                </c:pt>
                <c:pt idx="48">
                  <c:v>1.04191126151438E-4</c:v>
                </c:pt>
                <c:pt idx="49">
                  <c:v>1.0394619055899E-4</c:v>
                </c:pt>
                <c:pt idx="50">
                  <c:v>1.0370130761303499E-4</c:v>
                </c:pt>
                <c:pt idx="51">
                  <c:v>1.03456477964329E-4</c:v>
                </c:pt>
                <c:pt idx="52">
                  <c:v>1.03211702358289E-4</c:v>
                </c:pt>
                <c:pt idx="53">
                  <c:v>1.02966981637207E-4</c:v>
                </c:pt>
                <c:pt idx="54">
                  <c:v>1.02722316743057E-4</c:v>
                </c:pt>
                <c:pt idx="55">
                  <c:v>1.02477708720964E-4</c:v>
                </c:pt>
                <c:pt idx="56">
                  <c:v>1.02233158723328E-4</c:v>
                </c:pt>
                <c:pt idx="57">
                  <c:v>1.0198866801465799E-4</c:v>
                </c:pt>
                <c:pt idx="58">
                  <c:v>1.01744237977174E-4</c:v>
                </c:pt>
                <c:pt idx="59">
                  <c:v>1.01499870117219E-4</c:v>
                </c:pt>
                <c:pt idx="60">
                  <c:v>1.0125556607257899E-4</c:v>
                </c:pt>
                <c:pt idx="61">
                  <c:v>1.0101132762077E-4</c:v>
                </c:pt>
                <c:pt idx="62">
                  <c:v>1.00767156688423E-4</c:v>
                </c:pt>
                <c:pt idx="63">
                  <c:v>1.00523055361861E-4</c:v>
                </c:pt>
                <c:pt idx="64">
                  <c:v>1.0027902589903301E-4</c:v>
                </c:pt>
                <c:pt idx="65">
                  <c:v>1.00035070742949E-4</c:v>
                </c:pt>
                <c:pt idx="66" formatCode="0.00E+00">
                  <c:v>9.9791192536829505E-5</c:v>
                </c:pt>
                <c:pt idx="67" formatCode="0.00E+00">
                  <c:v>9.9547394141179506E-5</c:v>
                </c:pt>
                <c:pt idx="68" formatCode="0.00E+00">
                  <c:v>9.9303678653063198E-5</c:v>
                </c:pt>
                <c:pt idx="69" formatCode="0.00E+00">
                  <c:v>9.9060049427895997E-5</c:v>
                </c:pt>
                <c:pt idx="70" formatCode="0.00E+00">
                  <c:v>9.8816510104112796E-5</c:v>
                </c:pt>
                <c:pt idx="71" formatCode="0.00E+00">
                  <c:v>9.8573064631170295E-5</c:v>
                </c:pt>
                <c:pt idx="72" formatCode="0.00E+00">
                  <c:v>9.8329717301386203E-5</c:v>
                </c:pt>
                <c:pt idx="73" formatCode="0.00E+00">
                  <c:v>9.8086472786252797E-5</c:v>
                </c:pt>
                <c:pt idx="74" formatCode="0.00E+00">
                  <c:v>9.7843336177965096E-5</c:v>
                </c:pt>
                <c:pt idx="75" formatCode="0.00E+00">
                  <c:v>9.7600313037063001E-5</c:v>
                </c:pt>
                <c:pt idx="76" formatCode="0.00E+00">
                  <c:v>9.7357409447272199E-5</c:v>
                </c:pt>
                <c:pt idx="77" formatCode="0.00E+00">
                  <c:v>9.7114632078865206E-5</c:v>
                </c:pt>
                <c:pt idx="78" formatCode="0.00E+00">
                  <c:v>9.6871988262147506E-5</c:v>
                </c:pt>
                <c:pt idx="79" formatCode="0.00E+00">
                  <c:v>9.6629486073054202E-5</c:v>
                </c:pt>
                <c:pt idx="80" formatCode="0.00E+00">
                  <c:v>9.6387134433293799E-5</c:v>
                </c:pt>
                <c:pt idx="81" formatCode="0.00E+00">
                  <c:v>9.6144943228086206E-5</c:v>
                </c:pt>
                <c:pt idx="82" formatCode="0.00E+00">
                  <c:v>9.5902923445290197E-5</c:v>
                </c:pt>
                <c:pt idx="83" formatCode="0.00E+00">
                  <c:v>9.5661087340736197E-5</c:v>
                </c:pt>
                <c:pt idx="84" formatCode="0.00E+00">
                  <c:v>9.5419448635844894E-5</c:v>
                </c:pt>
                <c:pt idx="85" formatCode="0.00E+00">
                  <c:v>9.5178022755364205E-5</c:v>
                </c:pt>
                <c:pt idx="86" formatCode="0.00E+00">
                  <c:v>9.4936827115330803E-5</c:v>
                </c:pt>
                <c:pt idx="87" formatCode="0.00E+00">
                  <c:v>9.4695881474452296E-5</c:v>
                </c:pt>
                <c:pt idx="88" formatCode="0.00E+00">
                  <c:v>9.4455208366317801E-5</c:v>
                </c:pt>
                <c:pt idx="89" formatCode="0.00E+00">
                  <c:v>9.4214833635650707E-5</c:v>
                </c:pt>
                <c:pt idx="90" formatCode="0.00E+00">
                  <c:v>9.3974787109939799E-5</c:v>
                </c:pt>
                <c:pt idx="91" formatCode="0.00E+00">
                  <c:v>9.3735103449298006E-5</c:v>
                </c:pt>
                <c:pt idx="92" formatCode="0.00E+00">
                  <c:v>9.3495823233977405E-5</c:v>
                </c:pt>
                <c:pt idx="93" formatCode="0.00E+00">
                  <c:v>9.32569943732527E-5</c:v>
                </c:pt>
                <c:pt idx="94" formatCode="0.00E+00">
                  <c:v>9.3018673955630205E-5</c:v>
                </c:pt>
                <c:pt idx="95" formatCode="0.00E+00">
                  <c:v>9.2780930715486494E-5</c:v>
                </c:pt>
                <c:pt idx="96" formatCode="0.00E+00">
                  <c:v>9.2543848377130697E-5</c:v>
                </c:pt>
                <c:pt idx="97" formatCode="0.00E+00">
                  <c:v>9.2307530274323701E-5</c:v>
                </c:pt>
                <c:pt idx="98" formatCode="0.00E+00">
                  <c:v>9.2072105868115295E-5</c:v>
                </c:pt>
                <c:pt idx="99" formatCode="0.00E+00">
                  <c:v>9.1837740166109605E-5</c:v>
                </c:pt>
                <c:pt idx="100" formatCode="0.00E+00">
                  <c:v>9.1604647712031497E-5</c:v>
                </c:pt>
                <c:pt idx="101" formatCode="0.00E+00">
                  <c:v>9.1373114025910398E-5</c:v>
                </c:pt>
                <c:pt idx="102" formatCode="0.00E+00">
                  <c:v>9.1143529677193495E-5</c:v>
                </c:pt>
                <c:pt idx="103" formatCode="0.00E+00">
                  <c:v>9.0916446763111296E-5</c:v>
                </c:pt>
                <c:pt idx="104" formatCode="0.00E+00">
                  <c:v>9.0692677204363595E-5</c:v>
                </c:pt>
                <c:pt idx="105" formatCode="0.00E+00">
                  <c:v>9.0473473571451299E-5</c:v>
                </c:pt>
                <c:pt idx="106" formatCode="0.00E+00">
                  <c:v>9.0260881687153794E-5</c:v>
                </c:pt>
                <c:pt idx="107" formatCode="0.00E+00">
                  <c:v>9.0058455966967102E-5</c:v>
                </c:pt>
                <c:pt idx="108" formatCode="0.00E+00">
                  <c:v>8.9872552630992694E-5</c:v>
                </c:pt>
                <c:pt idx="109" formatCode="0.00E+00">
                  <c:v>8.9710756670313802E-5</c:v>
                </c:pt>
                <c:pt idx="110" formatCode="0.00E+00">
                  <c:v>8.9706413837297301E-5</c:v>
                </c:pt>
                <c:pt idx="111" formatCode="0.00E+00">
                  <c:v>8.9579526000119103E-5</c:v>
                </c:pt>
                <c:pt idx="112" formatCode="0.00E+00">
                  <c:v>8.9449832549080705E-5</c:v>
                </c:pt>
                <c:pt idx="113" formatCode="0.00E+00">
                  <c:v>8.9319490763766502E-5</c:v>
                </c:pt>
                <c:pt idx="114" formatCode="0.00E+00">
                  <c:v>8.9311545193822202E-5</c:v>
                </c:pt>
                <c:pt idx="115" formatCode="0.00E+00">
                  <c:v>8.9311545193822202E-5</c:v>
                </c:pt>
                <c:pt idx="116" formatCode="0.00E+00">
                  <c:v>8.9222305719663297E-5</c:v>
                </c:pt>
                <c:pt idx="117" formatCode="0.00E+00">
                  <c:v>8.8075680185274898E-5</c:v>
                </c:pt>
                <c:pt idx="118" formatCode="0.00E+00">
                  <c:v>8.7533603811220401E-5</c:v>
                </c:pt>
                <c:pt idx="119" formatCode="0.00E+00">
                  <c:v>8.6996534282238696E-5</c:v>
                </c:pt>
                <c:pt idx="120" formatCode="0.00E+00">
                  <c:v>8.6464716616604901E-5</c:v>
                </c:pt>
                <c:pt idx="121" formatCode="0.00E+00">
                  <c:v>8.5938937588340099E-5</c:v>
                </c:pt>
                <c:pt idx="122" formatCode="0.00E+00">
                  <c:v>8.5420536246751599E-5</c:v>
                </c:pt>
                <c:pt idx="123" formatCode="0.00E+00">
                  <c:v>8.4911637775162598E-5</c:v>
                </c:pt>
                <c:pt idx="124" formatCode="0.00E+00">
                  <c:v>8.4415691926333406E-5</c:v>
                </c:pt>
                <c:pt idx="125" formatCode="0.00E+00">
                  <c:v>8.3938648640011896E-5</c:v>
                </c:pt>
                <c:pt idx="126" formatCode="0.00E+00">
                  <c:v>8.3491650271204997E-5</c:v>
                </c:pt>
                <c:pt idx="127" formatCode="0.00E+00">
                  <c:v>8.3096802107654905E-5</c:v>
                </c:pt>
                <c:pt idx="128" formatCode="0.00E+00">
                  <c:v>8.27813763333067E-5</c:v>
                </c:pt>
                <c:pt idx="129" formatCode="0.00E+00">
                  <c:v>8.2787682571134697E-5</c:v>
                </c:pt>
                <c:pt idx="130" formatCode="0.00E+00">
                  <c:v>8.28087411357205E-5</c:v>
                </c:pt>
                <c:pt idx="131" formatCode="0.00E+00">
                  <c:v>8.28087411357205E-5</c:v>
                </c:pt>
                <c:pt idx="132" formatCode="0.00E+00">
                  <c:v>8.28087411357205E-5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Implicit_Fracs!$C$5:$C$137</c:f>
              <c:numCache>
                <c:formatCode>General</c:formatCode>
                <c:ptCount val="133"/>
                <c:pt idx="0">
                  <c:v>0.13176814316740099</c:v>
                </c:pt>
                <c:pt idx="1">
                  <c:v>0.13186826813090199</c:v>
                </c:pt>
                <c:pt idx="2">
                  <c:v>0.13193476474701199</c:v>
                </c:pt>
                <c:pt idx="3">
                  <c:v>0.13198479709104599</c:v>
                </c:pt>
                <c:pt idx="4">
                  <c:v>0.13202502140737399</c:v>
                </c:pt>
                <c:pt idx="5">
                  <c:v>0.13205872802012</c:v>
                </c:pt>
                <c:pt idx="6">
                  <c:v>0.13208778730863199</c:v>
                </c:pt>
                <c:pt idx="7">
                  <c:v>0.13211336516595401</c:v>
                </c:pt>
                <c:pt idx="8">
                  <c:v>0.13213623777253899</c:v>
                </c:pt>
                <c:pt idx="9">
                  <c:v>0.13215694806964901</c:v>
                </c:pt>
                <c:pt idx="10">
                  <c:v>0.13217589080321199</c:v>
                </c:pt>
                <c:pt idx="11">
                  <c:v>0.132193362018386</c:v>
                </c:pt>
                <c:pt idx="12">
                  <c:v>0.13220958947116601</c:v>
                </c:pt>
                <c:pt idx="13">
                  <c:v>0.13222475215856899</c:v>
                </c:pt>
                <c:pt idx="14">
                  <c:v>0.13223899332967701</c:v>
                </c:pt>
                <c:pt idx="15">
                  <c:v>0.13225242942655999</c:v>
                </c:pt>
                <c:pt idx="16">
                  <c:v>0.13226515639358999</c:v>
                </c:pt>
                <c:pt idx="17">
                  <c:v>0.132277254233337</c:v>
                </c:pt>
                <c:pt idx="18">
                  <c:v>0.13228879036321101</c:v>
                </c:pt>
                <c:pt idx="19">
                  <c:v>0.132299822132879</c:v>
                </c:pt>
                <c:pt idx="20">
                  <c:v>0.13231039874234099</c:v>
                </c:pt>
                <c:pt idx="21">
                  <c:v>0.132320562724178</c:v>
                </c:pt>
                <c:pt idx="22">
                  <c:v>0.132330351103702</c:v>
                </c:pt>
                <c:pt idx="23">
                  <c:v>0.13233979631753401</c:v>
                </c:pt>
                <c:pt idx="24">
                  <c:v>0.13234892694859399</c:v>
                </c:pt>
                <c:pt idx="25">
                  <c:v>0.13235776832238</c:v>
                </c:pt>
                <c:pt idx="26">
                  <c:v>0.13236634299286601</c:v>
                </c:pt>
                <c:pt idx="27">
                  <c:v>0.13237467113954199</c:v>
                </c:pt>
                <c:pt idx="28">
                  <c:v>0.13238277089615499</c:v>
                </c:pt>
                <c:pt idx="29">
                  <c:v>0.132390658624819</c:v>
                </c:pt>
                <c:pt idx="30">
                  <c:v>0.132398349146053</c:v>
                </c:pt>
                <c:pt idx="31">
                  <c:v>0.13240585593302101</c:v>
                </c:pt>
                <c:pt idx="32">
                  <c:v>0.13241319127647799</c:v>
                </c:pt>
                <c:pt idx="33">
                  <c:v>0.13242036642560001</c:v>
                </c:pt>
                <c:pt idx="34">
                  <c:v>0.132427391708834</c:v>
                </c:pt>
                <c:pt idx="35">
                  <c:v>0.132434276638105</c:v>
                </c:pt>
                <c:pt idx="36">
                  <c:v>0.132441029999084</c:v>
                </c:pt>
                <c:pt idx="37">
                  <c:v>0.13244765992973101</c:v>
                </c:pt>
                <c:pt idx="38">
                  <c:v>0.13245417398892001</c:v>
                </c:pt>
                <c:pt idx="39">
                  <c:v>0.132460579216643</c:v>
                </c:pt>
                <c:pt idx="40">
                  <c:v>0.132466882187049</c:v>
                </c:pt>
                <c:pt idx="41">
                  <c:v>0.132473089055338</c:v>
                </c:pt>
                <c:pt idx="42">
                  <c:v>0.132479205599384</c:v>
                </c:pt>
                <c:pt idx="43">
                  <c:v>0.13248523725683301</c:v>
                </c:pt>
                <c:pt idx="44">
                  <c:v>0.13249118915828001</c:v>
                </c:pt>
                <c:pt idx="45">
                  <c:v>0.132497066157058</c:v>
                </c:pt>
                <c:pt idx="46">
                  <c:v>0.13250287285609899</c:v>
                </c:pt>
                <c:pt idx="47">
                  <c:v>0.13250861363223901</c:v>
                </c:pt>
                <c:pt idx="48">
                  <c:v>0.13251429265831799</c:v>
                </c:pt>
                <c:pt idx="49">
                  <c:v>0.132519913923346</c:v>
                </c:pt>
                <c:pt idx="50">
                  <c:v>0.13252548125101099</c:v>
                </c:pt>
                <c:pt idx="51">
                  <c:v>0.13253099831673101</c:v>
                </c:pt>
                <c:pt idx="52">
                  <c:v>0.132536468663457</c:v>
                </c:pt>
                <c:pt idx="53">
                  <c:v>0.13254189571640099</c:v>
                </c:pt>
                <c:pt idx="54">
                  <c:v>0.132547282796843</c:v>
                </c:pt>
                <c:pt idx="55">
                  <c:v>0.132552633135158</c:v>
                </c:pt>
                <c:pt idx="56">
                  <c:v>0.13255794988320099</c:v>
                </c:pt>
                <c:pt idx="57">
                  <c:v>0.13256323612616</c:v>
                </c:pt>
                <c:pt idx="58">
                  <c:v>0.132568494893996</c:v>
                </c:pt>
                <c:pt idx="59">
                  <c:v>0.132573729172584</c:v>
                </c:pt>
                <c:pt idx="60">
                  <c:v>0.13257894191464301</c:v>
                </c:pt>
                <c:pt idx="61">
                  <c:v>0.13258413605057701</c:v>
                </c:pt>
                <c:pt idx="62">
                  <c:v>0.13258931449931599</c:v>
                </c:pt>
                <c:pt idx="63">
                  <c:v>0.132594480179276</c:v>
                </c:pt>
                <c:pt idx="64">
                  <c:v>0.13259963601953101</c:v>
                </c:pt>
                <c:pt idx="65">
                  <c:v>0.13260478497133399</c:v>
                </c:pt>
                <c:pt idx="66">
                  <c:v>0.132609930020096</c:v>
                </c:pt>
                <c:pt idx="67">
                  <c:v>0.13261507419797</c:v>
                </c:pt>
                <c:pt idx="68">
                  <c:v>0.13262022059718601</c:v>
                </c:pt>
                <c:pt idx="69">
                  <c:v>0.13262537238431599</c:v>
                </c:pt>
                <c:pt idx="70">
                  <c:v>0.13263053281565201</c:v>
                </c:pt>
                <c:pt idx="71">
                  <c:v>0.13263570525393401</c:v>
                </c:pt>
                <c:pt idx="72">
                  <c:v>0.13264089318667299</c:v>
                </c:pt>
                <c:pt idx="73">
                  <c:v>0.13264610024638099</c:v>
                </c:pt>
                <c:pt idx="74">
                  <c:v>0.132651330233057</c:v>
                </c:pt>
                <c:pt idx="75">
                  <c:v>0.13265658713935299</c:v>
                </c:pt>
                <c:pt idx="76">
                  <c:v>0.132661875178925</c:v>
                </c:pt>
                <c:pt idx="77">
                  <c:v>0.132667198818578</c:v>
                </c:pt>
                <c:pt idx="78">
                  <c:v>0.13267256281493001</c:v>
                </c:pt>
                <c:pt idx="79">
                  <c:v>0.13267797225650099</c:v>
                </c:pt>
                <c:pt idx="80">
                  <c:v>0.13268343261232099</c:v>
                </c:pt>
                <c:pt idx="81">
                  <c:v>0.132688949788421</c:v>
                </c:pt>
                <c:pt idx="82">
                  <c:v>0.13269453019390001</c:v>
                </c:pt>
                <c:pt idx="83">
                  <c:v>0.132700180818698</c:v>
                </c:pt>
                <c:pt idx="84">
                  <c:v>0.13270590932577001</c:v>
                </c:pt>
                <c:pt idx="85">
                  <c:v>0.1327117241611</c:v>
                </c:pt>
                <c:pt idx="86">
                  <c:v>0.13271763468600001</c:v>
                </c:pt>
                <c:pt idx="87">
                  <c:v>0.13272365133744901</c:v>
                </c:pt>
                <c:pt idx="88">
                  <c:v>0.13272978582409101</c:v>
                </c:pt>
                <c:pt idx="89">
                  <c:v>0.132736051367976</c:v>
                </c:pt>
                <c:pt idx="90">
                  <c:v>0.13274246300567499</c:v>
                </c:pt>
                <c:pt idx="91">
                  <c:v>0.13274903796735801</c:v>
                </c:pt>
                <c:pt idx="92">
                  <c:v>0.13275579615959901</c:v>
                </c:pt>
                <c:pt idx="93">
                  <c:v>0.132762760788222</c:v>
                </c:pt>
                <c:pt idx="94">
                  <c:v>0.132769959173233</c:v>
                </c:pt>
                <c:pt idx="95">
                  <c:v>0.13277742383199001</c:v>
                </c:pt>
                <c:pt idx="96">
                  <c:v>0.1327851939445</c:v>
                </c:pt>
                <c:pt idx="97">
                  <c:v>0.132793317375444</c:v>
                </c:pt>
                <c:pt idx="98">
                  <c:v>0.13280185352829299</c:v>
                </c:pt>
                <c:pt idx="99">
                  <c:v>0.132810877479836</c:v>
                </c:pt>
                <c:pt idx="100">
                  <c:v>0.13282048615262401</c:v>
                </c:pt>
                <c:pt idx="101">
                  <c:v>0.132830807861128</c:v>
                </c:pt>
                <c:pt idx="102">
                  <c:v>0.13284201770953799</c:v>
                </c:pt>
                <c:pt idx="103">
                  <c:v>0.13285436372397999</c:v>
                </c:pt>
                <c:pt idx="104">
                  <c:v>0.13286821407563301</c:v>
                </c:pt>
                <c:pt idx="105">
                  <c:v>0.13288414946998101</c:v>
                </c:pt>
                <c:pt idx="106">
                  <c:v>0.13290316364780599</c:v>
                </c:pt>
                <c:pt idx="107">
                  <c:v>0.13292716444816299</c:v>
                </c:pt>
                <c:pt idx="108">
                  <c:v>0.13296050828176201</c:v>
                </c:pt>
                <c:pt idx="109">
                  <c:v>0.133016455978234</c:v>
                </c:pt>
                <c:pt idx="110">
                  <c:v>0.133164104046676</c:v>
                </c:pt>
                <c:pt idx="111">
                  <c:v>0.133431996568736</c:v>
                </c:pt>
                <c:pt idx="112">
                  <c:v>0.133700438474817</c:v>
                </c:pt>
                <c:pt idx="113">
                  <c:v>0.133970452116941</c:v>
                </c:pt>
                <c:pt idx="114">
                  <c:v>0.13424220517699001</c:v>
                </c:pt>
                <c:pt idx="115">
                  <c:v>0.22905350523007401</c:v>
                </c:pt>
                <c:pt idx="116">
                  <c:v>0.38328114622283099</c:v>
                </c:pt>
                <c:pt idx="117">
                  <c:v>0.38356152476168698</c:v>
                </c:pt>
                <c:pt idx="118">
                  <c:v>0.38379299379392201</c:v>
                </c:pt>
                <c:pt idx="119">
                  <c:v>0.38401822640655697</c:v>
                </c:pt>
                <c:pt idx="120">
                  <c:v>0.38424140815787</c:v>
                </c:pt>
                <c:pt idx="121">
                  <c:v>0.38446671085117801</c:v>
                </c:pt>
                <c:pt idx="122">
                  <c:v>0.38469880401552398</c:v>
                </c:pt>
                <c:pt idx="123">
                  <c:v>0.38494358472481499</c:v>
                </c:pt>
                <c:pt idx="124">
                  <c:v>0.385209474459207</c:v>
                </c:pt>
                <c:pt idx="125">
                  <c:v>0.385510194425701</c:v>
                </c:pt>
                <c:pt idx="126">
                  <c:v>0.38587195349777198</c:v>
                </c:pt>
                <c:pt idx="127">
                  <c:v>0.38635739088152099</c:v>
                </c:pt>
                <c:pt idx="128">
                  <c:v>0.387184549989666</c:v>
                </c:pt>
                <c:pt idx="129">
                  <c:v>0.38991903710217202</c:v>
                </c:pt>
                <c:pt idx="130">
                  <c:v>0.398962028776634</c:v>
                </c:pt>
                <c:pt idx="131">
                  <c:v>0.59896202877663396</c:v>
                </c:pt>
                <c:pt idx="132">
                  <c:v>0.59896202877663396</c:v>
                </c:pt>
              </c:numCache>
            </c:numRef>
          </c:xVal>
          <c:yVal>
            <c:numRef>
              <c:f>Implicit_Fracs!$BM$5:$BM$137</c:f>
              <c:numCache>
                <c:formatCode>0.00E+00</c:formatCode>
                <c:ptCount val="133"/>
                <c:pt idx="0">
                  <c:v>3.1830988618367301E-6</c:v>
                </c:pt>
                <c:pt idx="1">
                  <c:v>6.3495259091573201E-6</c:v>
                </c:pt>
                <c:pt idx="2">
                  <c:v>9.5158411943931704E-6</c:v>
                </c:pt>
                <c:pt idx="3">
                  <c:v>1.2682005183356601E-5</c:v>
                </c:pt>
                <c:pt idx="4">
                  <c:v>1.58480091458115E-5</c:v>
                </c:pt>
                <c:pt idx="5">
                  <c:v>1.9013849971722999E-5</c:v>
                </c:pt>
                <c:pt idx="6">
                  <c:v>2.2179525526653599E-5</c:v>
                </c:pt>
                <c:pt idx="7">
                  <c:v>2.53450335923846E-5</c:v>
                </c:pt>
                <c:pt idx="8">
                  <c:v>2.85103716659024E-5</c:v>
                </c:pt>
                <c:pt idx="9">
                  <c:v>3.1675536971583603E-5</c:v>
                </c:pt>
                <c:pt idx="10">
                  <c:v>3.4840526512920202E-5</c:v>
                </c:pt>
                <c:pt idx="11">
                  <c:v>3.8005337118600803E-5</c:v>
                </c:pt>
                <c:pt idx="12">
                  <c:v>4.11699654746862E-5</c:v>
                </c:pt>
                <c:pt idx="13">
                  <c:v>4.4334408144463199E-5</c:v>
                </c:pt>
                <c:pt idx="14">
                  <c:v>4.74986615794384E-5</c:v>
                </c:pt>
                <c:pt idx="15">
                  <c:v>5.0662722124309301E-5</c:v>
                </c:pt>
                <c:pt idx="16">
                  <c:v>5.38265860180834E-5</c:v>
                </c:pt>
                <c:pt idx="17">
                  <c:v>5.6990249392718799E-5</c:v>
                </c:pt>
                <c:pt idx="18">
                  <c:v>6.0153708270154499E-5</c:v>
                </c:pt>
                <c:pt idx="19">
                  <c:v>6.3316958558294996E-5</c:v>
                </c:pt>
                <c:pt idx="20">
                  <c:v>6.6479996046271502E-5</c:v>
                </c:pt>
                <c:pt idx="21">
                  <c:v>6.9642816399167706E-5</c:v>
                </c:pt>
                <c:pt idx="22">
                  <c:v>7.2805415152299397E-5</c:v>
                </c:pt>
                <c:pt idx="23">
                  <c:v>7.5967787705137106E-5</c:v>
                </c:pt>
                <c:pt idx="24">
                  <c:v>7.9129928859549193E-5</c:v>
                </c:pt>
                <c:pt idx="25">
                  <c:v>8.2291832824670801E-5</c:v>
                </c:pt>
                <c:pt idx="26">
                  <c:v>8.5453493637124094E-5</c:v>
                </c:pt>
                <c:pt idx="27">
                  <c:v>8.8614905148281999E-5</c:v>
                </c:pt>
                <c:pt idx="28">
                  <c:v>9.1776061011433194E-5</c:v>
                </c:pt>
                <c:pt idx="29">
                  <c:v>9.49369546687126E-5</c:v>
                </c:pt>
                <c:pt idx="30">
                  <c:v>9.8097579337728296E-5</c:v>
                </c:pt>
                <c:pt idx="31" formatCode="General">
                  <c:v>1.0125792799768E-4</c:v>
                </c:pt>
                <c:pt idx="32" formatCode="General">
                  <c:v>1.04417993374944E-4</c:v>
                </c:pt>
                <c:pt idx="33" formatCode="General">
                  <c:v>1.07577767927999E-4</c:v>
                </c:pt>
                <c:pt idx="34" formatCode="General">
                  <c:v>1.10737243831584E-4</c:v>
                </c:pt>
                <c:pt idx="35" formatCode="General">
                  <c:v>1.1389641295998899E-4</c:v>
                </c:pt>
                <c:pt idx="36" formatCode="General">
                  <c:v>1.17055266869386E-4</c:v>
                </c:pt>
                <c:pt idx="37" formatCode="General">
                  <c:v>1.20213796779119E-4</c:v>
                </c:pt>
                <c:pt idx="38" formatCode="General">
                  <c:v>1.2337199355176001E-4</c:v>
                </c:pt>
                <c:pt idx="39" formatCode="General">
                  <c:v>1.2652984767191601E-4</c:v>
                </c:pt>
                <c:pt idx="40" formatCode="General">
                  <c:v>1.29687349223579E-4</c:v>
                </c:pt>
                <c:pt idx="41" formatCode="General">
                  <c:v>1.3284448786591901E-4</c:v>
                </c:pt>
                <c:pt idx="42" formatCode="General">
                  <c:v>1.3600125280733601E-4</c:v>
                </c:pt>
                <c:pt idx="43" formatCode="General">
                  <c:v>1.3915763277765801E-4</c:v>
                </c:pt>
                <c:pt idx="44" formatCode="General">
                  <c:v>1.4231361599827E-4</c:v>
                </c:pt>
                <c:pt idx="45" formatCode="General">
                  <c:v>1.4546919014993501E-4</c:v>
                </c:pt>
                <c:pt idx="46" formatCode="General">
                  <c:v>1.4862434233816E-4</c:v>
                </c:pt>
                <c:pt idx="47" formatCode="General">
                  <c:v>1.51779059055813E-4</c:v>
                </c:pt>
                <c:pt idx="48" formatCode="General">
                  <c:v>1.5493332614273199E-4</c:v>
                </c:pt>
                <c:pt idx="49" formatCode="General">
                  <c:v>1.5808712874202201E-4</c:v>
                </c:pt>
                <c:pt idx="50" formatCode="General">
                  <c:v>1.6124045125268601E-4</c:v>
                </c:pt>
                <c:pt idx="51" formatCode="General">
                  <c:v>1.6439327727823901E-4</c:v>
                </c:pt>
                <c:pt idx="52" formatCode="General">
                  <c:v>1.6754558957088699E-4</c:v>
                </c:pt>
                <c:pt idx="53" formatCode="General">
                  <c:v>1.7069736997066701E-4</c:v>
                </c:pt>
                <c:pt idx="54" formatCode="General">
                  <c:v>1.7384859933925801E-4</c:v>
                </c:pt>
                <c:pt idx="55" formatCode="General">
                  <c:v>1.76999257487614E-4</c:v>
                </c:pt>
                <c:pt idx="56" formatCode="General">
                  <c:v>1.80149323096822E-4</c:v>
                </c:pt>
                <c:pt idx="57" formatCode="General">
                  <c:v>1.8329877363149001E-4</c:v>
                </c:pt>
                <c:pt idx="58" formatCode="General">
                  <c:v>1.86447585244628E-4</c:v>
                </c:pt>
                <c:pt idx="59" formatCode="General">
                  <c:v>1.8959573267315999E-4</c:v>
                </c:pt>
                <c:pt idx="60" formatCode="General">
                  <c:v>1.9274318912277901E-4</c:v>
                </c:pt>
                <c:pt idx="61" formatCode="General">
                  <c:v>1.9588992614097601E-4</c:v>
                </c:pt>
                <c:pt idx="62" formatCode="General">
                  <c:v>1.9903591347660999E-4</c:v>
                </c:pt>
                <c:pt idx="63" formatCode="General">
                  <c:v>2.0218111892440701E-4</c:v>
                </c:pt>
                <c:pt idx="64" formatCode="General">
                  <c:v>2.05325508152221E-4</c:v>
                </c:pt>
                <c:pt idx="65" formatCode="General">
                  <c:v>2.0846904450894999E-4</c:v>
                </c:pt>
                <c:pt idx="66" formatCode="General">
                  <c:v>2.11611688810214E-4</c:v>
                </c:pt>
                <c:pt idx="67" formatCode="General">
                  <c:v>2.14753399098812E-4</c:v>
                </c:pt>
                <c:pt idx="68" formatCode="General">
                  <c:v>2.1789413037626401E-4</c:v>
                </c:pt>
                <c:pt idx="69" formatCode="General">
                  <c:v>2.2103383430105501E-4</c:v>
                </c:pt>
                <c:pt idx="70" formatCode="General">
                  <c:v>2.2417245884872599E-4</c:v>
                </c:pt>
                <c:pt idx="71" formatCode="General">
                  <c:v>2.2730994792758799E-4</c:v>
                </c:pt>
                <c:pt idx="72" formatCode="General">
                  <c:v>2.30446240943268E-4</c:v>
                </c:pt>
                <c:pt idx="73" formatCode="General">
                  <c:v>2.3358127230345101E-4</c:v>
                </c:pt>
                <c:pt idx="74" formatCode="General">
                  <c:v>2.3671497085282E-4</c:v>
                </c:pt>
                <c:pt idx="75" formatCode="General">
                  <c:v>2.3984725922607901E-4</c:v>
                </c:pt>
                <c:pt idx="76" formatCode="General">
                  <c:v>2.4297805310441399E-4</c:v>
                </c:pt>
                <c:pt idx="77" formatCode="General">
                  <c:v>2.4610726035758799E-4</c:v>
                </c:pt>
                <c:pt idx="78" formatCode="General">
                  <c:v>2.4923478005007101E-4</c:v>
                </c:pt>
                <c:pt idx="79" formatCode="General">
                  <c:v>2.52360501284446E-4</c:v>
                </c:pt>
                <c:pt idx="80" formatCode="General">
                  <c:v>2.5548430184930997E-4</c:v>
                </c:pt>
                <c:pt idx="81" formatCode="General">
                  <c:v>2.5860604663065901E-4</c:v>
                </c:pt>
                <c:pt idx="82" formatCode="General">
                  <c:v>2.6172558573567598E-4</c:v>
                </c:pt>
                <c:pt idx="83" formatCode="General">
                  <c:v>2.6484275226416198E-4</c:v>
                </c:pt>
                <c:pt idx="84" formatCode="General">
                  <c:v>2.6795735964576899E-4</c:v>
                </c:pt>
                <c:pt idx="85" formatCode="General">
                  <c:v>2.7106919843771101E-4</c:v>
                </c:pt>
                <c:pt idx="86" formatCode="General">
                  <c:v>2.7417803244702101E-4</c:v>
                </c:pt>
                <c:pt idx="87" formatCode="General">
                  <c:v>2.7728359399984001E-4</c:v>
                </c:pt>
                <c:pt idx="88" formatCode="General">
                  <c:v>2.8038557812366701E-4</c:v>
                </c:pt>
                <c:pt idx="89" formatCode="General">
                  <c:v>2.8348363533032498E-4</c:v>
                </c:pt>
                <c:pt idx="90" formatCode="General">
                  <c:v>2.8657736257822899E-4</c:v>
                </c:pt>
                <c:pt idx="91" formatCode="General">
                  <c:v>2.8966629183766E-4</c:v>
                </c:pt>
                <c:pt idx="92" formatCode="General">
                  <c:v>2.9274987545974102E-4</c:v>
                </c:pt>
                <c:pt idx="93" formatCode="General">
                  <c:v>2.9582746722309601E-4</c:v>
                </c:pt>
                <c:pt idx="94" formatCode="General">
                  <c:v>2.98898297444486E-4</c:v>
                </c:pt>
                <c:pt idx="95" formatCode="General">
                  <c:v>3.01961439797485E-4</c:v>
                </c:pt>
                <c:pt idx="96" formatCode="General">
                  <c:v>3.0501576632685999E-4</c:v>
                </c:pt>
                <c:pt idx="97" formatCode="General">
                  <c:v>3.0805988530058698E-4</c:v>
                </c:pt>
                <c:pt idx="98" formatCode="General">
                  <c:v>3.1109205351164402E-4</c:v>
                </c:pt>
                <c:pt idx="99" formatCode="General">
                  <c:v>3.1411004951396101E-4</c:v>
                </c:pt>
                <c:pt idx="100" formatCode="General">
                  <c:v>3.1711098529039003E-4</c:v>
                </c:pt>
                <c:pt idx="101" formatCode="General">
                  <c:v>3.2009101747795701E-4</c:v>
                </c:pt>
                <c:pt idx="102" formatCode="General">
                  <c:v>3.2304488810829798E-4</c:v>
                </c:pt>
                <c:pt idx="103" formatCode="General">
                  <c:v>3.2596516251350499E-4</c:v>
                </c:pt>
                <c:pt idx="104" formatCode="General">
                  <c:v>3.2884090065772402E-4</c:v>
                </c:pt>
                <c:pt idx="105" formatCode="General">
                  <c:v>3.3165520578544802E-4</c:v>
                </c:pt>
                <c:pt idx="106" formatCode="General">
                  <c:v>3.3438041866799801E-4</c:v>
                </c:pt>
                <c:pt idx="107" formatCode="General">
                  <c:v>3.3696825014724698E-4</c:v>
                </c:pt>
                <c:pt idx="108" formatCode="General">
                  <c:v>3.3933116311995099E-4</c:v>
                </c:pt>
                <c:pt idx="109" formatCode="General">
                  <c:v>3.4135474140373901E-4</c:v>
                </c:pt>
                <c:pt idx="110" formatCode="General">
                  <c:v>3.4135474140373901E-4</c:v>
                </c:pt>
                <c:pt idx="111" formatCode="General">
                  <c:v>3.4283728370044099E-4</c:v>
                </c:pt>
                <c:pt idx="112" formatCode="General">
                  <c:v>3.4435504675784702E-4</c:v>
                </c:pt>
                <c:pt idx="113" formatCode="General">
                  <c:v>3.4588083576420601E-4</c:v>
                </c:pt>
                <c:pt idx="114" formatCode="General">
                  <c:v>3.4588083576420601E-4</c:v>
                </c:pt>
                <c:pt idx="115" formatCode="General">
                  <c:v>3.4588083576420601E-4</c:v>
                </c:pt>
                <c:pt idx="116" formatCode="General">
                  <c:v>3.4899006850807002E-4</c:v>
                </c:pt>
                <c:pt idx="117" formatCode="General">
                  <c:v>3.5216652682342403E-4</c:v>
                </c:pt>
                <c:pt idx="118" formatCode="General">
                  <c:v>3.5513256191030401E-4</c:v>
                </c:pt>
                <c:pt idx="119" formatCode="General">
                  <c:v>3.5807946159752997E-4</c:v>
                </c:pt>
                <c:pt idx="120" formatCode="General">
                  <c:v>3.6100222677031999E-4</c:v>
                </c:pt>
                <c:pt idx="121" formatCode="General">
                  <c:v>3.63894605005936E-4</c:v>
                </c:pt>
                <c:pt idx="122" formatCode="General">
                  <c:v>3.6674798156276299E-4</c:v>
                </c:pt>
                <c:pt idx="123" formatCode="General">
                  <c:v>3.6954966616275001E-4</c:v>
                </c:pt>
                <c:pt idx="124" formatCode="General">
                  <c:v>3.7227966527877997E-4</c:v>
                </c:pt>
                <c:pt idx="125" formatCode="General">
                  <c:v>3.7490391109611202E-4</c:v>
                </c:pt>
                <c:pt idx="126" formatCode="General">
                  <c:v>3.77358841837775E-4</c:v>
                </c:pt>
                <c:pt idx="127" formatCode="General">
                  <c:v>3.7951789555526699E-4</c:v>
                </c:pt>
                <c:pt idx="128" formatCode="General">
                  <c:v>3.8121767625506301E-4</c:v>
                </c:pt>
                <c:pt idx="129" formatCode="General">
                  <c:v>3.8121767625506301E-4</c:v>
                </c:pt>
                <c:pt idx="130" formatCode="General">
                  <c:v>3.8121767625506301E-4</c:v>
                </c:pt>
                <c:pt idx="131" formatCode="General">
                  <c:v>3.8121767625506301E-4</c:v>
                </c:pt>
                <c:pt idx="132" formatCode="General">
                  <c:v>3.8121767625506301E-4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Implicit_Fracs!$C$5:$C$137</c:f>
              <c:numCache>
                <c:formatCode>General</c:formatCode>
                <c:ptCount val="133"/>
                <c:pt idx="0">
                  <c:v>0.13176814316740099</c:v>
                </c:pt>
                <c:pt idx="1">
                  <c:v>0.13186826813090199</c:v>
                </c:pt>
                <c:pt idx="2">
                  <c:v>0.13193476474701199</c:v>
                </c:pt>
                <c:pt idx="3">
                  <c:v>0.13198479709104599</c:v>
                </c:pt>
                <c:pt idx="4">
                  <c:v>0.13202502140737399</c:v>
                </c:pt>
                <c:pt idx="5">
                  <c:v>0.13205872802012</c:v>
                </c:pt>
                <c:pt idx="6">
                  <c:v>0.13208778730863199</c:v>
                </c:pt>
                <c:pt idx="7">
                  <c:v>0.13211336516595401</c:v>
                </c:pt>
                <c:pt idx="8">
                  <c:v>0.13213623777253899</c:v>
                </c:pt>
                <c:pt idx="9">
                  <c:v>0.13215694806964901</c:v>
                </c:pt>
                <c:pt idx="10">
                  <c:v>0.13217589080321199</c:v>
                </c:pt>
                <c:pt idx="11">
                  <c:v>0.132193362018386</c:v>
                </c:pt>
                <c:pt idx="12">
                  <c:v>0.13220958947116601</c:v>
                </c:pt>
                <c:pt idx="13">
                  <c:v>0.13222475215856899</c:v>
                </c:pt>
                <c:pt idx="14">
                  <c:v>0.13223899332967701</c:v>
                </c:pt>
                <c:pt idx="15">
                  <c:v>0.13225242942655999</c:v>
                </c:pt>
                <c:pt idx="16">
                  <c:v>0.13226515639358999</c:v>
                </c:pt>
                <c:pt idx="17">
                  <c:v>0.132277254233337</c:v>
                </c:pt>
                <c:pt idx="18">
                  <c:v>0.13228879036321101</c:v>
                </c:pt>
                <c:pt idx="19">
                  <c:v>0.132299822132879</c:v>
                </c:pt>
                <c:pt idx="20">
                  <c:v>0.13231039874234099</c:v>
                </c:pt>
                <c:pt idx="21">
                  <c:v>0.132320562724178</c:v>
                </c:pt>
                <c:pt idx="22">
                  <c:v>0.132330351103702</c:v>
                </c:pt>
                <c:pt idx="23">
                  <c:v>0.13233979631753401</c:v>
                </c:pt>
                <c:pt idx="24">
                  <c:v>0.13234892694859399</c:v>
                </c:pt>
                <c:pt idx="25">
                  <c:v>0.13235776832238</c:v>
                </c:pt>
                <c:pt idx="26">
                  <c:v>0.13236634299286601</c:v>
                </c:pt>
                <c:pt idx="27">
                  <c:v>0.13237467113954199</c:v>
                </c:pt>
                <c:pt idx="28">
                  <c:v>0.13238277089615499</c:v>
                </c:pt>
                <c:pt idx="29">
                  <c:v>0.132390658624819</c:v>
                </c:pt>
                <c:pt idx="30">
                  <c:v>0.132398349146053</c:v>
                </c:pt>
                <c:pt idx="31">
                  <c:v>0.13240585593302101</c:v>
                </c:pt>
                <c:pt idx="32">
                  <c:v>0.13241319127647799</c:v>
                </c:pt>
                <c:pt idx="33">
                  <c:v>0.13242036642560001</c:v>
                </c:pt>
                <c:pt idx="34">
                  <c:v>0.132427391708834</c:v>
                </c:pt>
                <c:pt idx="35">
                  <c:v>0.132434276638105</c:v>
                </c:pt>
                <c:pt idx="36">
                  <c:v>0.132441029999084</c:v>
                </c:pt>
                <c:pt idx="37">
                  <c:v>0.13244765992973101</c:v>
                </c:pt>
                <c:pt idx="38">
                  <c:v>0.13245417398892001</c:v>
                </c:pt>
                <c:pt idx="39">
                  <c:v>0.132460579216643</c:v>
                </c:pt>
                <c:pt idx="40">
                  <c:v>0.132466882187049</c:v>
                </c:pt>
                <c:pt idx="41">
                  <c:v>0.132473089055338</c:v>
                </c:pt>
                <c:pt idx="42">
                  <c:v>0.132479205599384</c:v>
                </c:pt>
                <c:pt idx="43">
                  <c:v>0.13248523725683301</c:v>
                </c:pt>
                <c:pt idx="44">
                  <c:v>0.13249118915828001</c:v>
                </c:pt>
                <c:pt idx="45">
                  <c:v>0.132497066157058</c:v>
                </c:pt>
                <c:pt idx="46">
                  <c:v>0.13250287285609899</c:v>
                </c:pt>
                <c:pt idx="47">
                  <c:v>0.13250861363223901</c:v>
                </c:pt>
                <c:pt idx="48">
                  <c:v>0.13251429265831799</c:v>
                </c:pt>
                <c:pt idx="49">
                  <c:v>0.132519913923346</c:v>
                </c:pt>
                <c:pt idx="50">
                  <c:v>0.13252548125101099</c:v>
                </c:pt>
                <c:pt idx="51">
                  <c:v>0.13253099831673101</c:v>
                </c:pt>
                <c:pt idx="52">
                  <c:v>0.132536468663457</c:v>
                </c:pt>
                <c:pt idx="53">
                  <c:v>0.13254189571640099</c:v>
                </c:pt>
                <c:pt idx="54">
                  <c:v>0.132547282796843</c:v>
                </c:pt>
                <c:pt idx="55">
                  <c:v>0.132552633135158</c:v>
                </c:pt>
                <c:pt idx="56">
                  <c:v>0.13255794988320099</c:v>
                </c:pt>
                <c:pt idx="57">
                  <c:v>0.13256323612616</c:v>
                </c:pt>
                <c:pt idx="58">
                  <c:v>0.132568494893996</c:v>
                </c:pt>
                <c:pt idx="59">
                  <c:v>0.132573729172584</c:v>
                </c:pt>
                <c:pt idx="60">
                  <c:v>0.13257894191464301</c:v>
                </c:pt>
                <c:pt idx="61">
                  <c:v>0.13258413605057701</c:v>
                </c:pt>
                <c:pt idx="62">
                  <c:v>0.13258931449931599</c:v>
                </c:pt>
                <c:pt idx="63">
                  <c:v>0.132594480179276</c:v>
                </c:pt>
                <c:pt idx="64">
                  <c:v>0.13259963601953101</c:v>
                </c:pt>
                <c:pt idx="65">
                  <c:v>0.13260478497133399</c:v>
                </c:pt>
                <c:pt idx="66">
                  <c:v>0.132609930020096</c:v>
                </c:pt>
                <c:pt idx="67">
                  <c:v>0.13261507419797</c:v>
                </c:pt>
                <c:pt idx="68">
                  <c:v>0.13262022059718601</c:v>
                </c:pt>
                <c:pt idx="69">
                  <c:v>0.13262537238431599</c:v>
                </c:pt>
                <c:pt idx="70">
                  <c:v>0.13263053281565201</c:v>
                </c:pt>
                <c:pt idx="71">
                  <c:v>0.13263570525393401</c:v>
                </c:pt>
                <c:pt idx="72">
                  <c:v>0.13264089318667299</c:v>
                </c:pt>
                <c:pt idx="73">
                  <c:v>0.13264610024638099</c:v>
                </c:pt>
                <c:pt idx="74">
                  <c:v>0.132651330233057</c:v>
                </c:pt>
                <c:pt idx="75">
                  <c:v>0.13265658713935299</c:v>
                </c:pt>
                <c:pt idx="76">
                  <c:v>0.132661875178925</c:v>
                </c:pt>
                <c:pt idx="77">
                  <c:v>0.132667198818578</c:v>
                </c:pt>
                <c:pt idx="78">
                  <c:v>0.13267256281493001</c:v>
                </c:pt>
                <c:pt idx="79">
                  <c:v>0.13267797225650099</c:v>
                </c:pt>
                <c:pt idx="80">
                  <c:v>0.13268343261232099</c:v>
                </c:pt>
                <c:pt idx="81">
                  <c:v>0.132688949788421</c:v>
                </c:pt>
                <c:pt idx="82">
                  <c:v>0.13269453019390001</c:v>
                </c:pt>
                <c:pt idx="83">
                  <c:v>0.132700180818698</c:v>
                </c:pt>
                <c:pt idx="84">
                  <c:v>0.13270590932577001</c:v>
                </c:pt>
                <c:pt idx="85">
                  <c:v>0.1327117241611</c:v>
                </c:pt>
                <c:pt idx="86">
                  <c:v>0.13271763468600001</c:v>
                </c:pt>
                <c:pt idx="87">
                  <c:v>0.13272365133744901</c:v>
                </c:pt>
                <c:pt idx="88">
                  <c:v>0.13272978582409101</c:v>
                </c:pt>
                <c:pt idx="89">
                  <c:v>0.132736051367976</c:v>
                </c:pt>
                <c:pt idx="90">
                  <c:v>0.13274246300567499</c:v>
                </c:pt>
                <c:pt idx="91">
                  <c:v>0.13274903796735801</c:v>
                </c:pt>
                <c:pt idx="92">
                  <c:v>0.13275579615959901</c:v>
                </c:pt>
                <c:pt idx="93">
                  <c:v>0.132762760788222</c:v>
                </c:pt>
                <c:pt idx="94">
                  <c:v>0.132769959173233</c:v>
                </c:pt>
                <c:pt idx="95">
                  <c:v>0.13277742383199001</c:v>
                </c:pt>
                <c:pt idx="96">
                  <c:v>0.1327851939445</c:v>
                </c:pt>
                <c:pt idx="97">
                  <c:v>0.132793317375444</c:v>
                </c:pt>
                <c:pt idx="98">
                  <c:v>0.13280185352829299</c:v>
                </c:pt>
                <c:pt idx="99">
                  <c:v>0.132810877479836</c:v>
                </c:pt>
                <c:pt idx="100">
                  <c:v>0.13282048615262401</c:v>
                </c:pt>
                <c:pt idx="101">
                  <c:v>0.132830807861128</c:v>
                </c:pt>
                <c:pt idx="102">
                  <c:v>0.13284201770953799</c:v>
                </c:pt>
                <c:pt idx="103">
                  <c:v>0.13285436372397999</c:v>
                </c:pt>
                <c:pt idx="104">
                  <c:v>0.13286821407563301</c:v>
                </c:pt>
                <c:pt idx="105">
                  <c:v>0.13288414946998101</c:v>
                </c:pt>
                <c:pt idx="106">
                  <c:v>0.13290316364780599</c:v>
                </c:pt>
                <c:pt idx="107">
                  <c:v>0.13292716444816299</c:v>
                </c:pt>
                <c:pt idx="108">
                  <c:v>0.13296050828176201</c:v>
                </c:pt>
                <c:pt idx="109">
                  <c:v>0.133016455978234</c:v>
                </c:pt>
                <c:pt idx="110">
                  <c:v>0.133164104046676</c:v>
                </c:pt>
                <c:pt idx="111">
                  <c:v>0.133431996568736</c:v>
                </c:pt>
                <c:pt idx="112">
                  <c:v>0.133700438474817</c:v>
                </c:pt>
                <c:pt idx="113">
                  <c:v>0.133970452116941</c:v>
                </c:pt>
                <c:pt idx="114">
                  <c:v>0.13424220517699001</c:v>
                </c:pt>
                <c:pt idx="115">
                  <c:v>0.22905350523007401</c:v>
                </c:pt>
                <c:pt idx="116">
                  <c:v>0.38328114622283099</c:v>
                </c:pt>
                <c:pt idx="117">
                  <c:v>0.38356152476168698</c:v>
                </c:pt>
                <c:pt idx="118">
                  <c:v>0.38379299379392201</c:v>
                </c:pt>
                <c:pt idx="119">
                  <c:v>0.38401822640655697</c:v>
                </c:pt>
                <c:pt idx="120">
                  <c:v>0.38424140815787</c:v>
                </c:pt>
                <c:pt idx="121">
                  <c:v>0.38446671085117801</c:v>
                </c:pt>
                <c:pt idx="122">
                  <c:v>0.38469880401552398</c:v>
                </c:pt>
                <c:pt idx="123">
                  <c:v>0.38494358472481499</c:v>
                </c:pt>
                <c:pt idx="124">
                  <c:v>0.385209474459207</c:v>
                </c:pt>
                <c:pt idx="125">
                  <c:v>0.385510194425701</c:v>
                </c:pt>
                <c:pt idx="126">
                  <c:v>0.38587195349777198</c:v>
                </c:pt>
                <c:pt idx="127">
                  <c:v>0.38635739088152099</c:v>
                </c:pt>
                <c:pt idx="128">
                  <c:v>0.387184549989666</c:v>
                </c:pt>
                <c:pt idx="129">
                  <c:v>0.38991903710217202</c:v>
                </c:pt>
                <c:pt idx="130">
                  <c:v>0.398962028776634</c:v>
                </c:pt>
                <c:pt idx="131">
                  <c:v>0.59896202877663396</c:v>
                </c:pt>
                <c:pt idx="132">
                  <c:v>0.59896202877663396</c:v>
                </c:pt>
              </c:numCache>
            </c:numRef>
          </c:xVal>
          <c:yVal>
            <c:numRef>
              <c:f>Implicit_Fracs!$BN$5:$BN$137</c:f>
              <c:numCache>
                <c:formatCode>0.00E+00</c:formatCode>
                <c:ptCount val="133"/>
                <c:pt idx="0">
                  <c:v>4.3240155854408502E-7</c:v>
                </c:pt>
                <c:pt idx="1">
                  <c:v>4.31288331882718E-7</c:v>
                </c:pt>
                <c:pt idx="2">
                  <c:v>4.3025741091754999E-7</c:v>
                </c:pt>
                <c:pt idx="3">
                  <c:v>4.2926080068997097E-7</c:v>
                </c:pt>
                <c:pt idx="4">
                  <c:v>4.2828322019663399E-7</c:v>
                </c:pt>
                <c:pt idx="5">
                  <c:v>4.27317799281994E-7</c:v>
                </c:pt>
                <c:pt idx="6">
                  <c:v>4.2636084804785098E-7</c:v>
                </c:pt>
                <c:pt idx="7">
                  <c:v>4.2541015175208099E-7</c:v>
                </c:pt>
                <c:pt idx="8">
                  <c:v>4.2446427512020798E-7</c:v>
                </c:pt>
                <c:pt idx="9">
                  <c:v>4.2352223412296798E-7</c:v>
                </c:pt>
                <c:pt idx="10">
                  <c:v>4.2258332431865502E-7</c:v>
                </c:pt>
                <c:pt idx="11">
                  <c:v>4.2164702385784698E-7</c:v>
                </c:pt>
                <c:pt idx="12">
                  <c:v>4.20712935262314E-7</c:v>
                </c:pt>
                <c:pt idx="13">
                  <c:v>4.19780748737107E-7</c:v>
                </c:pt>
                <c:pt idx="14">
                  <c:v>4.18850218107855E-7</c:v>
                </c:pt>
                <c:pt idx="15">
                  <c:v>4.17921144500281E-7</c:v>
                </c:pt>
                <c:pt idx="16">
                  <c:v>4.1699336495031798E-7</c:v>
                </c:pt>
                <c:pt idx="17">
                  <c:v>4.1606674425734501E-7</c:v>
                </c:pt>
                <c:pt idx="18">
                  <c:v>4.15141169030949E-7</c:v>
                </c:pt>
                <c:pt idx="19">
                  <c:v>4.1421654325796501E-7</c:v>
                </c:pt>
                <c:pt idx="20">
                  <c:v>4.13292784946069E-7</c:v>
                </c:pt>
                <c:pt idx="21">
                  <c:v>4.1236982354444199E-7</c:v>
                </c:pt>
                <c:pt idx="22">
                  <c:v>4.11447597934967E-7</c:v>
                </c:pt>
                <c:pt idx="23">
                  <c:v>4.1052605484884501E-7</c:v>
                </c:pt>
                <c:pt idx="24">
                  <c:v>4.0960514773561402E-7</c:v>
                </c:pt>
                <c:pt idx="25">
                  <c:v>4.0868483574083603E-7</c:v>
                </c:pt>
                <c:pt idx="26">
                  <c:v>4.07765082756047E-7</c:v>
                </c:pt>
                <c:pt idx="27">
                  <c:v>4.0684585674594001E-7</c:v>
                </c:pt>
                <c:pt idx="28">
                  <c:v>4.0592712919330901E-7</c:v>
                </c:pt>
                <c:pt idx="29">
                  <c:v>4.0500887463797901E-7</c:v>
                </c:pt>
                <c:pt idx="30">
                  <c:v>4.04091070291362E-7</c:v>
                </c:pt>
                <c:pt idx="31">
                  <c:v>4.0317369571237201E-7</c:v>
                </c:pt>
                <c:pt idx="32">
                  <c:v>4.02256732533481E-7</c:v>
                </c:pt>
                <c:pt idx="33">
                  <c:v>4.0134016422803401E-7</c:v>
                </c:pt>
                <c:pt idx="34">
                  <c:v>4.0042397591175198E-7</c:v>
                </c:pt>
                <c:pt idx="35">
                  <c:v>3.9950815417273499E-7</c:v>
                </c:pt>
                <c:pt idx="36">
                  <c:v>3.9859268692538601E-7</c:v>
                </c:pt>
                <c:pt idx="37">
                  <c:v>3.9767756328448401E-7</c:v>
                </c:pt>
                <c:pt idx="38">
                  <c:v>3.9676277345641202E-7</c:v>
                </c:pt>
                <c:pt idx="39">
                  <c:v>3.9584830864497699E-7</c:v>
                </c:pt>
                <c:pt idx="40">
                  <c:v>3.9493416096978799E-7</c:v>
                </c:pt>
                <c:pt idx="41">
                  <c:v>3.9402032339547099E-7</c:v>
                </c:pt>
                <c:pt idx="42">
                  <c:v>3.9310678967029598E-7</c:v>
                </c:pt>
                <c:pt idx="43">
                  <c:v>3.9219355427303E-7</c:v>
                </c:pt>
                <c:pt idx="44">
                  <c:v>3.91280612367019E-7</c:v>
                </c:pt>
                <c:pt idx="45">
                  <c:v>3.9036795976070301E-7</c:v>
                </c:pt>
                <c:pt idx="46">
                  <c:v>3.8945559287384201E-7</c:v>
                </c:pt>
                <c:pt idx="47">
                  <c:v>3.8854350870889E-7</c:v>
                </c:pt>
                <c:pt idx="48">
                  <c:v>3.8763170482705199E-7</c:v>
                </c:pt>
                <c:pt idx="49">
                  <c:v>3.86720179328619E-7</c:v>
                </c:pt>
                <c:pt idx="50">
                  <c:v>3.8580893083728002E-7</c:v>
                </c:pt>
                <c:pt idx="51">
                  <c:v>3.8489795848814097E-7</c:v>
                </c:pt>
                <c:pt idx="52">
                  <c:v>3.8398726191926501E-7</c:v>
                </c:pt>
                <c:pt idx="53">
                  <c:v>3.8307684126662103E-7</c:v>
                </c:pt>
                <c:pt idx="54">
                  <c:v>3.8216669716228301E-7</c:v>
                </c:pt>
                <c:pt idx="55">
                  <c:v>3.8125683073590498E-7</c:v>
                </c:pt>
                <c:pt idx="56">
                  <c:v>3.8034724361944101E-7</c:v>
                </c:pt>
                <c:pt idx="57">
                  <c:v>3.7943793795514399E-7</c:v>
                </c:pt>
                <c:pt idx="58">
                  <c:v>3.7852891640696198E-7</c:v>
                </c:pt>
                <c:pt idx="59">
                  <c:v>3.7762018217544598E-7</c:v>
                </c:pt>
                <c:pt idx="60">
                  <c:v>3.7671173901638802E-7</c:v>
                </c:pt>
                <c:pt idx="61">
                  <c:v>3.7580359126339503E-7</c:v>
                </c:pt>
                <c:pt idx="62">
                  <c:v>3.7489574385474901E-7</c:v>
                </c:pt>
                <c:pt idx="63">
                  <c:v>3.7398820236486899E-7</c:v>
                </c:pt>
                <c:pt idx="64">
                  <c:v>3.7308097304090501E-7</c:v>
                </c:pt>
                <c:pt idx="65">
                  <c:v>3.72174062844908E-7</c:v>
                </c:pt>
                <c:pt idx="66">
                  <c:v>3.71267479502302E-7</c:v>
                </c:pt>
                <c:pt idx="67">
                  <c:v>3.7036123155736802E-7</c:v>
                </c:pt>
                <c:pt idx="68">
                  <c:v>3.6945532843665101E-7</c:v>
                </c:pt>
                <c:pt idx="69">
                  <c:v>3.6854978052138398E-7</c:v>
                </c:pt>
                <c:pt idx="70">
                  <c:v>3.6764459923016102E-7</c:v>
                </c:pt>
                <c:pt idx="71">
                  <c:v>3.6673979711342398E-7</c:v>
                </c:pt>
                <c:pt idx="72">
                  <c:v>3.6583538796149197E-7</c:v>
                </c:pt>
                <c:pt idx="73">
                  <c:v>3.6493138692836402E-7</c:v>
                </c:pt>
                <c:pt idx="74">
                  <c:v>3.6402781067381901E-7</c:v>
                </c:pt>
                <c:pt idx="75">
                  <c:v>3.63124677526976E-7</c:v>
                </c:pt>
                <c:pt idx="76">
                  <c:v>3.6222200767503999E-7</c:v>
                </c:pt>
                <c:pt idx="77">
                  <c:v>3.6131982338186702E-7</c:v>
                </c:pt>
                <c:pt idx="78">
                  <c:v>3.6041814924189398E-7</c:v>
                </c:pt>
                <c:pt idx="79">
                  <c:v>3.59517012476371E-7</c:v>
                </c:pt>
                <c:pt idx="80">
                  <c:v>3.5861644328036402E-7</c:v>
                </c:pt>
                <c:pt idx="81">
                  <c:v>3.57716475231146E-7</c:v>
                </c:pt>
                <c:pt idx="82">
                  <c:v>3.5681714577119799E-7</c:v>
                </c:pt>
                <c:pt idx="83">
                  <c:v>3.5591849678260198E-7</c:v>
                </c:pt>
                <c:pt idx="84">
                  <c:v>3.5502057527401699E-7</c:v>
                </c:pt>
                <c:pt idx="85">
                  <c:v>3.5412343420754098E-7</c:v>
                </c:pt>
                <c:pt idx="86">
                  <c:v>3.5322713350068501E-7</c:v>
                </c:pt>
                <c:pt idx="87">
                  <c:v>3.5233174124947698E-7</c:v>
                </c:pt>
                <c:pt idx="88">
                  <c:v>3.5143733523337398E-7</c:v>
                </c:pt>
                <c:pt idx="89">
                  <c:v>3.5054400478293202E-7</c:v>
                </c:pt>
                <c:pt idx="90">
                  <c:v>3.4965185311948999E-7</c:v>
                </c:pt>
                <c:pt idx="91">
                  <c:v>3.4876100031625397E-7</c:v>
                </c:pt>
                <c:pt idx="92">
                  <c:v>3.4787158708796997E-7</c:v>
                </c:pt>
                <c:pt idx="93">
                  <c:v>3.4698377970099901E-7</c:v>
                </c:pt>
                <c:pt idx="94">
                  <c:v>3.4609777642185098E-7</c:v>
                </c:pt>
                <c:pt idx="95">
                  <c:v>3.45213816114321E-7</c:v>
                </c:pt>
                <c:pt idx="96">
                  <c:v>3.44332189894283E-7</c:v>
                </c:pt>
                <c:pt idx="97">
                  <c:v>3.4345325722792903E-7</c:v>
                </c:pt>
                <c:pt idx="98">
                  <c:v>3.4257746864060997E-7</c:v>
                </c:pt>
                <c:pt idx="99">
                  <c:v>3.4170539852355402E-7</c:v>
                </c:pt>
                <c:pt idx="100">
                  <c:v>3.4083779383365E-7</c:v>
                </c:pt>
                <c:pt idx="101">
                  <c:v>3.3997564867248899E-7</c:v>
                </c:pt>
                <c:pt idx="102">
                  <c:v>3.3912032267187801E-7</c:v>
                </c:pt>
                <c:pt idx="103">
                  <c:v>3.38273736880214E-7</c:v>
                </c:pt>
                <c:pt idx="104">
                  <c:v>3.3743871373880699E-7</c:v>
                </c:pt>
                <c:pt idx="105">
                  <c:v>3.3661959959231599E-7</c:v>
                </c:pt>
                <c:pt idx="106">
                  <c:v>3.3582346800238099E-7</c:v>
                </c:pt>
                <c:pt idx="107">
                  <c:v>3.3506251266835102E-7</c:v>
                </c:pt>
                <c:pt idx="108">
                  <c:v>3.3435805391749001E-7</c:v>
                </c:pt>
                <c:pt idx="109">
                  <c:v>3.3373145199380399E-7</c:v>
                </c:pt>
                <c:pt idx="110">
                  <c:v>3.3370217647966902E-7</c:v>
                </c:pt>
                <c:pt idx="111">
                  <c:v>3.3319137963610799E-7</c:v>
                </c:pt>
                <c:pt idx="112">
                  <c:v>3.32670193105969E-7</c:v>
                </c:pt>
                <c:pt idx="113">
                  <c:v>3.3214685805019798E-7</c:v>
                </c:pt>
                <c:pt idx="114">
                  <c:v>3.3209435828223999E-7</c:v>
                </c:pt>
                <c:pt idx="115">
                  <c:v>3.3209435828223999E-7</c:v>
                </c:pt>
                <c:pt idx="116">
                  <c:v>3.3129120301482299E-7</c:v>
                </c:pt>
                <c:pt idx="117">
                  <c:v>3.27030007329869E-7</c:v>
                </c:pt>
                <c:pt idx="118">
                  <c:v>3.2501011910187898E-7</c:v>
                </c:pt>
                <c:pt idx="119">
                  <c:v>3.23016848913493E-7</c:v>
                </c:pt>
                <c:pt idx="120">
                  <c:v>3.2104758355562598E-7</c:v>
                </c:pt>
                <c:pt idx="121">
                  <c:v>3.1910337762586398E-7</c:v>
                </c:pt>
                <c:pt idx="122">
                  <c:v>3.17187979289292E-7</c:v>
                </c:pt>
                <c:pt idx="123">
                  <c:v>3.1530828373027602E-7</c:v>
                </c:pt>
                <c:pt idx="124">
                  <c:v>3.1347606805544101E-7</c:v>
                </c:pt>
                <c:pt idx="125">
                  <c:v>3.1171204561756001E-7</c:v>
                </c:pt>
                <c:pt idx="126">
                  <c:v>3.1005523388827999E-7</c:v>
                </c:pt>
                <c:pt idx="127">
                  <c:v>3.0858259431124899E-7</c:v>
                </c:pt>
                <c:pt idx="128">
                  <c:v>3.0740830512606398E-7</c:v>
                </c:pt>
                <c:pt idx="129">
                  <c:v>3.0750143813414799E-7</c:v>
                </c:pt>
                <c:pt idx="130">
                  <c:v>3.0781243735131401E-7</c:v>
                </c:pt>
                <c:pt idx="131">
                  <c:v>3.0781243735131401E-7</c:v>
                </c:pt>
                <c:pt idx="132">
                  <c:v>3.0781243735131401E-7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Implicit_Fracs!$C$5:$C$137</c:f>
              <c:numCache>
                <c:formatCode>General</c:formatCode>
                <c:ptCount val="133"/>
                <c:pt idx="0">
                  <c:v>0.13176814316740099</c:v>
                </c:pt>
                <c:pt idx="1">
                  <c:v>0.13186826813090199</c:v>
                </c:pt>
                <c:pt idx="2">
                  <c:v>0.13193476474701199</c:v>
                </c:pt>
                <c:pt idx="3">
                  <c:v>0.13198479709104599</c:v>
                </c:pt>
                <c:pt idx="4">
                  <c:v>0.13202502140737399</c:v>
                </c:pt>
                <c:pt idx="5">
                  <c:v>0.13205872802012</c:v>
                </c:pt>
                <c:pt idx="6">
                  <c:v>0.13208778730863199</c:v>
                </c:pt>
                <c:pt idx="7">
                  <c:v>0.13211336516595401</c:v>
                </c:pt>
                <c:pt idx="8">
                  <c:v>0.13213623777253899</c:v>
                </c:pt>
                <c:pt idx="9">
                  <c:v>0.13215694806964901</c:v>
                </c:pt>
                <c:pt idx="10">
                  <c:v>0.13217589080321199</c:v>
                </c:pt>
                <c:pt idx="11">
                  <c:v>0.132193362018386</c:v>
                </c:pt>
                <c:pt idx="12">
                  <c:v>0.13220958947116601</c:v>
                </c:pt>
                <c:pt idx="13">
                  <c:v>0.13222475215856899</c:v>
                </c:pt>
                <c:pt idx="14">
                  <c:v>0.13223899332967701</c:v>
                </c:pt>
                <c:pt idx="15">
                  <c:v>0.13225242942655999</c:v>
                </c:pt>
                <c:pt idx="16">
                  <c:v>0.13226515639358999</c:v>
                </c:pt>
                <c:pt idx="17">
                  <c:v>0.132277254233337</c:v>
                </c:pt>
                <c:pt idx="18">
                  <c:v>0.13228879036321101</c:v>
                </c:pt>
                <c:pt idx="19">
                  <c:v>0.132299822132879</c:v>
                </c:pt>
                <c:pt idx="20">
                  <c:v>0.13231039874234099</c:v>
                </c:pt>
                <c:pt idx="21">
                  <c:v>0.132320562724178</c:v>
                </c:pt>
                <c:pt idx="22">
                  <c:v>0.132330351103702</c:v>
                </c:pt>
                <c:pt idx="23">
                  <c:v>0.13233979631753401</c:v>
                </c:pt>
                <c:pt idx="24">
                  <c:v>0.13234892694859399</c:v>
                </c:pt>
                <c:pt idx="25">
                  <c:v>0.13235776832238</c:v>
                </c:pt>
                <c:pt idx="26">
                  <c:v>0.13236634299286601</c:v>
                </c:pt>
                <c:pt idx="27">
                  <c:v>0.13237467113954199</c:v>
                </c:pt>
                <c:pt idx="28">
                  <c:v>0.13238277089615499</c:v>
                </c:pt>
                <c:pt idx="29">
                  <c:v>0.132390658624819</c:v>
                </c:pt>
                <c:pt idx="30">
                  <c:v>0.132398349146053</c:v>
                </c:pt>
                <c:pt idx="31">
                  <c:v>0.13240585593302101</c:v>
                </c:pt>
                <c:pt idx="32">
                  <c:v>0.13241319127647799</c:v>
                </c:pt>
                <c:pt idx="33">
                  <c:v>0.13242036642560001</c:v>
                </c:pt>
                <c:pt idx="34">
                  <c:v>0.132427391708834</c:v>
                </c:pt>
                <c:pt idx="35">
                  <c:v>0.132434276638105</c:v>
                </c:pt>
                <c:pt idx="36">
                  <c:v>0.132441029999084</c:v>
                </c:pt>
                <c:pt idx="37">
                  <c:v>0.13244765992973101</c:v>
                </c:pt>
                <c:pt idx="38">
                  <c:v>0.13245417398892001</c:v>
                </c:pt>
                <c:pt idx="39">
                  <c:v>0.132460579216643</c:v>
                </c:pt>
                <c:pt idx="40">
                  <c:v>0.132466882187049</c:v>
                </c:pt>
                <c:pt idx="41">
                  <c:v>0.132473089055338</c:v>
                </c:pt>
                <c:pt idx="42">
                  <c:v>0.132479205599384</c:v>
                </c:pt>
                <c:pt idx="43">
                  <c:v>0.13248523725683301</c:v>
                </c:pt>
                <c:pt idx="44">
                  <c:v>0.13249118915828001</c:v>
                </c:pt>
                <c:pt idx="45">
                  <c:v>0.132497066157058</c:v>
                </c:pt>
                <c:pt idx="46">
                  <c:v>0.13250287285609899</c:v>
                </c:pt>
                <c:pt idx="47">
                  <c:v>0.13250861363223901</c:v>
                </c:pt>
                <c:pt idx="48">
                  <c:v>0.13251429265831799</c:v>
                </c:pt>
                <c:pt idx="49">
                  <c:v>0.132519913923346</c:v>
                </c:pt>
                <c:pt idx="50">
                  <c:v>0.13252548125101099</c:v>
                </c:pt>
                <c:pt idx="51">
                  <c:v>0.13253099831673101</c:v>
                </c:pt>
                <c:pt idx="52">
                  <c:v>0.132536468663457</c:v>
                </c:pt>
                <c:pt idx="53">
                  <c:v>0.13254189571640099</c:v>
                </c:pt>
                <c:pt idx="54">
                  <c:v>0.132547282796843</c:v>
                </c:pt>
                <c:pt idx="55">
                  <c:v>0.132552633135158</c:v>
                </c:pt>
                <c:pt idx="56">
                  <c:v>0.13255794988320099</c:v>
                </c:pt>
                <c:pt idx="57">
                  <c:v>0.13256323612616</c:v>
                </c:pt>
                <c:pt idx="58">
                  <c:v>0.132568494893996</c:v>
                </c:pt>
                <c:pt idx="59">
                  <c:v>0.132573729172584</c:v>
                </c:pt>
                <c:pt idx="60">
                  <c:v>0.13257894191464301</c:v>
                </c:pt>
                <c:pt idx="61">
                  <c:v>0.13258413605057701</c:v>
                </c:pt>
                <c:pt idx="62">
                  <c:v>0.13258931449931599</c:v>
                </c:pt>
                <c:pt idx="63">
                  <c:v>0.132594480179276</c:v>
                </c:pt>
                <c:pt idx="64">
                  <c:v>0.13259963601953101</c:v>
                </c:pt>
                <c:pt idx="65">
                  <c:v>0.13260478497133399</c:v>
                </c:pt>
                <c:pt idx="66">
                  <c:v>0.132609930020096</c:v>
                </c:pt>
                <c:pt idx="67">
                  <c:v>0.13261507419797</c:v>
                </c:pt>
                <c:pt idx="68">
                  <c:v>0.13262022059718601</c:v>
                </c:pt>
                <c:pt idx="69">
                  <c:v>0.13262537238431599</c:v>
                </c:pt>
                <c:pt idx="70">
                  <c:v>0.13263053281565201</c:v>
                </c:pt>
                <c:pt idx="71">
                  <c:v>0.13263570525393401</c:v>
                </c:pt>
                <c:pt idx="72">
                  <c:v>0.13264089318667299</c:v>
                </c:pt>
                <c:pt idx="73">
                  <c:v>0.13264610024638099</c:v>
                </c:pt>
                <c:pt idx="74">
                  <c:v>0.132651330233057</c:v>
                </c:pt>
                <c:pt idx="75">
                  <c:v>0.13265658713935299</c:v>
                </c:pt>
                <c:pt idx="76">
                  <c:v>0.132661875178925</c:v>
                </c:pt>
                <c:pt idx="77">
                  <c:v>0.132667198818578</c:v>
                </c:pt>
                <c:pt idx="78">
                  <c:v>0.13267256281493001</c:v>
                </c:pt>
                <c:pt idx="79">
                  <c:v>0.13267797225650099</c:v>
                </c:pt>
                <c:pt idx="80">
                  <c:v>0.13268343261232099</c:v>
                </c:pt>
                <c:pt idx="81">
                  <c:v>0.132688949788421</c:v>
                </c:pt>
                <c:pt idx="82">
                  <c:v>0.13269453019390001</c:v>
                </c:pt>
                <c:pt idx="83">
                  <c:v>0.132700180818698</c:v>
                </c:pt>
                <c:pt idx="84">
                  <c:v>0.13270590932577001</c:v>
                </c:pt>
                <c:pt idx="85">
                  <c:v>0.1327117241611</c:v>
                </c:pt>
                <c:pt idx="86">
                  <c:v>0.13271763468600001</c:v>
                </c:pt>
                <c:pt idx="87">
                  <c:v>0.13272365133744901</c:v>
                </c:pt>
                <c:pt idx="88">
                  <c:v>0.13272978582409101</c:v>
                </c:pt>
                <c:pt idx="89">
                  <c:v>0.132736051367976</c:v>
                </c:pt>
                <c:pt idx="90">
                  <c:v>0.13274246300567499</c:v>
                </c:pt>
                <c:pt idx="91">
                  <c:v>0.13274903796735801</c:v>
                </c:pt>
                <c:pt idx="92">
                  <c:v>0.13275579615959901</c:v>
                </c:pt>
                <c:pt idx="93">
                  <c:v>0.132762760788222</c:v>
                </c:pt>
                <c:pt idx="94">
                  <c:v>0.132769959173233</c:v>
                </c:pt>
                <c:pt idx="95">
                  <c:v>0.13277742383199001</c:v>
                </c:pt>
                <c:pt idx="96">
                  <c:v>0.1327851939445</c:v>
                </c:pt>
                <c:pt idx="97">
                  <c:v>0.132793317375444</c:v>
                </c:pt>
                <c:pt idx="98">
                  <c:v>0.13280185352829299</c:v>
                </c:pt>
                <c:pt idx="99">
                  <c:v>0.132810877479836</c:v>
                </c:pt>
                <c:pt idx="100">
                  <c:v>0.13282048615262401</c:v>
                </c:pt>
                <c:pt idx="101">
                  <c:v>0.132830807861128</c:v>
                </c:pt>
                <c:pt idx="102">
                  <c:v>0.13284201770953799</c:v>
                </c:pt>
                <c:pt idx="103">
                  <c:v>0.13285436372397999</c:v>
                </c:pt>
                <c:pt idx="104">
                  <c:v>0.13286821407563301</c:v>
                </c:pt>
                <c:pt idx="105">
                  <c:v>0.13288414946998101</c:v>
                </c:pt>
                <c:pt idx="106">
                  <c:v>0.13290316364780599</c:v>
                </c:pt>
                <c:pt idx="107">
                  <c:v>0.13292716444816299</c:v>
                </c:pt>
                <c:pt idx="108">
                  <c:v>0.13296050828176201</c:v>
                </c:pt>
                <c:pt idx="109">
                  <c:v>0.133016455978234</c:v>
                </c:pt>
                <c:pt idx="110">
                  <c:v>0.133164104046676</c:v>
                </c:pt>
                <c:pt idx="111">
                  <c:v>0.133431996568736</c:v>
                </c:pt>
                <c:pt idx="112">
                  <c:v>0.133700438474817</c:v>
                </c:pt>
                <c:pt idx="113">
                  <c:v>0.133970452116941</c:v>
                </c:pt>
                <c:pt idx="114">
                  <c:v>0.13424220517699001</c:v>
                </c:pt>
                <c:pt idx="115">
                  <c:v>0.22905350523007401</c:v>
                </c:pt>
                <c:pt idx="116">
                  <c:v>0.38328114622283099</c:v>
                </c:pt>
                <c:pt idx="117">
                  <c:v>0.38356152476168698</c:v>
                </c:pt>
                <c:pt idx="118">
                  <c:v>0.38379299379392201</c:v>
                </c:pt>
                <c:pt idx="119">
                  <c:v>0.38401822640655697</c:v>
                </c:pt>
                <c:pt idx="120">
                  <c:v>0.38424140815787</c:v>
                </c:pt>
                <c:pt idx="121">
                  <c:v>0.38446671085117801</c:v>
                </c:pt>
                <c:pt idx="122">
                  <c:v>0.38469880401552398</c:v>
                </c:pt>
                <c:pt idx="123">
                  <c:v>0.38494358472481499</c:v>
                </c:pt>
                <c:pt idx="124">
                  <c:v>0.385209474459207</c:v>
                </c:pt>
                <c:pt idx="125">
                  <c:v>0.385510194425701</c:v>
                </c:pt>
                <c:pt idx="126">
                  <c:v>0.38587195349777198</c:v>
                </c:pt>
                <c:pt idx="127">
                  <c:v>0.38635739088152099</c:v>
                </c:pt>
                <c:pt idx="128">
                  <c:v>0.387184549989666</c:v>
                </c:pt>
                <c:pt idx="129">
                  <c:v>0.38991903710217202</c:v>
                </c:pt>
                <c:pt idx="130">
                  <c:v>0.398962028776634</c:v>
                </c:pt>
                <c:pt idx="131">
                  <c:v>0.59896202877663396</c:v>
                </c:pt>
                <c:pt idx="132">
                  <c:v>0.59896202877663396</c:v>
                </c:pt>
              </c:numCache>
            </c:numRef>
          </c:xVal>
          <c:yVal>
            <c:numRef>
              <c:f>Implicit_Fracs!$BO$5:$BO$137</c:f>
              <c:numCache>
                <c:formatCode>0.00E+00</c:formatCode>
                <c:ptCount val="133"/>
                <c:pt idx="0">
                  <c:v>4.9999999999981601E-8</c:v>
                </c:pt>
                <c:pt idx="1">
                  <c:v>9.9738119749933402E-8</c:v>
                </c:pt>
                <c:pt idx="2">
                  <c:v>1.49474483945164E-7</c:v>
                </c:pt>
                <c:pt idx="3">
                  <c:v>1.99208471584104E-7</c:v>
                </c:pt>
                <c:pt idx="4">
                  <c:v>2.4893994553252698E-7</c:v>
                </c:pt>
                <c:pt idx="5">
                  <c:v>2.9866885693811699E-7</c:v>
                </c:pt>
                <c:pt idx="6">
                  <c:v>3.4839517227321099E-7</c:v>
                </c:pt>
                <c:pt idx="7">
                  <c:v>3.98118856694111E-7</c:v>
                </c:pt>
                <c:pt idx="8">
                  <c:v>4.47839870883569E-7</c:v>
                </c:pt>
                <c:pt idx="9">
                  <c:v>4.9755817124219404E-7</c:v>
                </c:pt>
                <c:pt idx="10">
                  <c:v>5.4727371070095202E-7</c:v>
                </c:pt>
                <c:pt idx="11">
                  <c:v>5.9698643944499903E-7</c:v>
                </c:pt>
                <c:pt idx="12">
                  <c:v>6.4669630541909796E-7</c:v>
                </c:pt>
                <c:pt idx="13">
                  <c:v>6.9640325463948495E-7</c:v>
                </c:pt>
                <c:pt idx="14">
                  <c:v>7.4610723136655702E-7</c:v>
                </c:pt>
                <c:pt idx="15">
                  <c:v>7.9580817818295497E-7</c:v>
                </c:pt>
                <c:pt idx="16">
                  <c:v>8.4550603601114904E-7</c:v>
                </c:pt>
                <c:pt idx="17">
                  <c:v>8.95200744092077E-7</c:v>
                </c:pt>
                <c:pt idx="18">
                  <c:v>9.4489223993850505E-7</c:v>
                </c:pt>
                <c:pt idx="19">
                  <c:v>9.9458045927194493E-7</c:v>
                </c:pt>
                <c:pt idx="20">
                  <c:v>1.04426533594822E-6</c:v>
                </c:pt>
                <c:pt idx="21">
                  <c:v>1.0939468018746399E-6</c:v>
                </c:pt>
                <c:pt idx="22">
                  <c:v>1.14362478692009E-6</c:v>
                </c:pt>
                <c:pt idx="23">
                  <c:v>1.1932992188196399E-6</c:v>
                </c:pt>
                <c:pt idx="24">
                  <c:v>1.2429700159212099E-6</c:v>
                </c:pt>
                <c:pt idx="25">
                  <c:v>1.2926370872621301E-6</c:v>
                </c:pt>
                <c:pt idx="26">
                  <c:v>1.3423003391698601E-6</c:v>
                </c:pt>
                <c:pt idx="27">
                  <c:v>1.391959675062E-6</c:v>
                </c:pt>
                <c:pt idx="28">
                  <c:v>1.44161499524464E-6</c:v>
                </c:pt>
                <c:pt idx="29">
                  <c:v>1.4912661967070701E-6</c:v>
                </c:pt>
                <c:pt idx="30">
                  <c:v>1.5409131729117499E-6</c:v>
                </c:pt>
                <c:pt idx="31">
                  <c:v>1.59055581357618E-6</c:v>
                </c:pt>
                <c:pt idx="32">
                  <c:v>1.64019400444656E-6</c:v>
                </c:pt>
                <c:pt idx="33">
                  <c:v>1.68982762706095E-6</c:v>
                </c:pt>
                <c:pt idx="34">
                  <c:v>1.73945655850043E-6</c:v>
                </c:pt>
                <c:pt idx="35">
                  <c:v>1.7890806711266501E-6</c:v>
                </c:pt>
                <c:pt idx="36">
                  <c:v>1.83869983230428E-6</c:v>
                </c:pt>
                <c:pt idx="37">
                  <c:v>1.88831390410708E-6</c:v>
                </c:pt>
                <c:pt idx="38">
                  <c:v>1.93792274300468E-6</c:v>
                </c:pt>
                <c:pt idx="39">
                  <c:v>1.9875261995296398E-6</c:v>
                </c:pt>
                <c:pt idx="40">
                  <c:v>2.0371241179216499E-6</c:v>
                </c:pt>
                <c:pt idx="41">
                  <c:v>2.0867163357473498E-6</c:v>
                </c:pt>
                <c:pt idx="42">
                  <c:v>2.1363026834926698E-6</c:v>
                </c:pt>
                <c:pt idx="43">
                  <c:v>2.1858829841261802E-6</c:v>
                </c:pt>
                <c:pt idx="44">
                  <c:v>2.2354570526298199E-6</c:v>
                </c:pt>
                <c:pt idx="45">
                  <c:v>2.28502469549347E-6</c:v>
                </c:pt>
                <c:pt idx="46">
                  <c:v>2.3345857101708898E-6</c:v>
                </c:pt>
                <c:pt idx="47">
                  <c:v>2.38413988449257E-6</c:v>
                </c:pt>
                <c:pt idx="48">
                  <c:v>2.4336869960311898E-6</c:v>
                </c:pt>
                <c:pt idx="49">
                  <c:v>2.4832268114152E-6</c:v>
                </c:pt>
                <c:pt idx="50">
                  <c:v>2.5327590855847101E-6</c:v>
                </c:pt>
                <c:pt idx="51">
                  <c:v>2.5822835609843301E-6</c:v>
                </c:pt>
                <c:pt idx="52">
                  <c:v>2.63179996668635E-6</c:v>
                </c:pt>
                <c:pt idx="53">
                  <c:v>2.6813080174347302E-6</c:v>
                </c:pt>
                <c:pt idx="54">
                  <c:v>2.7308074126054299E-6</c:v>
                </c:pt>
                <c:pt idx="55">
                  <c:v>2.7802978350696801E-6</c:v>
                </c:pt>
                <c:pt idx="56">
                  <c:v>2.82977894995074E-6</c:v>
                </c:pt>
                <c:pt idx="57">
                  <c:v>2.87925040326353E-6</c:v>
                </c:pt>
                <c:pt idx="58">
                  <c:v>2.9287118204203999E-6</c:v>
                </c:pt>
                <c:pt idx="59">
                  <c:v>2.9781628045898698E-6</c:v>
                </c:pt>
                <c:pt idx="60">
                  <c:v>3.02760293488795E-6</c:v>
                </c:pt>
                <c:pt idx="61">
                  <c:v>3.0770317643836898E-6</c:v>
                </c:pt>
                <c:pt idx="62">
                  <c:v>3.1264488178932498E-6</c:v>
                </c:pt>
                <c:pt idx="63">
                  <c:v>3.1758535895374001E-6</c:v>
                </c:pt>
                <c:pt idx="64">
                  <c:v>3.22524554002805E-6</c:v>
                </c:pt>
                <c:pt idx="65">
                  <c:v>3.2746240936509999E-6</c:v>
                </c:pt>
                <c:pt idx="66">
                  <c:v>3.32398863489949E-6</c:v>
                </c:pt>
                <c:pt idx="67">
                  <c:v>3.3733385047113199E-6</c:v>
                </c:pt>
                <c:pt idx="68">
                  <c:v>3.4226729962520399E-6</c:v>
                </c:pt>
                <c:pt idx="69">
                  <c:v>3.47199135017489E-6</c:v>
                </c:pt>
                <c:pt idx="70">
                  <c:v>3.5212927492815799E-6</c:v>
                </c:pt>
                <c:pt idx="71">
                  <c:v>3.5705763124859401E-6</c:v>
                </c:pt>
                <c:pt idx="72">
                  <c:v>3.61984108797377E-6</c:v>
                </c:pt>
                <c:pt idx="73">
                  <c:v>3.6690860454233901E-6</c:v>
                </c:pt>
                <c:pt idx="74">
                  <c:v>3.7183100671297102E-6</c:v>
                </c:pt>
                <c:pt idx="75">
                  <c:v>3.7675119378414801E-6</c:v>
                </c:pt>
                <c:pt idx="76">
                  <c:v>3.8166903330818901E-6</c:v>
                </c:pt>
                <c:pt idx="77">
                  <c:v>3.8658438056725398E-6</c:v>
                </c:pt>
                <c:pt idx="78">
                  <c:v>3.9149707701218502E-6</c:v>
                </c:pt>
                <c:pt idx="79">
                  <c:v>3.9640694844572603E-6</c:v>
                </c:pt>
                <c:pt idx="80">
                  <c:v>4.0131380289865402E-6</c:v>
                </c:pt>
                <c:pt idx="81">
                  <c:v>4.0621742813438903E-6</c:v>
                </c:pt>
                <c:pt idx="82">
                  <c:v>4.1111758870184196E-6</c:v>
                </c:pt>
                <c:pt idx="83">
                  <c:v>4.1601402243479599E-6</c:v>
                </c:pt>
                <c:pt idx="84">
                  <c:v>4.2090643626923302E-6</c:v>
                </c:pt>
                <c:pt idx="85">
                  <c:v>4.2579450121319404E-6</c:v>
                </c:pt>
                <c:pt idx="86">
                  <c:v>4.3067784625563202E-6</c:v>
                </c:pt>
                <c:pt idx="87">
                  <c:v>4.3555605093543597E-6</c:v>
                </c:pt>
                <c:pt idx="88">
                  <c:v>4.4042863620292004E-6</c:v>
                </c:pt>
                <c:pt idx="89">
                  <c:v>4.4529505308333901E-6</c:v>
                </c:pt>
                <c:pt idx="90">
                  <c:v>4.5015466848045097E-6</c:v>
                </c:pt>
                <c:pt idx="91">
                  <c:v>4.5500674721489402E-6</c:v>
                </c:pt>
                <c:pt idx="92">
                  <c:v>4.5985042904182397E-6</c:v>
                </c:pt>
                <c:pt idx="93">
                  <c:v>4.6468469887907602E-6</c:v>
                </c:pt>
                <c:pt idx="94">
                  <c:v>4.6950834771104703E-6</c:v>
                </c:pt>
                <c:pt idx="95">
                  <c:v>4.7431992046758703E-6</c:v>
                </c:pt>
                <c:pt idx="96">
                  <c:v>4.7911764536076199E-6</c:v>
                </c:pt>
                <c:pt idx="97">
                  <c:v>4.83899336263019E-6</c:v>
                </c:pt>
                <c:pt idx="98">
                  <c:v>4.88662254951172E-6</c:v>
                </c:pt>
                <c:pt idx="99">
                  <c:v>4.9340291198589202E-6</c:v>
                </c:pt>
                <c:pt idx="100">
                  <c:v>4.98116770880455E-6</c:v>
                </c:pt>
                <c:pt idx="101">
                  <c:v>5.0279779449441499E-6</c:v>
                </c:pt>
                <c:pt idx="102">
                  <c:v>5.0743772363038299E-6</c:v>
                </c:pt>
                <c:pt idx="103">
                  <c:v>5.1202487993931497E-6</c:v>
                </c:pt>
                <c:pt idx="104">
                  <c:v>5.1654207885307798E-6</c:v>
                </c:pt>
                <c:pt idx="105">
                  <c:v>5.2096277901018797E-6</c:v>
                </c:pt>
                <c:pt idx="106">
                  <c:v>5.2524353339583103E-6</c:v>
                </c:pt>
                <c:pt idx="107">
                  <c:v>5.2930848957779897E-6</c:v>
                </c:pt>
                <c:pt idx="108">
                  <c:v>5.33020144595859E-6</c:v>
                </c:pt>
                <c:pt idx="109">
                  <c:v>5.3619877393101498E-6</c:v>
                </c:pt>
                <c:pt idx="110">
                  <c:v>5.3619877393101498E-6</c:v>
                </c:pt>
                <c:pt idx="111">
                  <c:v>5.3852754592499204E-6</c:v>
                </c:pt>
                <c:pt idx="112">
                  <c:v>5.4091164256051104E-6</c:v>
                </c:pt>
                <c:pt idx="113">
                  <c:v>5.4330834632716303E-6</c:v>
                </c:pt>
                <c:pt idx="114">
                  <c:v>5.4330834632716303E-6</c:v>
                </c:pt>
                <c:pt idx="115">
                  <c:v>5.4330834632716303E-6</c:v>
                </c:pt>
                <c:pt idx="116">
                  <c:v>5.4819231770037596E-6</c:v>
                </c:pt>
                <c:pt idx="117">
                  <c:v>5.5318188675435098E-6</c:v>
                </c:pt>
                <c:pt idx="118">
                  <c:v>5.5784092377396598E-6</c:v>
                </c:pt>
                <c:pt idx="119">
                  <c:v>5.6246990297809503E-6</c:v>
                </c:pt>
                <c:pt idx="120">
                  <c:v>5.6706097177559701E-6</c:v>
                </c:pt>
                <c:pt idx="121">
                  <c:v>5.7160430888380396E-6</c:v>
                </c:pt>
                <c:pt idx="122">
                  <c:v>5.7608638229823096E-6</c:v>
                </c:pt>
                <c:pt idx="123">
                  <c:v>5.8048725817672802E-6</c:v>
                </c:pt>
                <c:pt idx="124">
                  <c:v>5.8477553076034101E-6</c:v>
                </c:pt>
                <c:pt idx="125">
                  <c:v>5.8889768645081298E-6</c:v>
                </c:pt>
                <c:pt idx="126">
                  <c:v>5.9275388264235398E-6</c:v>
                </c:pt>
                <c:pt idx="127">
                  <c:v>5.96145316291143E-6</c:v>
                </c:pt>
                <c:pt idx="128">
                  <c:v>5.9881532557073903E-6</c:v>
                </c:pt>
                <c:pt idx="129">
                  <c:v>5.9881532557073903E-6</c:v>
                </c:pt>
                <c:pt idx="130">
                  <c:v>5.9881532557073903E-6</c:v>
                </c:pt>
                <c:pt idx="131">
                  <c:v>5.9881532557073903E-6</c:v>
                </c:pt>
                <c:pt idx="132">
                  <c:v>5.9881532557073903E-6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Implicit_Fracs!$C$5:$C$137</c:f>
              <c:numCache>
                <c:formatCode>General</c:formatCode>
                <c:ptCount val="133"/>
                <c:pt idx="0">
                  <c:v>0.13176814316740099</c:v>
                </c:pt>
                <c:pt idx="1">
                  <c:v>0.13186826813090199</c:v>
                </c:pt>
                <c:pt idx="2">
                  <c:v>0.13193476474701199</c:v>
                </c:pt>
                <c:pt idx="3">
                  <c:v>0.13198479709104599</c:v>
                </c:pt>
                <c:pt idx="4">
                  <c:v>0.13202502140737399</c:v>
                </c:pt>
                <c:pt idx="5">
                  <c:v>0.13205872802012</c:v>
                </c:pt>
                <c:pt idx="6">
                  <c:v>0.13208778730863199</c:v>
                </c:pt>
                <c:pt idx="7">
                  <c:v>0.13211336516595401</c:v>
                </c:pt>
                <c:pt idx="8">
                  <c:v>0.13213623777253899</c:v>
                </c:pt>
                <c:pt idx="9">
                  <c:v>0.13215694806964901</c:v>
                </c:pt>
                <c:pt idx="10">
                  <c:v>0.13217589080321199</c:v>
                </c:pt>
                <c:pt idx="11">
                  <c:v>0.132193362018386</c:v>
                </c:pt>
                <c:pt idx="12">
                  <c:v>0.13220958947116601</c:v>
                </c:pt>
                <c:pt idx="13">
                  <c:v>0.13222475215856899</c:v>
                </c:pt>
                <c:pt idx="14">
                  <c:v>0.13223899332967701</c:v>
                </c:pt>
                <c:pt idx="15">
                  <c:v>0.13225242942655999</c:v>
                </c:pt>
                <c:pt idx="16">
                  <c:v>0.13226515639358999</c:v>
                </c:pt>
                <c:pt idx="17">
                  <c:v>0.132277254233337</c:v>
                </c:pt>
                <c:pt idx="18">
                  <c:v>0.13228879036321101</c:v>
                </c:pt>
                <c:pt idx="19">
                  <c:v>0.132299822132879</c:v>
                </c:pt>
                <c:pt idx="20">
                  <c:v>0.13231039874234099</c:v>
                </c:pt>
                <c:pt idx="21">
                  <c:v>0.132320562724178</c:v>
                </c:pt>
                <c:pt idx="22">
                  <c:v>0.132330351103702</c:v>
                </c:pt>
                <c:pt idx="23">
                  <c:v>0.13233979631753401</c:v>
                </c:pt>
                <c:pt idx="24">
                  <c:v>0.13234892694859399</c:v>
                </c:pt>
                <c:pt idx="25">
                  <c:v>0.13235776832238</c:v>
                </c:pt>
                <c:pt idx="26">
                  <c:v>0.13236634299286601</c:v>
                </c:pt>
                <c:pt idx="27">
                  <c:v>0.13237467113954199</c:v>
                </c:pt>
                <c:pt idx="28">
                  <c:v>0.13238277089615499</c:v>
                </c:pt>
                <c:pt idx="29">
                  <c:v>0.132390658624819</c:v>
                </c:pt>
                <c:pt idx="30">
                  <c:v>0.132398349146053</c:v>
                </c:pt>
                <c:pt idx="31">
                  <c:v>0.13240585593302101</c:v>
                </c:pt>
                <c:pt idx="32">
                  <c:v>0.13241319127647799</c:v>
                </c:pt>
                <c:pt idx="33">
                  <c:v>0.13242036642560001</c:v>
                </c:pt>
                <c:pt idx="34">
                  <c:v>0.132427391708834</c:v>
                </c:pt>
                <c:pt idx="35">
                  <c:v>0.132434276638105</c:v>
                </c:pt>
                <c:pt idx="36">
                  <c:v>0.132441029999084</c:v>
                </c:pt>
                <c:pt idx="37">
                  <c:v>0.13244765992973101</c:v>
                </c:pt>
                <c:pt idx="38">
                  <c:v>0.13245417398892001</c:v>
                </c:pt>
                <c:pt idx="39">
                  <c:v>0.132460579216643</c:v>
                </c:pt>
                <c:pt idx="40">
                  <c:v>0.132466882187049</c:v>
                </c:pt>
                <c:pt idx="41">
                  <c:v>0.132473089055338</c:v>
                </c:pt>
                <c:pt idx="42">
                  <c:v>0.132479205599384</c:v>
                </c:pt>
                <c:pt idx="43">
                  <c:v>0.13248523725683301</c:v>
                </c:pt>
                <c:pt idx="44">
                  <c:v>0.13249118915828001</c:v>
                </c:pt>
                <c:pt idx="45">
                  <c:v>0.132497066157058</c:v>
                </c:pt>
                <c:pt idx="46">
                  <c:v>0.13250287285609899</c:v>
                </c:pt>
                <c:pt idx="47">
                  <c:v>0.13250861363223901</c:v>
                </c:pt>
                <c:pt idx="48">
                  <c:v>0.13251429265831799</c:v>
                </c:pt>
                <c:pt idx="49">
                  <c:v>0.132519913923346</c:v>
                </c:pt>
                <c:pt idx="50">
                  <c:v>0.13252548125101099</c:v>
                </c:pt>
                <c:pt idx="51">
                  <c:v>0.13253099831673101</c:v>
                </c:pt>
                <c:pt idx="52">
                  <c:v>0.132536468663457</c:v>
                </c:pt>
                <c:pt idx="53">
                  <c:v>0.13254189571640099</c:v>
                </c:pt>
                <c:pt idx="54">
                  <c:v>0.132547282796843</c:v>
                </c:pt>
                <c:pt idx="55">
                  <c:v>0.132552633135158</c:v>
                </c:pt>
                <c:pt idx="56">
                  <c:v>0.13255794988320099</c:v>
                </c:pt>
                <c:pt idx="57">
                  <c:v>0.13256323612616</c:v>
                </c:pt>
                <c:pt idx="58">
                  <c:v>0.132568494893996</c:v>
                </c:pt>
                <c:pt idx="59">
                  <c:v>0.132573729172584</c:v>
                </c:pt>
                <c:pt idx="60">
                  <c:v>0.13257894191464301</c:v>
                </c:pt>
                <c:pt idx="61">
                  <c:v>0.13258413605057701</c:v>
                </c:pt>
                <c:pt idx="62">
                  <c:v>0.13258931449931599</c:v>
                </c:pt>
                <c:pt idx="63">
                  <c:v>0.132594480179276</c:v>
                </c:pt>
                <c:pt idx="64">
                  <c:v>0.13259963601953101</c:v>
                </c:pt>
                <c:pt idx="65">
                  <c:v>0.13260478497133399</c:v>
                </c:pt>
                <c:pt idx="66">
                  <c:v>0.132609930020096</c:v>
                </c:pt>
                <c:pt idx="67">
                  <c:v>0.13261507419797</c:v>
                </c:pt>
                <c:pt idx="68">
                  <c:v>0.13262022059718601</c:v>
                </c:pt>
                <c:pt idx="69">
                  <c:v>0.13262537238431599</c:v>
                </c:pt>
                <c:pt idx="70">
                  <c:v>0.13263053281565201</c:v>
                </c:pt>
                <c:pt idx="71">
                  <c:v>0.13263570525393401</c:v>
                </c:pt>
                <c:pt idx="72">
                  <c:v>0.13264089318667299</c:v>
                </c:pt>
                <c:pt idx="73">
                  <c:v>0.13264610024638099</c:v>
                </c:pt>
                <c:pt idx="74">
                  <c:v>0.132651330233057</c:v>
                </c:pt>
                <c:pt idx="75">
                  <c:v>0.13265658713935299</c:v>
                </c:pt>
                <c:pt idx="76">
                  <c:v>0.132661875178925</c:v>
                </c:pt>
                <c:pt idx="77">
                  <c:v>0.132667198818578</c:v>
                </c:pt>
                <c:pt idx="78">
                  <c:v>0.13267256281493001</c:v>
                </c:pt>
                <c:pt idx="79">
                  <c:v>0.13267797225650099</c:v>
                </c:pt>
                <c:pt idx="80">
                  <c:v>0.13268343261232099</c:v>
                </c:pt>
                <c:pt idx="81">
                  <c:v>0.132688949788421</c:v>
                </c:pt>
                <c:pt idx="82">
                  <c:v>0.13269453019390001</c:v>
                </c:pt>
                <c:pt idx="83">
                  <c:v>0.132700180818698</c:v>
                </c:pt>
                <c:pt idx="84">
                  <c:v>0.13270590932577001</c:v>
                </c:pt>
                <c:pt idx="85">
                  <c:v>0.1327117241611</c:v>
                </c:pt>
                <c:pt idx="86">
                  <c:v>0.13271763468600001</c:v>
                </c:pt>
                <c:pt idx="87">
                  <c:v>0.13272365133744901</c:v>
                </c:pt>
                <c:pt idx="88">
                  <c:v>0.13272978582409101</c:v>
                </c:pt>
                <c:pt idx="89">
                  <c:v>0.132736051367976</c:v>
                </c:pt>
                <c:pt idx="90">
                  <c:v>0.13274246300567499</c:v>
                </c:pt>
                <c:pt idx="91">
                  <c:v>0.13274903796735801</c:v>
                </c:pt>
                <c:pt idx="92">
                  <c:v>0.13275579615959901</c:v>
                </c:pt>
                <c:pt idx="93">
                  <c:v>0.132762760788222</c:v>
                </c:pt>
                <c:pt idx="94">
                  <c:v>0.132769959173233</c:v>
                </c:pt>
                <c:pt idx="95">
                  <c:v>0.13277742383199001</c:v>
                </c:pt>
                <c:pt idx="96">
                  <c:v>0.1327851939445</c:v>
                </c:pt>
                <c:pt idx="97">
                  <c:v>0.132793317375444</c:v>
                </c:pt>
                <c:pt idx="98">
                  <c:v>0.13280185352829299</c:v>
                </c:pt>
                <c:pt idx="99">
                  <c:v>0.132810877479836</c:v>
                </c:pt>
                <c:pt idx="100">
                  <c:v>0.13282048615262401</c:v>
                </c:pt>
                <c:pt idx="101">
                  <c:v>0.132830807861128</c:v>
                </c:pt>
                <c:pt idx="102">
                  <c:v>0.13284201770953799</c:v>
                </c:pt>
                <c:pt idx="103">
                  <c:v>0.13285436372397999</c:v>
                </c:pt>
                <c:pt idx="104">
                  <c:v>0.13286821407563301</c:v>
                </c:pt>
                <c:pt idx="105">
                  <c:v>0.13288414946998101</c:v>
                </c:pt>
                <c:pt idx="106">
                  <c:v>0.13290316364780599</c:v>
                </c:pt>
                <c:pt idx="107">
                  <c:v>0.13292716444816299</c:v>
                </c:pt>
                <c:pt idx="108">
                  <c:v>0.13296050828176201</c:v>
                </c:pt>
                <c:pt idx="109">
                  <c:v>0.133016455978234</c:v>
                </c:pt>
                <c:pt idx="110">
                  <c:v>0.133164104046676</c:v>
                </c:pt>
                <c:pt idx="111">
                  <c:v>0.133431996568736</c:v>
                </c:pt>
                <c:pt idx="112">
                  <c:v>0.133700438474817</c:v>
                </c:pt>
                <c:pt idx="113">
                  <c:v>0.133970452116941</c:v>
                </c:pt>
                <c:pt idx="114">
                  <c:v>0.13424220517699001</c:v>
                </c:pt>
                <c:pt idx="115">
                  <c:v>0.22905350523007401</c:v>
                </c:pt>
                <c:pt idx="116">
                  <c:v>0.38328114622283099</c:v>
                </c:pt>
                <c:pt idx="117">
                  <c:v>0.38356152476168698</c:v>
                </c:pt>
                <c:pt idx="118">
                  <c:v>0.38379299379392201</c:v>
                </c:pt>
                <c:pt idx="119">
                  <c:v>0.38401822640655697</c:v>
                </c:pt>
                <c:pt idx="120">
                  <c:v>0.38424140815787</c:v>
                </c:pt>
                <c:pt idx="121">
                  <c:v>0.38446671085117801</c:v>
                </c:pt>
                <c:pt idx="122">
                  <c:v>0.38469880401552398</c:v>
                </c:pt>
                <c:pt idx="123">
                  <c:v>0.38494358472481499</c:v>
                </c:pt>
                <c:pt idx="124">
                  <c:v>0.385209474459207</c:v>
                </c:pt>
                <c:pt idx="125">
                  <c:v>0.385510194425701</c:v>
                </c:pt>
                <c:pt idx="126">
                  <c:v>0.38587195349777198</c:v>
                </c:pt>
                <c:pt idx="127">
                  <c:v>0.38635739088152099</c:v>
                </c:pt>
                <c:pt idx="128">
                  <c:v>0.387184549989666</c:v>
                </c:pt>
                <c:pt idx="129">
                  <c:v>0.38991903710217202</c:v>
                </c:pt>
                <c:pt idx="130">
                  <c:v>0.398962028776634</c:v>
                </c:pt>
                <c:pt idx="131">
                  <c:v>0.59896202877663396</c:v>
                </c:pt>
                <c:pt idx="132">
                  <c:v>0.59896202877663396</c:v>
                </c:pt>
              </c:numCache>
            </c:numRef>
          </c:xVal>
          <c:yVal>
            <c:numRef>
              <c:f>Implicit_Fracs!$BP$5:$BP$137</c:f>
              <c:numCache>
                <c:formatCode>General</c:formatCode>
                <c:ptCount val="1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 formatCode="0.00E+00">
                  <c:v>2.6449490407304201E-6</c:v>
                </c:pt>
                <c:pt idx="117" formatCode="0.00E+00">
                  <c:v>2.5440084731252599E-6</c:v>
                </c:pt>
                <c:pt idx="118" formatCode="0.00E+00">
                  <c:v>2.49629379656802E-6</c:v>
                </c:pt>
                <c:pt idx="119" formatCode="0.00E+00">
                  <c:v>2.4494597403943901E-6</c:v>
                </c:pt>
                <c:pt idx="120" formatCode="0.00E+00">
                  <c:v>2.4033290659056999E-6</c:v>
                </c:pt>
                <c:pt idx="121" formatCode="0.00E+00">
                  <c:v>2.3578728402589101E-6</c:v>
                </c:pt>
                <c:pt idx="122" formatCode="0.00E+00">
                  <c:v>2.3131511793508501E-6</c:v>
                </c:pt>
                <c:pt idx="123" formatCode="0.00E+00">
                  <c:v>2.26931102392842E-6</c:v>
                </c:pt>
                <c:pt idx="124" formatCode="0.00E+00">
                  <c:v>2.22662185509173E-6</c:v>
                </c:pt>
                <c:pt idx="125" formatCode="0.00E+00">
                  <c:v>2.1855696679413298E-6</c:v>
                </c:pt>
                <c:pt idx="126" formatCode="0.00E+00">
                  <c:v>2.1470797669282598E-6</c:v>
                </c:pt>
                <c:pt idx="127" formatCode="0.00E+00">
                  <c:v>2.1129931582495599E-6</c:v>
                </c:pt>
                <c:pt idx="128" formatCode="0.00E+00">
                  <c:v>2.0867809426931599E-6</c:v>
                </c:pt>
                <c:pt idx="129" formatCode="0.00E+00">
                  <c:v>2.09935096168519E-6</c:v>
                </c:pt>
                <c:pt idx="130" formatCode="0.00E+00">
                  <c:v>2.1409267775917001E-6</c:v>
                </c:pt>
                <c:pt idx="131" formatCode="0.00E+00">
                  <c:v>2.7146945700653901E-6</c:v>
                </c:pt>
                <c:pt idx="132" formatCode="0.00E+00">
                  <c:v>2.7146945700653901E-6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Implicit_Fracs!$C$5:$C$137</c:f>
              <c:numCache>
                <c:formatCode>General</c:formatCode>
                <c:ptCount val="133"/>
                <c:pt idx="0">
                  <c:v>0.13176814316740099</c:v>
                </c:pt>
                <c:pt idx="1">
                  <c:v>0.13186826813090199</c:v>
                </c:pt>
                <c:pt idx="2">
                  <c:v>0.13193476474701199</c:v>
                </c:pt>
                <c:pt idx="3">
                  <c:v>0.13198479709104599</c:v>
                </c:pt>
                <c:pt idx="4">
                  <c:v>0.13202502140737399</c:v>
                </c:pt>
                <c:pt idx="5">
                  <c:v>0.13205872802012</c:v>
                </c:pt>
                <c:pt idx="6">
                  <c:v>0.13208778730863199</c:v>
                </c:pt>
                <c:pt idx="7">
                  <c:v>0.13211336516595401</c:v>
                </c:pt>
                <c:pt idx="8">
                  <c:v>0.13213623777253899</c:v>
                </c:pt>
                <c:pt idx="9">
                  <c:v>0.13215694806964901</c:v>
                </c:pt>
                <c:pt idx="10">
                  <c:v>0.13217589080321199</c:v>
                </c:pt>
                <c:pt idx="11">
                  <c:v>0.132193362018386</c:v>
                </c:pt>
                <c:pt idx="12">
                  <c:v>0.13220958947116601</c:v>
                </c:pt>
                <c:pt idx="13">
                  <c:v>0.13222475215856899</c:v>
                </c:pt>
                <c:pt idx="14">
                  <c:v>0.13223899332967701</c:v>
                </c:pt>
                <c:pt idx="15">
                  <c:v>0.13225242942655999</c:v>
                </c:pt>
                <c:pt idx="16">
                  <c:v>0.13226515639358999</c:v>
                </c:pt>
                <c:pt idx="17">
                  <c:v>0.132277254233337</c:v>
                </c:pt>
                <c:pt idx="18">
                  <c:v>0.13228879036321101</c:v>
                </c:pt>
                <c:pt idx="19">
                  <c:v>0.132299822132879</c:v>
                </c:pt>
                <c:pt idx="20">
                  <c:v>0.13231039874234099</c:v>
                </c:pt>
                <c:pt idx="21">
                  <c:v>0.132320562724178</c:v>
                </c:pt>
                <c:pt idx="22">
                  <c:v>0.132330351103702</c:v>
                </c:pt>
                <c:pt idx="23">
                  <c:v>0.13233979631753401</c:v>
                </c:pt>
                <c:pt idx="24">
                  <c:v>0.13234892694859399</c:v>
                </c:pt>
                <c:pt idx="25">
                  <c:v>0.13235776832238</c:v>
                </c:pt>
                <c:pt idx="26">
                  <c:v>0.13236634299286601</c:v>
                </c:pt>
                <c:pt idx="27">
                  <c:v>0.13237467113954199</c:v>
                </c:pt>
                <c:pt idx="28">
                  <c:v>0.13238277089615499</c:v>
                </c:pt>
                <c:pt idx="29">
                  <c:v>0.132390658624819</c:v>
                </c:pt>
                <c:pt idx="30">
                  <c:v>0.132398349146053</c:v>
                </c:pt>
                <c:pt idx="31">
                  <c:v>0.13240585593302101</c:v>
                </c:pt>
                <c:pt idx="32">
                  <c:v>0.13241319127647799</c:v>
                </c:pt>
                <c:pt idx="33">
                  <c:v>0.13242036642560001</c:v>
                </c:pt>
                <c:pt idx="34">
                  <c:v>0.132427391708834</c:v>
                </c:pt>
                <c:pt idx="35">
                  <c:v>0.132434276638105</c:v>
                </c:pt>
                <c:pt idx="36">
                  <c:v>0.132441029999084</c:v>
                </c:pt>
                <c:pt idx="37">
                  <c:v>0.13244765992973101</c:v>
                </c:pt>
                <c:pt idx="38">
                  <c:v>0.13245417398892001</c:v>
                </c:pt>
                <c:pt idx="39">
                  <c:v>0.132460579216643</c:v>
                </c:pt>
                <c:pt idx="40">
                  <c:v>0.132466882187049</c:v>
                </c:pt>
                <c:pt idx="41">
                  <c:v>0.132473089055338</c:v>
                </c:pt>
                <c:pt idx="42">
                  <c:v>0.132479205599384</c:v>
                </c:pt>
                <c:pt idx="43">
                  <c:v>0.13248523725683301</c:v>
                </c:pt>
                <c:pt idx="44">
                  <c:v>0.13249118915828001</c:v>
                </c:pt>
                <c:pt idx="45">
                  <c:v>0.132497066157058</c:v>
                </c:pt>
                <c:pt idx="46">
                  <c:v>0.13250287285609899</c:v>
                </c:pt>
                <c:pt idx="47">
                  <c:v>0.13250861363223901</c:v>
                </c:pt>
                <c:pt idx="48">
                  <c:v>0.13251429265831799</c:v>
                </c:pt>
                <c:pt idx="49">
                  <c:v>0.132519913923346</c:v>
                </c:pt>
                <c:pt idx="50">
                  <c:v>0.13252548125101099</c:v>
                </c:pt>
                <c:pt idx="51">
                  <c:v>0.13253099831673101</c:v>
                </c:pt>
                <c:pt idx="52">
                  <c:v>0.132536468663457</c:v>
                </c:pt>
                <c:pt idx="53">
                  <c:v>0.13254189571640099</c:v>
                </c:pt>
                <c:pt idx="54">
                  <c:v>0.132547282796843</c:v>
                </c:pt>
                <c:pt idx="55">
                  <c:v>0.132552633135158</c:v>
                </c:pt>
                <c:pt idx="56">
                  <c:v>0.13255794988320099</c:v>
                </c:pt>
                <c:pt idx="57">
                  <c:v>0.13256323612616</c:v>
                </c:pt>
                <c:pt idx="58">
                  <c:v>0.132568494893996</c:v>
                </c:pt>
                <c:pt idx="59">
                  <c:v>0.132573729172584</c:v>
                </c:pt>
                <c:pt idx="60">
                  <c:v>0.13257894191464301</c:v>
                </c:pt>
                <c:pt idx="61">
                  <c:v>0.13258413605057701</c:v>
                </c:pt>
                <c:pt idx="62">
                  <c:v>0.13258931449931599</c:v>
                </c:pt>
                <c:pt idx="63">
                  <c:v>0.132594480179276</c:v>
                </c:pt>
                <c:pt idx="64">
                  <c:v>0.13259963601953101</c:v>
                </c:pt>
                <c:pt idx="65">
                  <c:v>0.13260478497133399</c:v>
                </c:pt>
                <c:pt idx="66">
                  <c:v>0.132609930020096</c:v>
                </c:pt>
                <c:pt idx="67">
                  <c:v>0.13261507419797</c:v>
                </c:pt>
                <c:pt idx="68">
                  <c:v>0.13262022059718601</c:v>
                </c:pt>
                <c:pt idx="69">
                  <c:v>0.13262537238431599</c:v>
                </c:pt>
                <c:pt idx="70">
                  <c:v>0.13263053281565201</c:v>
                </c:pt>
                <c:pt idx="71">
                  <c:v>0.13263570525393401</c:v>
                </c:pt>
                <c:pt idx="72">
                  <c:v>0.13264089318667299</c:v>
                </c:pt>
                <c:pt idx="73">
                  <c:v>0.13264610024638099</c:v>
                </c:pt>
                <c:pt idx="74">
                  <c:v>0.132651330233057</c:v>
                </c:pt>
                <c:pt idx="75">
                  <c:v>0.13265658713935299</c:v>
                </c:pt>
                <c:pt idx="76">
                  <c:v>0.132661875178925</c:v>
                </c:pt>
                <c:pt idx="77">
                  <c:v>0.132667198818578</c:v>
                </c:pt>
                <c:pt idx="78">
                  <c:v>0.13267256281493001</c:v>
                </c:pt>
                <c:pt idx="79">
                  <c:v>0.13267797225650099</c:v>
                </c:pt>
                <c:pt idx="80">
                  <c:v>0.13268343261232099</c:v>
                </c:pt>
                <c:pt idx="81">
                  <c:v>0.132688949788421</c:v>
                </c:pt>
                <c:pt idx="82">
                  <c:v>0.13269453019390001</c:v>
                </c:pt>
                <c:pt idx="83">
                  <c:v>0.132700180818698</c:v>
                </c:pt>
                <c:pt idx="84">
                  <c:v>0.13270590932577001</c:v>
                </c:pt>
                <c:pt idx="85">
                  <c:v>0.1327117241611</c:v>
                </c:pt>
                <c:pt idx="86">
                  <c:v>0.13271763468600001</c:v>
                </c:pt>
                <c:pt idx="87">
                  <c:v>0.13272365133744901</c:v>
                </c:pt>
                <c:pt idx="88">
                  <c:v>0.13272978582409101</c:v>
                </c:pt>
                <c:pt idx="89">
                  <c:v>0.132736051367976</c:v>
                </c:pt>
                <c:pt idx="90">
                  <c:v>0.13274246300567499</c:v>
                </c:pt>
                <c:pt idx="91">
                  <c:v>0.13274903796735801</c:v>
                </c:pt>
                <c:pt idx="92">
                  <c:v>0.13275579615959901</c:v>
                </c:pt>
                <c:pt idx="93">
                  <c:v>0.132762760788222</c:v>
                </c:pt>
                <c:pt idx="94">
                  <c:v>0.132769959173233</c:v>
                </c:pt>
                <c:pt idx="95">
                  <c:v>0.13277742383199001</c:v>
                </c:pt>
                <c:pt idx="96">
                  <c:v>0.1327851939445</c:v>
                </c:pt>
                <c:pt idx="97">
                  <c:v>0.132793317375444</c:v>
                </c:pt>
                <c:pt idx="98">
                  <c:v>0.13280185352829299</c:v>
                </c:pt>
                <c:pt idx="99">
                  <c:v>0.132810877479836</c:v>
                </c:pt>
                <c:pt idx="100">
                  <c:v>0.13282048615262401</c:v>
                </c:pt>
                <c:pt idx="101">
                  <c:v>0.132830807861128</c:v>
                </c:pt>
                <c:pt idx="102">
                  <c:v>0.13284201770953799</c:v>
                </c:pt>
                <c:pt idx="103">
                  <c:v>0.13285436372397999</c:v>
                </c:pt>
                <c:pt idx="104">
                  <c:v>0.13286821407563301</c:v>
                </c:pt>
                <c:pt idx="105">
                  <c:v>0.13288414946998101</c:v>
                </c:pt>
                <c:pt idx="106">
                  <c:v>0.13290316364780599</c:v>
                </c:pt>
                <c:pt idx="107">
                  <c:v>0.13292716444816299</c:v>
                </c:pt>
                <c:pt idx="108">
                  <c:v>0.13296050828176201</c:v>
                </c:pt>
                <c:pt idx="109">
                  <c:v>0.133016455978234</c:v>
                </c:pt>
                <c:pt idx="110">
                  <c:v>0.133164104046676</c:v>
                </c:pt>
                <c:pt idx="111">
                  <c:v>0.133431996568736</c:v>
                </c:pt>
                <c:pt idx="112">
                  <c:v>0.133700438474817</c:v>
                </c:pt>
                <c:pt idx="113">
                  <c:v>0.133970452116941</c:v>
                </c:pt>
                <c:pt idx="114">
                  <c:v>0.13424220517699001</c:v>
                </c:pt>
                <c:pt idx="115">
                  <c:v>0.22905350523007401</c:v>
                </c:pt>
                <c:pt idx="116">
                  <c:v>0.38328114622283099</c:v>
                </c:pt>
                <c:pt idx="117">
                  <c:v>0.38356152476168698</c:v>
                </c:pt>
                <c:pt idx="118">
                  <c:v>0.38379299379392201</c:v>
                </c:pt>
                <c:pt idx="119">
                  <c:v>0.38401822640655697</c:v>
                </c:pt>
                <c:pt idx="120">
                  <c:v>0.38424140815787</c:v>
                </c:pt>
                <c:pt idx="121">
                  <c:v>0.38446671085117801</c:v>
                </c:pt>
                <c:pt idx="122">
                  <c:v>0.38469880401552398</c:v>
                </c:pt>
                <c:pt idx="123">
                  <c:v>0.38494358472481499</c:v>
                </c:pt>
                <c:pt idx="124">
                  <c:v>0.385209474459207</c:v>
                </c:pt>
                <c:pt idx="125">
                  <c:v>0.385510194425701</c:v>
                </c:pt>
                <c:pt idx="126">
                  <c:v>0.38587195349777198</c:v>
                </c:pt>
                <c:pt idx="127">
                  <c:v>0.38635739088152099</c:v>
                </c:pt>
                <c:pt idx="128">
                  <c:v>0.387184549989666</c:v>
                </c:pt>
                <c:pt idx="129">
                  <c:v>0.38991903710217202</c:v>
                </c:pt>
                <c:pt idx="130">
                  <c:v>0.398962028776634</c:v>
                </c:pt>
                <c:pt idx="131">
                  <c:v>0.59896202877663396</c:v>
                </c:pt>
                <c:pt idx="132">
                  <c:v>0.59896202877663396</c:v>
                </c:pt>
              </c:numCache>
            </c:numRef>
          </c:xVal>
          <c:yVal>
            <c:numRef>
              <c:f>Implicit_Fracs!$BQ$5:$BQ$137</c:f>
              <c:numCache>
                <c:formatCode>General</c:formatCode>
                <c:ptCount val="1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 formatCode="0.00E+00">
                  <c:v>3.5190589326004401E-6</c:v>
                </c:pt>
                <c:pt idx="117" formatCode="0.00E+00">
                  <c:v>7.1171643359165601E-6</c:v>
                </c:pt>
                <c:pt idx="118" formatCode="0.00E+00">
                  <c:v>1.04791391411594E-5</c:v>
                </c:pt>
                <c:pt idx="119" formatCode="0.00E+00">
                  <c:v>1.38216024240497E-5</c:v>
                </c:pt>
                <c:pt idx="120" formatCode="0.00E+00">
                  <c:v>1.7138876586430698E-5</c:v>
                </c:pt>
                <c:pt idx="121" formatCode="0.00E+00">
                  <c:v>2.0423937671243901E-5</c:v>
                </c:pt>
                <c:pt idx="122" formatCode="0.00E+00">
                  <c:v>2.3667170308159501E-5</c:v>
                </c:pt>
                <c:pt idx="123" formatCode="0.00E+00">
                  <c:v>2.6854456267338501E-5</c:v>
                </c:pt>
                <c:pt idx="124" formatCode="0.00E+00">
                  <c:v>2.99635815307563E-5</c:v>
                </c:pt>
                <c:pt idx="125" formatCode="0.00E+00">
                  <c:v>3.2956708778208001E-5</c:v>
                </c:pt>
                <c:pt idx="126" formatCode="0.00E+00">
                  <c:v>3.5763281107191997E-5</c:v>
                </c:pt>
                <c:pt idx="127" formatCode="0.00E+00">
                  <c:v>3.8243329853972098E-5</c:v>
                </c:pt>
                <c:pt idx="128" formatCode="0.00E+00">
                  <c:v>4.0224220142075799E-5</c:v>
                </c:pt>
                <c:pt idx="129" formatCode="0.00E+00">
                  <c:v>4.0383368845056998E-5</c:v>
                </c:pt>
                <c:pt idx="130" formatCode="0.00E+00">
                  <c:v>4.0902480194436002E-5</c:v>
                </c:pt>
                <c:pt idx="131" formatCode="0.00E+00">
                  <c:v>5.1864333730716202E-5</c:v>
                </c:pt>
                <c:pt idx="132" formatCode="0.00E+00">
                  <c:v>5.1864333730716202E-5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Implicit_Fracs!$C$5:$C$137</c:f>
              <c:numCache>
                <c:formatCode>General</c:formatCode>
                <c:ptCount val="133"/>
                <c:pt idx="0">
                  <c:v>0.13176814316740099</c:v>
                </c:pt>
                <c:pt idx="1">
                  <c:v>0.13186826813090199</c:v>
                </c:pt>
                <c:pt idx="2">
                  <c:v>0.13193476474701199</c:v>
                </c:pt>
                <c:pt idx="3">
                  <c:v>0.13198479709104599</c:v>
                </c:pt>
                <c:pt idx="4">
                  <c:v>0.13202502140737399</c:v>
                </c:pt>
                <c:pt idx="5">
                  <c:v>0.13205872802012</c:v>
                </c:pt>
                <c:pt idx="6">
                  <c:v>0.13208778730863199</c:v>
                </c:pt>
                <c:pt idx="7">
                  <c:v>0.13211336516595401</c:v>
                </c:pt>
                <c:pt idx="8">
                  <c:v>0.13213623777253899</c:v>
                </c:pt>
                <c:pt idx="9">
                  <c:v>0.13215694806964901</c:v>
                </c:pt>
                <c:pt idx="10">
                  <c:v>0.13217589080321199</c:v>
                </c:pt>
                <c:pt idx="11">
                  <c:v>0.132193362018386</c:v>
                </c:pt>
                <c:pt idx="12">
                  <c:v>0.13220958947116601</c:v>
                </c:pt>
                <c:pt idx="13">
                  <c:v>0.13222475215856899</c:v>
                </c:pt>
                <c:pt idx="14">
                  <c:v>0.13223899332967701</c:v>
                </c:pt>
                <c:pt idx="15">
                  <c:v>0.13225242942655999</c:v>
                </c:pt>
                <c:pt idx="16">
                  <c:v>0.13226515639358999</c:v>
                </c:pt>
                <c:pt idx="17">
                  <c:v>0.132277254233337</c:v>
                </c:pt>
                <c:pt idx="18">
                  <c:v>0.13228879036321101</c:v>
                </c:pt>
                <c:pt idx="19">
                  <c:v>0.132299822132879</c:v>
                </c:pt>
                <c:pt idx="20">
                  <c:v>0.13231039874234099</c:v>
                </c:pt>
                <c:pt idx="21">
                  <c:v>0.132320562724178</c:v>
                </c:pt>
                <c:pt idx="22">
                  <c:v>0.132330351103702</c:v>
                </c:pt>
                <c:pt idx="23">
                  <c:v>0.13233979631753401</c:v>
                </c:pt>
                <c:pt idx="24">
                  <c:v>0.13234892694859399</c:v>
                </c:pt>
                <c:pt idx="25">
                  <c:v>0.13235776832238</c:v>
                </c:pt>
                <c:pt idx="26">
                  <c:v>0.13236634299286601</c:v>
                </c:pt>
                <c:pt idx="27">
                  <c:v>0.13237467113954199</c:v>
                </c:pt>
                <c:pt idx="28">
                  <c:v>0.13238277089615499</c:v>
                </c:pt>
                <c:pt idx="29">
                  <c:v>0.132390658624819</c:v>
                </c:pt>
                <c:pt idx="30">
                  <c:v>0.132398349146053</c:v>
                </c:pt>
                <c:pt idx="31">
                  <c:v>0.13240585593302101</c:v>
                </c:pt>
                <c:pt idx="32">
                  <c:v>0.13241319127647799</c:v>
                </c:pt>
                <c:pt idx="33">
                  <c:v>0.13242036642560001</c:v>
                </c:pt>
                <c:pt idx="34">
                  <c:v>0.132427391708834</c:v>
                </c:pt>
                <c:pt idx="35">
                  <c:v>0.132434276638105</c:v>
                </c:pt>
                <c:pt idx="36">
                  <c:v>0.132441029999084</c:v>
                </c:pt>
                <c:pt idx="37">
                  <c:v>0.13244765992973101</c:v>
                </c:pt>
                <c:pt idx="38">
                  <c:v>0.13245417398892001</c:v>
                </c:pt>
                <c:pt idx="39">
                  <c:v>0.132460579216643</c:v>
                </c:pt>
                <c:pt idx="40">
                  <c:v>0.132466882187049</c:v>
                </c:pt>
                <c:pt idx="41">
                  <c:v>0.132473089055338</c:v>
                </c:pt>
                <c:pt idx="42">
                  <c:v>0.132479205599384</c:v>
                </c:pt>
                <c:pt idx="43">
                  <c:v>0.13248523725683301</c:v>
                </c:pt>
                <c:pt idx="44">
                  <c:v>0.13249118915828001</c:v>
                </c:pt>
                <c:pt idx="45">
                  <c:v>0.132497066157058</c:v>
                </c:pt>
                <c:pt idx="46">
                  <c:v>0.13250287285609899</c:v>
                </c:pt>
                <c:pt idx="47">
                  <c:v>0.13250861363223901</c:v>
                </c:pt>
                <c:pt idx="48">
                  <c:v>0.13251429265831799</c:v>
                </c:pt>
                <c:pt idx="49">
                  <c:v>0.132519913923346</c:v>
                </c:pt>
                <c:pt idx="50">
                  <c:v>0.13252548125101099</c:v>
                </c:pt>
                <c:pt idx="51">
                  <c:v>0.13253099831673101</c:v>
                </c:pt>
                <c:pt idx="52">
                  <c:v>0.132536468663457</c:v>
                </c:pt>
                <c:pt idx="53">
                  <c:v>0.13254189571640099</c:v>
                </c:pt>
                <c:pt idx="54">
                  <c:v>0.132547282796843</c:v>
                </c:pt>
                <c:pt idx="55">
                  <c:v>0.132552633135158</c:v>
                </c:pt>
                <c:pt idx="56">
                  <c:v>0.13255794988320099</c:v>
                </c:pt>
                <c:pt idx="57">
                  <c:v>0.13256323612616</c:v>
                </c:pt>
                <c:pt idx="58">
                  <c:v>0.132568494893996</c:v>
                </c:pt>
                <c:pt idx="59">
                  <c:v>0.132573729172584</c:v>
                </c:pt>
                <c:pt idx="60">
                  <c:v>0.13257894191464301</c:v>
                </c:pt>
                <c:pt idx="61">
                  <c:v>0.13258413605057701</c:v>
                </c:pt>
                <c:pt idx="62">
                  <c:v>0.13258931449931599</c:v>
                </c:pt>
                <c:pt idx="63">
                  <c:v>0.132594480179276</c:v>
                </c:pt>
                <c:pt idx="64">
                  <c:v>0.13259963601953101</c:v>
                </c:pt>
                <c:pt idx="65">
                  <c:v>0.13260478497133399</c:v>
                </c:pt>
                <c:pt idx="66">
                  <c:v>0.132609930020096</c:v>
                </c:pt>
                <c:pt idx="67">
                  <c:v>0.13261507419797</c:v>
                </c:pt>
                <c:pt idx="68">
                  <c:v>0.13262022059718601</c:v>
                </c:pt>
                <c:pt idx="69">
                  <c:v>0.13262537238431599</c:v>
                </c:pt>
                <c:pt idx="70">
                  <c:v>0.13263053281565201</c:v>
                </c:pt>
                <c:pt idx="71">
                  <c:v>0.13263570525393401</c:v>
                </c:pt>
                <c:pt idx="72">
                  <c:v>0.13264089318667299</c:v>
                </c:pt>
                <c:pt idx="73">
                  <c:v>0.13264610024638099</c:v>
                </c:pt>
                <c:pt idx="74">
                  <c:v>0.132651330233057</c:v>
                </c:pt>
                <c:pt idx="75">
                  <c:v>0.13265658713935299</c:v>
                </c:pt>
                <c:pt idx="76">
                  <c:v>0.132661875178925</c:v>
                </c:pt>
                <c:pt idx="77">
                  <c:v>0.132667198818578</c:v>
                </c:pt>
                <c:pt idx="78">
                  <c:v>0.13267256281493001</c:v>
                </c:pt>
                <c:pt idx="79">
                  <c:v>0.13267797225650099</c:v>
                </c:pt>
                <c:pt idx="80">
                  <c:v>0.13268343261232099</c:v>
                </c:pt>
                <c:pt idx="81">
                  <c:v>0.132688949788421</c:v>
                </c:pt>
                <c:pt idx="82">
                  <c:v>0.13269453019390001</c:v>
                </c:pt>
                <c:pt idx="83">
                  <c:v>0.132700180818698</c:v>
                </c:pt>
                <c:pt idx="84">
                  <c:v>0.13270590932577001</c:v>
                </c:pt>
                <c:pt idx="85">
                  <c:v>0.1327117241611</c:v>
                </c:pt>
                <c:pt idx="86">
                  <c:v>0.13271763468600001</c:v>
                </c:pt>
                <c:pt idx="87">
                  <c:v>0.13272365133744901</c:v>
                </c:pt>
                <c:pt idx="88">
                  <c:v>0.13272978582409101</c:v>
                </c:pt>
                <c:pt idx="89">
                  <c:v>0.132736051367976</c:v>
                </c:pt>
                <c:pt idx="90">
                  <c:v>0.13274246300567499</c:v>
                </c:pt>
                <c:pt idx="91">
                  <c:v>0.13274903796735801</c:v>
                </c:pt>
                <c:pt idx="92">
                  <c:v>0.13275579615959901</c:v>
                </c:pt>
                <c:pt idx="93">
                  <c:v>0.132762760788222</c:v>
                </c:pt>
                <c:pt idx="94">
                  <c:v>0.132769959173233</c:v>
                </c:pt>
                <c:pt idx="95">
                  <c:v>0.13277742383199001</c:v>
                </c:pt>
                <c:pt idx="96">
                  <c:v>0.1327851939445</c:v>
                </c:pt>
                <c:pt idx="97">
                  <c:v>0.132793317375444</c:v>
                </c:pt>
                <c:pt idx="98">
                  <c:v>0.13280185352829299</c:v>
                </c:pt>
                <c:pt idx="99">
                  <c:v>0.132810877479836</c:v>
                </c:pt>
                <c:pt idx="100">
                  <c:v>0.13282048615262401</c:v>
                </c:pt>
                <c:pt idx="101">
                  <c:v>0.132830807861128</c:v>
                </c:pt>
                <c:pt idx="102">
                  <c:v>0.13284201770953799</c:v>
                </c:pt>
                <c:pt idx="103">
                  <c:v>0.13285436372397999</c:v>
                </c:pt>
                <c:pt idx="104">
                  <c:v>0.13286821407563301</c:v>
                </c:pt>
                <c:pt idx="105">
                  <c:v>0.13288414946998101</c:v>
                </c:pt>
                <c:pt idx="106">
                  <c:v>0.13290316364780599</c:v>
                </c:pt>
                <c:pt idx="107">
                  <c:v>0.13292716444816299</c:v>
                </c:pt>
                <c:pt idx="108">
                  <c:v>0.13296050828176201</c:v>
                </c:pt>
                <c:pt idx="109">
                  <c:v>0.133016455978234</c:v>
                </c:pt>
                <c:pt idx="110">
                  <c:v>0.133164104046676</c:v>
                </c:pt>
                <c:pt idx="111">
                  <c:v>0.133431996568736</c:v>
                </c:pt>
                <c:pt idx="112">
                  <c:v>0.133700438474817</c:v>
                </c:pt>
                <c:pt idx="113">
                  <c:v>0.133970452116941</c:v>
                </c:pt>
                <c:pt idx="114">
                  <c:v>0.13424220517699001</c:v>
                </c:pt>
                <c:pt idx="115">
                  <c:v>0.22905350523007401</c:v>
                </c:pt>
                <c:pt idx="116">
                  <c:v>0.38328114622283099</c:v>
                </c:pt>
                <c:pt idx="117">
                  <c:v>0.38356152476168698</c:v>
                </c:pt>
                <c:pt idx="118">
                  <c:v>0.38379299379392201</c:v>
                </c:pt>
                <c:pt idx="119">
                  <c:v>0.38401822640655697</c:v>
                </c:pt>
                <c:pt idx="120">
                  <c:v>0.38424140815787</c:v>
                </c:pt>
                <c:pt idx="121">
                  <c:v>0.38446671085117801</c:v>
                </c:pt>
                <c:pt idx="122">
                  <c:v>0.38469880401552398</c:v>
                </c:pt>
                <c:pt idx="123">
                  <c:v>0.38494358472481499</c:v>
                </c:pt>
                <c:pt idx="124">
                  <c:v>0.385209474459207</c:v>
                </c:pt>
                <c:pt idx="125">
                  <c:v>0.385510194425701</c:v>
                </c:pt>
                <c:pt idx="126">
                  <c:v>0.38587195349777198</c:v>
                </c:pt>
                <c:pt idx="127">
                  <c:v>0.38635739088152099</c:v>
                </c:pt>
                <c:pt idx="128">
                  <c:v>0.387184549989666</c:v>
                </c:pt>
                <c:pt idx="129">
                  <c:v>0.38991903710217202</c:v>
                </c:pt>
                <c:pt idx="130">
                  <c:v>0.398962028776634</c:v>
                </c:pt>
                <c:pt idx="131">
                  <c:v>0.59896202877663396</c:v>
                </c:pt>
                <c:pt idx="132">
                  <c:v>0.59896202877663396</c:v>
                </c:pt>
              </c:numCache>
            </c:numRef>
          </c:xVal>
          <c:yVal>
            <c:numRef>
              <c:f>Implicit_Fracs!$BR$5:$BR$137</c:f>
              <c:numCache>
                <c:formatCode>0.00E+00</c:formatCode>
                <c:ptCount val="133"/>
                <c:pt idx="0">
                  <c:v>6.6480020545750106E-5</c:v>
                </c:pt>
                <c:pt idx="1">
                  <c:v>6.6318263967244097E-5</c:v>
                </c:pt>
                <c:pt idx="2">
                  <c:v>6.6159328543227401E-5</c:v>
                </c:pt>
                <c:pt idx="3">
                  <c:v>6.6001391913306001E-5</c:v>
                </c:pt>
                <c:pt idx="4">
                  <c:v>6.5843959860037996E-5</c:v>
                </c:pt>
                <c:pt idx="5">
                  <c:v>6.56868319509327E-5</c:v>
                </c:pt>
                <c:pt idx="6">
                  <c:v>6.5529908212479197E-5</c:v>
                </c:pt>
                <c:pt idx="7">
                  <c:v>6.5373131937511195E-5</c:v>
                </c:pt>
                <c:pt idx="8">
                  <c:v>6.5216467999964798E-5</c:v>
                </c:pt>
                <c:pt idx="9">
                  <c:v>6.5059893201495705E-5</c:v>
                </c:pt>
                <c:pt idx="10">
                  <c:v>6.4903391457270704E-5</c:v>
                </c:pt>
                <c:pt idx="11">
                  <c:v>6.4746951181898104E-5</c:v>
                </c:pt>
                <c:pt idx="12">
                  <c:v>6.4590563772741005E-5</c:v>
                </c:pt>
                <c:pt idx="13">
                  <c:v>6.44342226818642E-5</c:v>
                </c:pt>
                <c:pt idx="14">
                  <c:v>6.4277922822811407E-5</c:v>
                </c:pt>
                <c:pt idx="15">
                  <c:v>6.4121660177308699E-5</c:v>
                </c:pt>
                <c:pt idx="16">
                  <c:v>6.3965431526306403E-5</c:v>
                </c:pt>
                <c:pt idx="17">
                  <c:v>6.3809234261086493E-5</c:v>
                </c:pt>
                <c:pt idx="18">
                  <c:v>6.3653066247502E-5</c:v>
                </c:pt>
                <c:pt idx="19">
                  <c:v>6.3496925726408497E-5</c:v>
                </c:pt>
                <c:pt idx="20">
                  <c:v>6.3340811239329293E-5</c:v>
                </c:pt>
                <c:pt idx="21">
                  <c:v>6.3184721572076202E-5</c:v>
                </c:pt>
                <c:pt idx="22">
                  <c:v>6.3028655711386806E-5</c:v>
                </c:pt>
                <c:pt idx="23">
                  <c:v>6.2872612811152697E-5</c:v>
                </c:pt>
                <c:pt idx="24">
                  <c:v>6.2716592188258094E-5</c:v>
                </c:pt>
                <c:pt idx="25">
                  <c:v>6.2560593300790195E-5</c:v>
                </c:pt>
                <c:pt idx="26">
                  <c:v>6.2404615709966797E-5</c:v>
                </c:pt>
                <c:pt idx="27">
                  <c:v>6.2248659066686904E-5</c:v>
                </c:pt>
                <c:pt idx="28">
                  <c:v>6.2092723100616807E-5</c:v>
                </c:pt>
                <c:pt idx="29">
                  <c:v>6.1936807611287102E-5</c:v>
                </c:pt>
                <c:pt idx="30">
                  <c:v>6.1780912460803497E-5</c:v>
                </c:pt>
                <c:pt idx="31">
                  <c:v>6.1625037567870195E-5</c:v>
                </c:pt>
                <c:pt idx="32">
                  <c:v>6.1469182902882297E-5</c:v>
                </c:pt>
                <c:pt idx="33">
                  <c:v>6.1313348483904901E-5</c:v>
                </c:pt>
                <c:pt idx="34">
                  <c:v>6.1157534373390397E-5</c:v>
                </c:pt>
                <c:pt idx="35">
                  <c:v>6.1001740675520497E-5</c:v>
                </c:pt>
                <c:pt idx="36">
                  <c:v>6.0845967534077498E-5</c:v>
                </c:pt>
                <c:pt idx="37">
                  <c:v>6.06902151307721E-5</c:v>
                </c:pt>
                <c:pt idx="38">
                  <c:v>6.0534483683972201E-5</c:v>
                </c:pt>
                <c:pt idx="39">
                  <c:v>6.0378773447780401E-5</c:v>
                </c:pt>
                <c:pt idx="40">
                  <c:v>6.0223084711427999E-5</c:v>
                </c:pt>
                <c:pt idx="41">
                  <c:v>6.0067417798953202E-5</c:v>
                </c:pt>
                <c:pt idx="42">
                  <c:v>5.9911773069144401E-5</c:v>
                </c:pt>
                <c:pt idx="43">
                  <c:v>5.9756150915726498E-5</c:v>
                </c:pt>
                <c:pt idx="44">
                  <c:v>5.9600551767782701E-5</c:v>
                </c:pt>
                <c:pt idx="45">
                  <c:v>5.9444976090402897E-5</c:v>
                </c:pt>
                <c:pt idx="46">
                  <c:v>5.9289424385553102E-5</c:v>
                </c:pt>
                <c:pt idx="47">
                  <c:v>5.9133897193165902E-5</c:v>
                </c:pt>
                <c:pt idx="48">
                  <c:v>5.8978395092454301E-5</c:v>
                </c:pt>
                <c:pt idx="49">
                  <c:v>5.8822918703454701E-5</c:v>
                </c:pt>
                <c:pt idx="50">
                  <c:v>5.8667468688807802E-5</c:v>
                </c:pt>
                <c:pt idx="51">
                  <c:v>5.85120457557877E-5</c:v>
                </c:pt>
                <c:pt idx="52">
                  <c:v>5.83566506585939E-5</c:v>
                </c:pt>
                <c:pt idx="53">
                  <c:v>5.82012842009303E-5</c:v>
                </c:pt>
                <c:pt idx="54">
                  <c:v>5.8045947238880497E-5</c:v>
                </c:pt>
                <c:pt idx="55">
                  <c:v>5.7890640684117802E-5</c:v>
                </c:pt>
                <c:pt idx="56">
                  <c:v>5.7735365507474698E-5</c:v>
                </c:pt>
                <c:pt idx="57">
                  <c:v>5.7580122742903299E-5</c:v>
                </c:pt>
                <c:pt idx="58">
                  <c:v>5.7424913491874603E-5</c:v>
                </c:pt>
                <c:pt idx="59">
                  <c:v>5.7269738928255901E-5</c:v>
                </c:pt>
                <c:pt idx="60">
                  <c:v>5.7114600303728001E-5</c:v>
                </c:pt>
                <c:pt idx="61">
                  <c:v>5.6959498953796602E-5</c:v>
                </c:pt>
                <c:pt idx="62">
                  <c:v>5.6804436304477499E-5</c:v>
                </c:pt>
                <c:pt idx="63">
                  <c:v>5.6649413879729899E-5</c:v>
                </c:pt>
                <c:pt idx="64">
                  <c:v>5.6494433309746399E-5</c:v>
                </c:pt>
                <c:pt idx="65">
                  <c:v>5.6339496340198099E-5</c:v>
                </c:pt>
                <c:pt idx="66">
                  <c:v>5.6184604842576702E-5</c:v>
                </c:pt>
                <c:pt idx="67">
                  <c:v>5.6029760825778201E-5</c:v>
                </c:pt>
                <c:pt idx="68">
                  <c:v>5.5874966449107301E-5</c:v>
                </c:pt>
                <c:pt idx="69">
                  <c:v>5.5720224036916997E-5</c:v>
                </c:pt>
                <c:pt idx="70">
                  <c:v>5.55655360951181E-5</c:v>
                </c:pt>
                <c:pt idx="71">
                  <c:v>5.54109053298636E-5</c:v>
                </c:pt>
                <c:pt idx="72">
                  <c:v>5.52563346687387E-5</c:v>
                </c:pt>
                <c:pt idx="73">
                  <c:v>5.5101827284877802E-5</c:v>
                </c:pt>
                <c:pt idx="74">
                  <c:v>5.4947386624495298E-5</c:v>
                </c:pt>
                <c:pt idx="75">
                  <c:v>5.4793016438424402E-5</c:v>
                </c:pt>
                <c:pt idx="76">
                  <c:v>5.4638720818375401E-5</c:v>
                </c:pt>
                <c:pt idx="77">
                  <c:v>5.44845042387855E-5</c:v>
                </c:pt>
                <c:pt idx="78">
                  <c:v>5.4330371605314299E-5</c:v>
                </c:pt>
                <c:pt idx="79">
                  <c:v>5.41763283112906E-5</c:v>
                </c:pt>
                <c:pt idx="80">
                  <c:v>5.4022380303713297E-5</c:v>
                </c:pt>
                <c:pt idx="81">
                  <c:v>5.3868534160808698E-5</c:v>
                </c:pt>
                <c:pt idx="82">
                  <c:v>5.3714797183639197E-5</c:v>
                </c:pt>
                <c:pt idx="83">
                  <c:v>5.3561177504926303E-5</c:v>
                </c:pt>
                <c:pt idx="84">
                  <c:v>5.3407684219087298E-5</c:v>
                </c:pt>
                <c:pt idx="85">
                  <c:v>5.3254327538627902E-5</c:v>
                </c:pt>
                <c:pt idx="86">
                  <c:v>5.3101118983533203E-5</c:v>
                </c:pt>
                <c:pt idx="87">
                  <c:v>5.2948071612326497E-5</c:v>
                </c:pt>
                <c:pt idx="88">
                  <c:v>5.2795200306230497E-5</c:v>
                </c:pt>
                <c:pt idx="89">
                  <c:v>5.2642522121683299E-5</c:v>
                </c:pt>
                <c:pt idx="90">
                  <c:v>5.2490056731793397E-5</c:v>
                </c:pt>
                <c:pt idx="91">
                  <c:v>5.23378269848841E-5</c:v>
                </c:pt>
                <c:pt idx="92">
                  <c:v>5.2185859619169401E-5</c:v>
                </c:pt>
                <c:pt idx="93">
                  <c:v>5.2034186188560002E-5</c:v>
                </c:pt>
                <c:pt idx="94">
                  <c:v>5.1882844278416197E-5</c:v>
                </c:pt>
                <c:pt idx="95">
                  <c:v>5.1731879126313098E-5</c:v>
                </c:pt>
                <c:pt idx="96">
                  <c:v>5.1581345819348702E-5</c:v>
                </c:pt>
                <c:pt idx="97">
                  <c:v>5.1431312329651802E-5</c:v>
                </c:pt>
                <c:pt idx="98">
                  <c:v>5.128186379766E-5</c:v>
                </c:pt>
                <c:pt idx="99">
                  <c:v>5.1133108723046902E-5</c:v>
                </c:pt>
                <c:pt idx="100">
                  <c:v>5.09851881617461E-5</c:v>
                </c:pt>
                <c:pt idx="101">
                  <c:v>5.08382898263453E-5</c:v>
                </c:pt>
                <c:pt idx="102">
                  <c:v>5.0692670507193003E-5</c:v>
                </c:pt>
                <c:pt idx="103">
                  <c:v>5.05486932687037E-5</c:v>
                </c:pt>
                <c:pt idx="104">
                  <c:v>5.0406892274346502E-5</c:v>
                </c:pt>
                <c:pt idx="105">
                  <c:v>5.0268092312149299E-5</c:v>
                </c:pt>
                <c:pt idx="106">
                  <c:v>5.0133642852695402E-5</c:v>
                </c:pt>
                <c:pt idx="107">
                  <c:v>5.00058974306272E-5</c:v>
                </c:pt>
                <c:pt idx="108">
                  <c:v>4.9889110342226299E-5</c:v>
                </c:pt>
                <c:pt idx="109">
                  <c:v>4.9788742539844199E-5</c:v>
                </c:pt>
                <c:pt idx="110">
                  <c:v>4.9792413611711897E-5</c:v>
                </c:pt>
                <c:pt idx="111">
                  <c:v>4.9723508408696698E-5</c:v>
                </c:pt>
                <c:pt idx="112">
                  <c:v>4.9652777450652303E-5</c:v>
                </c:pt>
                <c:pt idx="113">
                  <c:v>4.9581633173370002E-5</c:v>
                </c:pt>
                <c:pt idx="114">
                  <c:v>4.95883324234813E-5</c:v>
                </c:pt>
                <c:pt idx="115">
                  <c:v>5.8995952079007097E-5</c:v>
                </c:pt>
                <c:pt idx="116">
                  <c:v>6.0781981850752198E-5</c:v>
                </c:pt>
                <c:pt idx="117">
                  <c:v>5.9676769189691903E-5</c:v>
                </c:pt>
                <c:pt idx="118">
                  <c:v>5.9154340774935197E-5</c:v>
                </c:pt>
                <c:pt idx="119">
                  <c:v>5.86370580533741E-5</c:v>
                </c:pt>
                <c:pt idx="120">
                  <c:v>5.81250151119918E-5</c:v>
                </c:pt>
                <c:pt idx="121">
                  <c:v>5.7618901610962501E-5</c:v>
                </c:pt>
                <c:pt idx="122">
                  <c:v>5.7119969474476297E-5</c:v>
                </c:pt>
                <c:pt idx="123">
                  <c:v>5.6630242237159298E-5</c:v>
                </c:pt>
                <c:pt idx="124">
                  <c:v>5.61530265136433E-5</c:v>
                </c:pt>
                <c:pt idx="125">
                  <c:v>5.56940403552283E-5</c:v>
                </c:pt>
                <c:pt idx="126">
                  <c:v>5.5264003379007697E-5</c:v>
                </c:pt>
                <c:pt idx="127">
                  <c:v>5.48841937417353E-5</c:v>
                </c:pt>
                <c:pt idx="128">
                  <c:v>5.45809571381193E-5</c:v>
                </c:pt>
                <c:pt idx="129">
                  <c:v>5.4596412819730599E-5</c:v>
                </c:pt>
                <c:pt idx="130">
                  <c:v>5.46475237757962E-5</c:v>
                </c:pt>
                <c:pt idx="131">
                  <c:v>5.5238961769557199E-5</c:v>
                </c:pt>
                <c:pt idx="132">
                  <c:v>5.5238961769557199E-5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Implicit_Fracs!$C$5:$C$137</c:f>
              <c:numCache>
                <c:formatCode>General</c:formatCode>
                <c:ptCount val="133"/>
                <c:pt idx="0">
                  <c:v>0.13176814316740099</c:v>
                </c:pt>
                <c:pt idx="1">
                  <c:v>0.13186826813090199</c:v>
                </c:pt>
                <c:pt idx="2">
                  <c:v>0.13193476474701199</c:v>
                </c:pt>
                <c:pt idx="3">
                  <c:v>0.13198479709104599</c:v>
                </c:pt>
                <c:pt idx="4">
                  <c:v>0.13202502140737399</c:v>
                </c:pt>
                <c:pt idx="5">
                  <c:v>0.13205872802012</c:v>
                </c:pt>
                <c:pt idx="6">
                  <c:v>0.13208778730863199</c:v>
                </c:pt>
                <c:pt idx="7">
                  <c:v>0.13211336516595401</c:v>
                </c:pt>
                <c:pt idx="8">
                  <c:v>0.13213623777253899</c:v>
                </c:pt>
                <c:pt idx="9">
                  <c:v>0.13215694806964901</c:v>
                </c:pt>
                <c:pt idx="10">
                  <c:v>0.13217589080321199</c:v>
                </c:pt>
                <c:pt idx="11">
                  <c:v>0.132193362018386</c:v>
                </c:pt>
                <c:pt idx="12">
                  <c:v>0.13220958947116601</c:v>
                </c:pt>
                <c:pt idx="13">
                  <c:v>0.13222475215856899</c:v>
                </c:pt>
                <c:pt idx="14">
                  <c:v>0.13223899332967701</c:v>
                </c:pt>
                <c:pt idx="15">
                  <c:v>0.13225242942655999</c:v>
                </c:pt>
                <c:pt idx="16">
                  <c:v>0.13226515639358999</c:v>
                </c:pt>
                <c:pt idx="17">
                  <c:v>0.132277254233337</c:v>
                </c:pt>
                <c:pt idx="18">
                  <c:v>0.13228879036321101</c:v>
                </c:pt>
                <c:pt idx="19">
                  <c:v>0.132299822132879</c:v>
                </c:pt>
                <c:pt idx="20">
                  <c:v>0.13231039874234099</c:v>
                </c:pt>
                <c:pt idx="21">
                  <c:v>0.132320562724178</c:v>
                </c:pt>
                <c:pt idx="22">
                  <c:v>0.132330351103702</c:v>
                </c:pt>
                <c:pt idx="23">
                  <c:v>0.13233979631753401</c:v>
                </c:pt>
                <c:pt idx="24">
                  <c:v>0.13234892694859399</c:v>
                </c:pt>
                <c:pt idx="25">
                  <c:v>0.13235776832238</c:v>
                </c:pt>
                <c:pt idx="26">
                  <c:v>0.13236634299286601</c:v>
                </c:pt>
                <c:pt idx="27">
                  <c:v>0.13237467113954199</c:v>
                </c:pt>
                <c:pt idx="28">
                  <c:v>0.13238277089615499</c:v>
                </c:pt>
                <c:pt idx="29">
                  <c:v>0.132390658624819</c:v>
                </c:pt>
                <c:pt idx="30">
                  <c:v>0.132398349146053</c:v>
                </c:pt>
                <c:pt idx="31">
                  <c:v>0.13240585593302101</c:v>
                </c:pt>
                <c:pt idx="32">
                  <c:v>0.13241319127647799</c:v>
                </c:pt>
                <c:pt idx="33">
                  <c:v>0.13242036642560001</c:v>
                </c:pt>
                <c:pt idx="34">
                  <c:v>0.132427391708834</c:v>
                </c:pt>
                <c:pt idx="35">
                  <c:v>0.132434276638105</c:v>
                </c:pt>
                <c:pt idx="36">
                  <c:v>0.132441029999084</c:v>
                </c:pt>
                <c:pt idx="37">
                  <c:v>0.13244765992973101</c:v>
                </c:pt>
                <c:pt idx="38">
                  <c:v>0.13245417398892001</c:v>
                </c:pt>
                <c:pt idx="39">
                  <c:v>0.132460579216643</c:v>
                </c:pt>
                <c:pt idx="40">
                  <c:v>0.132466882187049</c:v>
                </c:pt>
                <c:pt idx="41">
                  <c:v>0.132473089055338</c:v>
                </c:pt>
                <c:pt idx="42">
                  <c:v>0.132479205599384</c:v>
                </c:pt>
                <c:pt idx="43">
                  <c:v>0.13248523725683301</c:v>
                </c:pt>
                <c:pt idx="44">
                  <c:v>0.13249118915828001</c:v>
                </c:pt>
                <c:pt idx="45">
                  <c:v>0.132497066157058</c:v>
                </c:pt>
                <c:pt idx="46">
                  <c:v>0.13250287285609899</c:v>
                </c:pt>
                <c:pt idx="47">
                  <c:v>0.13250861363223901</c:v>
                </c:pt>
                <c:pt idx="48">
                  <c:v>0.13251429265831799</c:v>
                </c:pt>
                <c:pt idx="49">
                  <c:v>0.132519913923346</c:v>
                </c:pt>
                <c:pt idx="50">
                  <c:v>0.13252548125101099</c:v>
                </c:pt>
                <c:pt idx="51">
                  <c:v>0.13253099831673101</c:v>
                </c:pt>
                <c:pt idx="52">
                  <c:v>0.132536468663457</c:v>
                </c:pt>
                <c:pt idx="53">
                  <c:v>0.13254189571640099</c:v>
                </c:pt>
                <c:pt idx="54">
                  <c:v>0.132547282796843</c:v>
                </c:pt>
                <c:pt idx="55">
                  <c:v>0.132552633135158</c:v>
                </c:pt>
                <c:pt idx="56">
                  <c:v>0.13255794988320099</c:v>
                </c:pt>
                <c:pt idx="57">
                  <c:v>0.13256323612616</c:v>
                </c:pt>
                <c:pt idx="58">
                  <c:v>0.132568494893996</c:v>
                </c:pt>
                <c:pt idx="59">
                  <c:v>0.132573729172584</c:v>
                </c:pt>
                <c:pt idx="60">
                  <c:v>0.13257894191464301</c:v>
                </c:pt>
                <c:pt idx="61">
                  <c:v>0.13258413605057701</c:v>
                </c:pt>
                <c:pt idx="62">
                  <c:v>0.13258931449931599</c:v>
                </c:pt>
                <c:pt idx="63">
                  <c:v>0.132594480179276</c:v>
                </c:pt>
                <c:pt idx="64">
                  <c:v>0.13259963601953101</c:v>
                </c:pt>
                <c:pt idx="65">
                  <c:v>0.13260478497133399</c:v>
                </c:pt>
                <c:pt idx="66">
                  <c:v>0.132609930020096</c:v>
                </c:pt>
                <c:pt idx="67">
                  <c:v>0.13261507419797</c:v>
                </c:pt>
                <c:pt idx="68">
                  <c:v>0.13262022059718601</c:v>
                </c:pt>
                <c:pt idx="69">
                  <c:v>0.13262537238431599</c:v>
                </c:pt>
                <c:pt idx="70">
                  <c:v>0.13263053281565201</c:v>
                </c:pt>
                <c:pt idx="71">
                  <c:v>0.13263570525393401</c:v>
                </c:pt>
                <c:pt idx="72">
                  <c:v>0.13264089318667299</c:v>
                </c:pt>
                <c:pt idx="73">
                  <c:v>0.13264610024638099</c:v>
                </c:pt>
                <c:pt idx="74">
                  <c:v>0.132651330233057</c:v>
                </c:pt>
                <c:pt idx="75">
                  <c:v>0.13265658713935299</c:v>
                </c:pt>
                <c:pt idx="76">
                  <c:v>0.132661875178925</c:v>
                </c:pt>
                <c:pt idx="77">
                  <c:v>0.132667198818578</c:v>
                </c:pt>
                <c:pt idx="78">
                  <c:v>0.13267256281493001</c:v>
                </c:pt>
                <c:pt idx="79">
                  <c:v>0.13267797225650099</c:v>
                </c:pt>
                <c:pt idx="80">
                  <c:v>0.13268343261232099</c:v>
                </c:pt>
                <c:pt idx="81">
                  <c:v>0.132688949788421</c:v>
                </c:pt>
                <c:pt idx="82">
                  <c:v>0.13269453019390001</c:v>
                </c:pt>
                <c:pt idx="83">
                  <c:v>0.132700180818698</c:v>
                </c:pt>
                <c:pt idx="84">
                  <c:v>0.13270590932577001</c:v>
                </c:pt>
                <c:pt idx="85">
                  <c:v>0.1327117241611</c:v>
                </c:pt>
                <c:pt idx="86">
                  <c:v>0.13271763468600001</c:v>
                </c:pt>
                <c:pt idx="87">
                  <c:v>0.13272365133744901</c:v>
                </c:pt>
                <c:pt idx="88">
                  <c:v>0.13272978582409101</c:v>
                </c:pt>
                <c:pt idx="89">
                  <c:v>0.132736051367976</c:v>
                </c:pt>
                <c:pt idx="90">
                  <c:v>0.13274246300567499</c:v>
                </c:pt>
                <c:pt idx="91">
                  <c:v>0.13274903796735801</c:v>
                </c:pt>
                <c:pt idx="92">
                  <c:v>0.13275579615959901</c:v>
                </c:pt>
                <c:pt idx="93">
                  <c:v>0.132762760788222</c:v>
                </c:pt>
                <c:pt idx="94">
                  <c:v>0.132769959173233</c:v>
                </c:pt>
                <c:pt idx="95">
                  <c:v>0.13277742383199001</c:v>
                </c:pt>
                <c:pt idx="96">
                  <c:v>0.1327851939445</c:v>
                </c:pt>
                <c:pt idx="97">
                  <c:v>0.132793317375444</c:v>
                </c:pt>
                <c:pt idx="98">
                  <c:v>0.13280185352829299</c:v>
                </c:pt>
                <c:pt idx="99">
                  <c:v>0.132810877479836</c:v>
                </c:pt>
                <c:pt idx="100">
                  <c:v>0.13282048615262401</c:v>
                </c:pt>
                <c:pt idx="101">
                  <c:v>0.132830807861128</c:v>
                </c:pt>
                <c:pt idx="102">
                  <c:v>0.13284201770953799</c:v>
                </c:pt>
                <c:pt idx="103">
                  <c:v>0.13285436372397999</c:v>
                </c:pt>
                <c:pt idx="104">
                  <c:v>0.13286821407563301</c:v>
                </c:pt>
                <c:pt idx="105">
                  <c:v>0.13288414946998101</c:v>
                </c:pt>
                <c:pt idx="106">
                  <c:v>0.13290316364780599</c:v>
                </c:pt>
                <c:pt idx="107">
                  <c:v>0.13292716444816299</c:v>
                </c:pt>
                <c:pt idx="108">
                  <c:v>0.13296050828176201</c:v>
                </c:pt>
                <c:pt idx="109">
                  <c:v>0.133016455978234</c:v>
                </c:pt>
                <c:pt idx="110">
                  <c:v>0.133164104046676</c:v>
                </c:pt>
                <c:pt idx="111">
                  <c:v>0.133431996568736</c:v>
                </c:pt>
                <c:pt idx="112">
                  <c:v>0.133700438474817</c:v>
                </c:pt>
                <c:pt idx="113">
                  <c:v>0.133970452116941</c:v>
                </c:pt>
                <c:pt idx="114">
                  <c:v>0.13424220517699001</c:v>
                </c:pt>
                <c:pt idx="115">
                  <c:v>0.22905350523007401</c:v>
                </c:pt>
                <c:pt idx="116">
                  <c:v>0.38328114622283099</c:v>
                </c:pt>
                <c:pt idx="117">
                  <c:v>0.38356152476168698</c:v>
                </c:pt>
                <c:pt idx="118">
                  <c:v>0.38379299379392201</c:v>
                </c:pt>
                <c:pt idx="119">
                  <c:v>0.38401822640655697</c:v>
                </c:pt>
                <c:pt idx="120">
                  <c:v>0.38424140815787</c:v>
                </c:pt>
                <c:pt idx="121">
                  <c:v>0.38446671085117801</c:v>
                </c:pt>
                <c:pt idx="122">
                  <c:v>0.38469880401552398</c:v>
                </c:pt>
                <c:pt idx="123">
                  <c:v>0.38494358472481499</c:v>
                </c:pt>
                <c:pt idx="124">
                  <c:v>0.385209474459207</c:v>
                </c:pt>
                <c:pt idx="125">
                  <c:v>0.385510194425701</c:v>
                </c:pt>
                <c:pt idx="126">
                  <c:v>0.38587195349777198</c:v>
                </c:pt>
                <c:pt idx="127">
                  <c:v>0.38635739088152099</c:v>
                </c:pt>
                <c:pt idx="128">
                  <c:v>0.387184549989666</c:v>
                </c:pt>
                <c:pt idx="129">
                  <c:v>0.38991903710217202</c:v>
                </c:pt>
                <c:pt idx="130">
                  <c:v>0.398962028776634</c:v>
                </c:pt>
                <c:pt idx="131">
                  <c:v>0.59896202877663396</c:v>
                </c:pt>
                <c:pt idx="132">
                  <c:v>0.59896202877663396</c:v>
                </c:pt>
              </c:numCache>
            </c:numRef>
          </c:xVal>
          <c:yVal>
            <c:numRef>
              <c:f>Implicit_Fracs!$BS$5:$BS$137</c:f>
              <c:numCache>
                <c:formatCode>0.00E+00</c:formatCode>
                <c:ptCount val="133"/>
                <c:pt idx="0">
                  <c:v>1.82156151856191E-6</c:v>
                </c:pt>
                <c:pt idx="1">
                  <c:v>3.63393153927479E-6</c:v>
                </c:pt>
                <c:pt idx="2">
                  <c:v>5.4464099911477602E-6</c:v>
                </c:pt>
                <c:pt idx="3">
                  <c:v>7.25891835592085E-6</c:v>
                </c:pt>
                <c:pt idx="4">
                  <c:v>9.0714236805035903E-6</c:v>
                </c:pt>
                <c:pt idx="5">
                  <c:v>1.0883907378913499E-5</c:v>
                </c:pt>
                <c:pt idx="6">
                  <c:v>1.26963570127812E-5</c:v>
                </c:pt>
                <c:pt idx="7">
                  <c:v>1.4508763298468499E-5</c:v>
                </c:pt>
                <c:pt idx="8">
                  <c:v>1.6321118795926199E-5</c:v>
                </c:pt>
                <c:pt idx="9">
                  <c:v>1.8133417249671701E-5</c:v>
                </c:pt>
                <c:pt idx="10">
                  <c:v>1.9945653218015201E-5</c:v>
                </c:pt>
                <c:pt idx="11">
                  <c:v>2.1757821844227101E-5</c:v>
                </c:pt>
                <c:pt idx="12">
                  <c:v>2.3569918704582099E-5</c:v>
                </c:pt>
                <c:pt idx="13">
                  <c:v>2.5381939701637501E-5</c:v>
                </c:pt>
                <c:pt idx="14">
                  <c:v>2.7193880986101201E-5</c:v>
                </c:pt>
                <c:pt idx="15">
                  <c:v>2.9005738897719199E-5</c:v>
                </c:pt>
                <c:pt idx="16">
                  <c:v>3.0817509919422103E-5</c:v>
                </c:pt>
                <c:pt idx="17">
                  <c:v>3.2629190640978998E-5</c:v>
                </c:pt>
                <c:pt idx="18">
                  <c:v>3.4440777729628903E-5</c:v>
                </c:pt>
                <c:pt idx="19">
                  <c:v>3.6252267905937301E-5</c:v>
                </c:pt>
                <c:pt idx="20">
                  <c:v>3.8063657923612602E-5</c:v>
                </c:pt>
                <c:pt idx="21">
                  <c:v>3.9874944552349399E-5</c:v>
                </c:pt>
                <c:pt idx="22">
                  <c:v>4.1686124562994597E-5</c:v>
                </c:pt>
                <c:pt idx="23">
                  <c:v>4.3497194714530097E-5</c:v>
                </c:pt>
                <c:pt idx="24">
                  <c:v>4.5308151481742698E-5</c:v>
                </c:pt>
                <c:pt idx="25">
                  <c:v>4.7118991051458298E-5</c:v>
                </c:pt>
                <c:pt idx="26">
                  <c:v>4.8929709557640398E-5</c:v>
                </c:pt>
                <c:pt idx="27">
                  <c:v>5.0740303069335299E-5</c:v>
                </c:pt>
                <c:pt idx="28">
                  <c:v>5.2550767579257801E-5</c:v>
                </c:pt>
                <c:pt idx="29">
                  <c:v>5.4361098992820902E-5</c:v>
                </c:pt>
                <c:pt idx="30">
                  <c:v>5.6171293117475599E-5</c:v>
                </c:pt>
                <c:pt idx="31">
                  <c:v>5.79813456521664E-5</c:v>
                </c:pt>
                <c:pt idx="32">
                  <c:v>5.97912521768267E-5</c:v>
                </c:pt>
                <c:pt idx="33">
                  <c:v>6.1601008141789403E-5</c:v>
                </c:pt>
                <c:pt idx="34">
                  <c:v>6.3410608857013205E-5</c:v>
                </c:pt>
                <c:pt idx="35">
                  <c:v>6.5220049481029804E-5</c:v>
                </c:pt>
                <c:pt idx="36">
                  <c:v>6.7029325009529094E-5</c:v>
                </c:pt>
                <c:pt idx="37">
                  <c:v>6.8838430263517002E-5</c:v>
                </c:pt>
                <c:pt idx="38">
                  <c:v>7.0647359876914594E-5</c:v>
                </c:pt>
                <c:pt idx="39">
                  <c:v>7.2456108283567496E-5</c:v>
                </c:pt>
                <c:pt idx="40">
                  <c:v>7.4264669703538806E-5</c:v>
                </c:pt>
                <c:pt idx="41">
                  <c:v>7.6073038128618604E-5</c:v>
                </c:pt>
                <c:pt idx="42">
                  <c:v>7.7881207306924497E-5</c:v>
                </c:pt>
                <c:pt idx="43">
                  <c:v>7.9689170726533106E-5</c:v>
                </c:pt>
                <c:pt idx="44">
                  <c:v>8.1496921598002997E-5</c:v>
                </c:pt>
                <c:pt idx="45">
                  <c:v>8.3304452835652101E-5</c:v>
                </c:pt>
                <c:pt idx="46">
                  <c:v>8.5111757037498206E-5</c:v>
                </c:pt>
                <c:pt idx="47">
                  <c:v>8.6918826463694096E-5</c:v>
                </c:pt>
                <c:pt idx="48">
                  <c:v>8.8725653013302301E-5</c:v>
                </c:pt>
                <c:pt idx="49">
                  <c:v>9.0532228199234594E-5</c:v>
                </c:pt>
                <c:pt idx="50">
                  <c:v>9.2338543121156294E-5</c:v>
                </c:pt>
                <c:pt idx="51">
                  <c:v>9.41445884361489E-5</c:v>
                </c:pt>
                <c:pt idx="52">
                  <c:v>9.59503543268945E-5</c:v>
                </c:pt>
                <c:pt idx="53">
                  <c:v>9.77558304670363E-5</c:v>
                </c:pt>
                <c:pt idx="54">
                  <c:v>9.9561005983554802E-5</c:v>
                </c:pt>
                <c:pt idx="55" formatCode="General">
                  <c:v>1.01365869415667E-4</c:v>
                </c:pt>
                <c:pt idx="56" formatCode="General">
                  <c:v>1.0317040866991899E-4</c:v>
                </c:pt>
                <c:pt idx="57" formatCode="General">
                  <c:v>1.0497461097107601E-4</c:v>
                </c:pt>
                <c:pt idx="58" formatCode="General">
                  <c:v>1.06778462808213E-4</c:v>
                </c:pt>
                <c:pt idx="59" formatCode="General">
                  <c:v>1.08581949875533E-4</c:v>
                </c:pt>
                <c:pt idx="60" formatCode="General">
                  <c:v>1.10385057007169E-4</c:v>
                </c:pt>
                <c:pt idx="61" formatCode="General">
                  <c:v>1.12187768105314E-4</c:v>
                </c:pt>
                <c:pt idx="62" formatCode="General">
                  <c:v>1.1399006606074999E-4</c:v>
                </c:pt>
                <c:pt idx="63" formatCode="General">
                  <c:v>1.1579193266488E-4</c:v>
                </c:pt>
                <c:pt idx="64" formatCode="General">
                  <c:v>1.17593348512004E-4</c:v>
                </c:pt>
                <c:pt idx="65" formatCode="General">
                  <c:v>1.19394292890679E-4</c:v>
                </c:pt>
                <c:pt idx="66" formatCode="General">
                  <c:v>1.2119474366251E-4</c:v>
                </c:pt>
                <c:pt idx="67" formatCode="General">
                  <c:v>1.22994677126681E-4</c:v>
                </c:pt>
                <c:pt idx="68" formatCode="General">
                  <c:v>1.24794067868144E-4</c:v>
                </c:pt>
                <c:pt idx="69" formatCode="General">
                  <c:v>1.2659288858698101E-4</c:v>
                </c:pt>
                <c:pt idx="70" formatCode="General">
                  <c:v>1.2839110990618699E-4</c:v>
                </c:pt>
                <c:pt idx="71" formatCode="General">
                  <c:v>1.3018870015436401E-4</c:v>
                </c:pt>
                <c:pt idx="72" formatCode="General">
                  <c:v>1.3198562511946199E-4</c:v>
                </c:pt>
                <c:pt idx="73" formatCode="General">
                  <c:v>1.3378184776869899E-4</c:v>
                </c:pt>
                <c:pt idx="74" formatCode="General">
                  <c:v>1.35577327928986E-4</c:v>
                </c:pt>
                <c:pt idx="75" formatCode="General">
                  <c:v>1.37372021921007E-4</c:v>
                </c:pt>
                <c:pt idx="76" formatCode="General">
                  <c:v>1.3916588213865199E-4</c:v>
                </c:pt>
                <c:pt idx="77" formatCode="General">
                  <c:v>1.40958856563741E-4</c:v>
                </c:pt>
                <c:pt idx="78" formatCode="General">
                  <c:v>1.4275088820378201E-4</c:v>
                </c:pt>
                <c:pt idx="79" formatCode="General">
                  <c:v>1.4454191443764199E-4</c:v>
                </c:pt>
                <c:pt idx="80" formatCode="General">
                  <c:v>1.4633186625054201E-4</c:v>
                </c:pt>
                <c:pt idx="81" formatCode="General">
                  <c:v>1.48120667335163E-4</c:v>
                </c:pt>
                <c:pt idx="82" formatCode="General">
                  <c:v>1.4990823302992801E-4</c:v>
                </c:pt>
                <c:pt idx="83" formatCode="General">
                  <c:v>1.5169446905778999E-4</c:v>
                </c:pt>
                <c:pt idx="84" formatCode="General">
                  <c:v>1.5347927001915399E-4</c:v>
                </c:pt>
                <c:pt idx="85" formatCode="General">
                  <c:v>1.5526251757928599E-4</c:v>
                </c:pt>
                <c:pt idx="86" formatCode="General">
                  <c:v>1.5704407827319899E-4</c:v>
                </c:pt>
                <c:pt idx="87" formatCode="General">
                  <c:v>1.5882380082745401E-4</c:v>
                </c:pt>
                <c:pt idx="88" formatCode="General">
                  <c:v>1.6060151286626499E-4</c:v>
                </c:pt>
                <c:pt idx="89" formatCode="General">
                  <c:v>1.6237701682500001E-4</c:v>
                </c:pt>
                <c:pt idx="90" formatCode="General">
                  <c:v>1.64150084832312E-4</c:v>
                </c:pt>
                <c:pt idx="91" formatCode="General">
                  <c:v>1.6592045223435501E-4</c:v>
                </c:pt>
                <c:pt idx="92" formatCode="General">
                  <c:v>1.6768780930818801E-4</c:v>
                </c:pt>
                <c:pt idx="93" formatCode="General">
                  <c:v>1.69451790526307E-4</c:v>
                </c:pt>
                <c:pt idx="94" formatCode="General">
                  <c:v>1.7121196045789101E-4</c:v>
                </c:pt>
                <c:pt idx="95" formatCode="General">
                  <c:v>1.7296779497176599E-4</c:v>
                </c:pt>
                <c:pt idx="96" formatCode="General">
                  <c:v>1.7471865575082601E-4</c:v>
                </c:pt>
                <c:pt idx="97" formatCode="General">
                  <c:v>1.7646375508185001E-4</c:v>
                </c:pt>
                <c:pt idx="98" formatCode="General">
                  <c:v>1.78202106168167E-4</c:v>
                </c:pt>
                <c:pt idx="99" formatCode="General">
                  <c:v>1.7993245130789199E-4</c:v>
                </c:pt>
                <c:pt idx="100" formatCode="General">
                  <c:v>1.81653155190957E-4</c:v>
                </c:pt>
                <c:pt idx="101" formatCode="General">
                  <c:v>1.83362041298096E-4</c:v>
                </c:pt>
                <c:pt idx="102" formatCode="General">
                  <c:v>1.8505613174562901E-4</c:v>
                </c:pt>
                <c:pt idx="103" formatCode="General">
                  <c:v>1.8673121567848501E-4</c:v>
                </c:pt>
                <c:pt idx="104" formatCode="General">
                  <c:v>1.8838109707324999E-4</c:v>
                </c:pt>
                <c:pt idx="105" formatCode="General">
                  <c:v>1.8999620789671601E-4</c:v>
                </c:pt>
                <c:pt idx="106" formatCode="General">
                  <c:v>1.9156089280967199E-4</c:v>
                </c:pt>
                <c:pt idx="107" formatCode="General">
                  <c:v>1.9304785053005601E-4</c:v>
                </c:pt>
                <c:pt idx="108" formatCode="General">
                  <c:v>1.94407755965637E-4</c:v>
                </c:pt>
                <c:pt idx="109" formatCode="General">
                  <c:v>1.9557756067910899E-4</c:v>
                </c:pt>
                <c:pt idx="110" formatCode="General">
                  <c:v>1.9560518617906301E-4</c:v>
                </c:pt>
                <c:pt idx="111" formatCode="General">
                  <c:v>1.9650506167974999E-4</c:v>
                </c:pt>
                <c:pt idx="112" formatCode="General">
                  <c:v>1.9742564763437201E-4</c:v>
                </c:pt>
                <c:pt idx="113" formatCode="General">
                  <c:v>1.9835155893477201E-4</c:v>
                </c:pt>
                <c:pt idx="114" formatCode="General">
                  <c:v>1.9840301248665301E-4</c:v>
                </c:pt>
                <c:pt idx="115" formatCode="General">
                  <c:v>2.2007981766667201E-4</c:v>
                </c:pt>
                <c:pt idx="116" formatCode="General">
                  <c:v>2.5303136614576499E-4</c:v>
                </c:pt>
                <c:pt idx="117" formatCode="General">
                  <c:v>2.5685913362194003E-4</c:v>
                </c:pt>
                <c:pt idx="118" formatCode="General">
                  <c:v>2.60431584065444E-4</c:v>
                </c:pt>
                <c:pt idx="119" formatCode="General">
                  <c:v>2.6398070430690298E-4</c:v>
                </c:pt>
                <c:pt idx="120" formatCode="General">
                  <c:v>2.67500734816044E-4</c:v>
                </c:pt>
                <c:pt idx="121" formatCode="General">
                  <c:v>2.7098441044521503E-4</c:v>
                </c:pt>
                <c:pt idx="122" formatCode="General">
                  <c:v>2.74421658721155E-4</c:v>
                </c:pt>
                <c:pt idx="123" formatCode="General">
                  <c:v>2.7779758529352901E-4</c:v>
                </c:pt>
                <c:pt idx="124" formatCode="General">
                  <c:v>2.81088673874203E-4</c:v>
                </c:pt>
                <c:pt idx="125" formatCode="General">
                  <c:v>2.8425481742518202E-4</c:v>
                </c:pt>
                <c:pt idx="126" formatCode="General">
                  <c:v>2.8722121945375703E-4</c:v>
                </c:pt>
                <c:pt idx="127" formatCode="General">
                  <c:v>2.8983953468417201E-4</c:v>
                </c:pt>
                <c:pt idx="128" formatCode="General">
                  <c:v>2.9192596388975898E-4</c:v>
                </c:pt>
                <c:pt idx="129" formatCode="General">
                  <c:v>2.9207996369688298E-4</c:v>
                </c:pt>
                <c:pt idx="130" formatCode="General">
                  <c:v>2.9258527994024502E-4</c:v>
                </c:pt>
                <c:pt idx="131" formatCode="General">
                  <c:v>3.0449999348999802E-4</c:v>
                </c:pt>
                <c:pt idx="132" formatCode="General">
                  <c:v>3.0449999348999802E-4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1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a-DK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0.09182</cdr:x>
      <cdr:y>0.08544</cdr:y>
    </cdr:from>
    <cdr:to>
      <cdr:x>0.85977</cdr:x>
      <cdr:y>0.84798</cdr:y>
    </cdr:to>
    <cdr:sp macro="" textlink="">
      <cdr:nvSpPr>
        <cdr:cNvPr id="2" name="FracNo 38 StartRow 3">
          <a:extLst xmlns:a="http://schemas.openxmlformats.org/drawingml/2006/main">
            <a:ext uri="{FF2B5EF4-FFF2-40B4-BE49-F238E27FC236}">
              <a16:creationId xmlns:a16="http://schemas.microsoft.com/office/drawing/2014/main" id="{14747A4F-03F0-1BDB-1624-5DDB46D7B17E}"/>
            </a:ext>
          </a:extLst>
        </cdr:cNvPr>
        <cdr:cNvSpPr/>
      </cdr:nvSpPr>
      <cdr:spPr>
        <a:xfrm xmlns:a="http://schemas.openxmlformats.org/drawingml/2006/main">
          <a:off x="671676" y="651036"/>
          <a:ext cx="5617683" cy="5810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17683" h="5810605">
              <a:moveTo>
                <a:pt x="616571" y="5172859"/>
              </a:moveTo>
              <a:lnTo>
                <a:pt x="0" y="5810604"/>
              </a:lnTo>
              <a:lnTo>
                <a:pt x="0" y="5773101"/>
              </a:lnTo>
              <a:lnTo>
                <a:pt x="608916" y="5143274"/>
              </a:lnTo>
              <a:lnTo>
                <a:pt x="1442067" y="4281510"/>
              </a:lnTo>
              <a:lnTo>
                <a:pt x="2065146" y="3637034"/>
              </a:lnTo>
              <a:lnTo>
                <a:pt x="3516278" y="2136067"/>
              </a:lnTo>
              <a:lnTo>
                <a:pt x="4136633" y="1494407"/>
              </a:lnTo>
              <a:lnTo>
                <a:pt x="5581423" y="0"/>
              </a:lnTo>
              <a:lnTo>
                <a:pt x="5617682" y="0"/>
              </a:lnTo>
              <a:lnTo>
                <a:pt x="4160209" y="1507526"/>
              </a:lnTo>
              <a:lnTo>
                <a:pt x="3534406" y="2154819"/>
              </a:lnTo>
              <a:lnTo>
                <a:pt x="2083275" y="3655785"/>
              </a:lnTo>
              <a:lnTo>
                <a:pt x="1460196" y="43002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0.84324</cdr:x>
      <cdr:y>0.83158</cdr:y>
    </cdr:to>
    <cdr:sp macro="" textlink="">
      <cdr:nvSpPr>
        <cdr:cNvPr id="3" name="FracNo 745 StartRow 20">
          <a:extLst xmlns:a="http://schemas.openxmlformats.org/drawingml/2006/main">
            <a:ext uri="{FF2B5EF4-FFF2-40B4-BE49-F238E27FC236}">
              <a16:creationId xmlns:a16="http://schemas.microsoft.com/office/drawing/2014/main" id="{2E5C12CA-CD1F-F5A1-0759-0E0D7E309C40}"/>
            </a:ext>
          </a:extLst>
        </cdr:cNvPr>
        <cdr:cNvSpPr/>
      </cdr:nvSpPr>
      <cdr:spPr>
        <a:xfrm xmlns:a="http://schemas.openxmlformats.org/drawingml/2006/main">
          <a:off x="671676" y="651036"/>
          <a:ext cx="5496806" cy="56855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96806" h="5685578">
              <a:moveTo>
                <a:pt x="2805784" y="2783436"/>
              </a:moveTo>
              <a:lnTo>
                <a:pt x="2083275" y="3530758"/>
              </a:lnTo>
              <a:lnTo>
                <a:pt x="1336069" y="4303625"/>
              </a:lnTo>
              <a:lnTo>
                <a:pt x="0" y="5685577"/>
              </a:lnTo>
              <a:lnTo>
                <a:pt x="0" y="5648073"/>
              </a:lnTo>
              <a:lnTo>
                <a:pt x="1324442" y="4278147"/>
              </a:lnTo>
              <a:lnTo>
                <a:pt x="2065146" y="3512006"/>
              </a:lnTo>
              <a:lnTo>
                <a:pt x="2787655" y="2764685"/>
              </a:lnTo>
              <a:lnTo>
                <a:pt x="3395401" y="2136067"/>
              </a:lnTo>
              <a:lnTo>
                <a:pt x="4136105" y="1369926"/>
              </a:lnTo>
              <a:lnTo>
                <a:pt x="5460547" y="0"/>
              </a:lnTo>
              <a:lnTo>
                <a:pt x="5496805" y="0"/>
              </a:lnTo>
              <a:lnTo>
                <a:pt x="4160737" y="1381952"/>
              </a:lnTo>
              <a:lnTo>
                <a:pt x="3413530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0.83466</cdr:x>
      <cdr:y>0.82305</cdr:y>
    </cdr:to>
    <cdr:sp macro="" textlink="">
      <cdr:nvSpPr>
        <cdr:cNvPr id="4" name="FracNo 350 StartRow 37">
          <a:extLst xmlns:a="http://schemas.openxmlformats.org/drawingml/2006/main">
            <a:ext uri="{FF2B5EF4-FFF2-40B4-BE49-F238E27FC236}">
              <a16:creationId xmlns:a16="http://schemas.microsoft.com/office/drawing/2014/main" id="{618F15D8-8A84-D8B5-9EC0-88D6E6F89A08}"/>
            </a:ext>
          </a:extLst>
        </cdr:cNvPr>
        <cdr:cNvSpPr/>
      </cdr:nvSpPr>
      <cdr:spPr>
        <a:xfrm xmlns:a="http://schemas.openxmlformats.org/drawingml/2006/main">
          <a:off x="671676" y="651036"/>
          <a:ext cx="5434001" cy="56206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34001" h="5620616">
              <a:moveTo>
                <a:pt x="4141731" y="1336648"/>
              </a:moveTo>
              <a:lnTo>
                <a:pt x="3350725" y="2154819"/>
              </a:lnTo>
              <a:lnTo>
                <a:pt x="2083275" y="3465796"/>
              </a:lnTo>
              <a:lnTo>
                <a:pt x="1272989" y="4303909"/>
              </a:lnTo>
              <a:lnTo>
                <a:pt x="0" y="5620615"/>
              </a:lnTo>
              <a:lnTo>
                <a:pt x="0" y="5583111"/>
              </a:lnTo>
              <a:lnTo>
                <a:pt x="1261911" y="4277863"/>
              </a:lnTo>
              <a:lnTo>
                <a:pt x="2065146" y="3447044"/>
              </a:lnTo>
              <a:lnTo>
                <a:pt x="3332596" y="2136067"/>
              </a:lnTo>
              <a:lnTo>
                <a:pt x="4123382" y="1318124"/>
              </a:lnTo>
              <a:lnTo>
                <a:pt x="4139244" y="1301717"/>
              </a:lnTo>
              <a:lnTo>
                <a:pt x="5397742" y="0"/>
              </a:lnTo>
              <a:lnTo>
                <a:pt x="5434000" y="0"/>
              </a:lnTo>
              <a:lnTo>
                <a:pt x="4157597" y="13202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0.10627</cdr:x>
      <cdr:y>0.20136</cdr:y>
    </cdr:from>
    <cdr:to>
      <cdr:x>0.84266</cdr:x>
      <cdr:y>0.9301</cdr:y>
    </cdr:to>
    <cdr:sp macro="" textlink="">
      <cdr:nvSpPr>
        <cdr:cNvPr id="5" name="FracNo 36 StartRow 54">
          <a:extLst xmlns:a="http://schemas.openxmlformats.org/drawingml/2006/main">
            <a:ext uri="{FF2B5EF4-FFF2-40B4-BE49-F238E27FC236}">
              <a16:creationId xmlns:a16="http://schemas.microsoft.com/office/drawing/2014/main" id="{AB5013E9-D429-606F-BBA9-6765741C54BA}"/>
            </a:ext>
          </a:extLst>
        </cdr:cNvPr>
        <cdr:cNvSpPr/>
      </cdr:nvSpPr>
      <cdr:spPr>
        <a:xfrm xmlns:a="http://schemas.openxmlformats.org/drawingml/2006/main">
          <a:off x="777409" y="1534333"/>
          <a:ext cx="5386791" cy="5553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86791" h="5553033">
              <a:moveTo>
                <a:pt x="1191129" y="4358500"/>
              </a:moveTo>
              <a:lnTo>
                <a:pt x="36258" y="5553032"/>
              </a:lnTo>
              <a:lnTo>
                <a:pt x="0" y="5553032"/>
              </a:lnTo>
              <a:lnTo>
                <a:pt x="1165656" y="4347345"/>
              </a:lnTo>
              <a:lnTo>
                <a:pt x="1959413" y="3526329"/>
              </a:lnTo>
              <a:lnTo>
                <a:pt x="2083275" y="3398213"/>
              </a:lnTo>
              <a:lnTo>
                <a:pt x="4033623" y="1380886"/>
              </a:lnTo>
              <a:lnTo>
                <a:pt x="4157485" y="1252770"/>
              </a:lnTo>
              <a:lnTo>
                <a:pt x="5368661" y="0"/>
              </a:lnTo>
              <a:lnTo>
                <a:pt x="5386790" y="18752"/>
              </a:lnTo>
              <a:lnTo>
                <a:pt x="4175614" y="1271522"/>
              </a:lnTo>
              <a:lnTo>
                <a:pt x="4051752" y="1399637"/>
              </a:lnTo>
              <a:lnTo>
                <a:pt x="2101404" y="3416965"/>
              </a:lnTo>
              <a:lnTo>
                <a:pt x="1977542" y="35450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0.82518</cdr:x>
      <cdr:y>0.81364</cdr:y>
    </cdr:to>
    <cdr:sp macro="" textlink="">
      <cdr:nvSpPr>
        <cdr:cNvPr id="6" name="FracNo 114 StartRow 71">
          <a:extLst xmlns:a="http://schemas.openxmlformats.org/drawingml/2006/main">
            <a:ext uri="{FF2B5EF4-FFF2-40B4-BE49-F238E27FC236}">
              <a16:creationId xmlns:a16="http://schemas.microsoft.com/office/drawing/2014/main" id="{7BBC5094-43B1-F1B7-2CD4-8D27B29DC989}"/>
            </a:ext>
          </a:extLst>
        </cdr:cNvPr>
        <cdr:cNvSpPr/>
      </cdr:nvSpPr>
      <cdr:spPr>
        <a:xfrm xmlns:a="http://schemas.openxmlformats.org/drawingml/2006/main">
          <a:off x="671676" y="651036"/>
          <a:ext cx="5364693" cy="55489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64693" h="5548928">
              <a:moveTo>
                <a:pt x="3119411" y="2284886"/>
              </a:moveTo>
              <a:lnTo>
                <a:pt x="2065146" y="3375357"/>
              </a:lnTo>
              <a:lnTo>
                <a:pt x="1192907" y="4277550"/>
              </a:lnTo>
              <a:lnTo>
                <a:pt x="0" y="5511424"/>
              </a:lnTo>
              <a:lnTo>
                <a:pt x="0" y="5548927"/>
              </a:lnTo>
              <a:lnTo>
                <a:pt x="1203379" y="4304222"/>
              </a:lnTo>
              <a:lnTo>
                <a:pt x="2083275" y="3394108"/>
              </a:lnTo>
              <a:lnTo>
                <a:pt x="3137540" y="2303638"/>
              </a:lnTo>
              <a:lnTo>
                <a:pt x="3281418" y="2154819"/>
              </a:lnTo>
              <a:lnTo>
                <a:pt x="4161314" y="1244705"/>
              </a:lnTo>
              <a:lnTo>
                <a:pt x="5364692" y="0"/>
              </a:lnTo>
              <a:lnTo>
                <a:pt x="5328435" y="0"/>
              </a:lnTo>
              <a:lnTo>
                <a:pt x="4135527" y="1233873"/>
              </a:lnTo>
              <a:lnTo>
                <a:pt x="3263288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0.11883</cdr:x>
      <cdr:y>0.08544</cdr:y>
    </cdr:from>
    <cdr:to>
      <cdr:x>0.85094</cdr:x>
      <cdr:y>0.80993</cdr:y>
    </cdr:to>
    <cdr:sp macro="" textlink="">
      <cdr:nvSpPr>
        <cdr:cNvPr id="7" name="FracNo 432 StartRow 88">
          <a:extLst xmlns:a="http://schemas.openxmlformats.org/drawingml/2006/main">
            <a:ext uri="{FF2B5EF4-FFF2-40B4-BE49-F238E27FC236}">
              <a16:creationId xmlns:a16="http://schemas.microsoft.com/office/drawing/2014/main" id="{6544A012-0E17-7D15-6CE8-9F7F54147CD6}"/>
            </a:ext>
          </a:extLst>
        </cdr:cNvPr>
        <cdr:cNvSpPr/>
      </cdr:nvSpPr>
      <cdr:spPr>
        <a:xfrm xmlns:a="http://schemas.openxmlformats.org/drawingml/2006/main">
          <a:off x="869281" y="651036"/>
          <a:ext cx="5355480" cy="5520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55480" h="5520646">
              <a:moveTo>
                <a:pt x="4963585" y="367848"/>
              </a:moveTo>
              <a:lnTo>
                <a:pt x="3941751" y="1424774"/>
              </a:lnTo>
              <a:lnTo>
                <a:pt x="3254075" y="2136067"/>
              </a:lnTo>
              <a:lnTo>
                <a:pt x="1867541" y="3570218"/>
              </a:lnTo>
              <a:lnTo>
                <a:pt x="1179864" y="4281510"/>
              </a:lnTo>
              <a:lnTo>
                <a:pt x="0" y="5501893"/>
              </a:lnTo>
              <a:lnTo>
                <a:pt x="18130" y="5520645"/>
              </a:lnTo>
              <a:lnTo>
                <a:pt x="1197994" y="4300262"/>
              </a:lnTo>
              <a:lnTo>
                <a:pt x="1885670" y="3588970"/>
              </a:lnTo>
              <a:lnTo>
                <a:pt x="3272204" y="2154819"/>
              </a:lnTo>
              <a:lnTo>
                <a:pt x="3959880" y="1443526"/>
              </a:lnTo>
              <a:lnTo>
                <a:pt x="4995163" y="372689"/>
              </a:lnTo>
              <a:lnTo>
                <a:pt x="5355479" y="0"/>
              </a:lnTo>
              <a:lnTo>
                <a:pt x="53192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0.23263</cdr:x>
      <cdr:y>0.23174</cdr:y>
    </cdr:from>
    <cdr:to>
      <cdr:x>0.93841</cdr:x>
      <cdr:y>0.9301</cdr:y>
    </cdr:to>
    <cdr:sp macro="" textlink="">
      <cdr:nvSpPr>
        <cdr:cNvPr id="8" name="FracNo 508 StartRow 105">
          <a:extLst xmlns:a="http://schemas.openxmlformats.org/drawingml/2006/main">
            <a:ext uri="{FF2B5EF4-FFF2-40B4-BE49-F238E27FC236}">
              <a16:creationId xmlns:a16="http://schemas.microsoft.com/office/drawing/2014/main" id="{5E3B5E93-EBFD-780E-7115-6106D336144C}"/>
            </a:ext>
          </a:extLst>
        </cdr:cNvPr>
        <cdr:cNvSpPr/>
      </cdr:nvSpPr>
      <cdr:spPr>
        <a:xfrm xmlns:a="http://schemas.openxmlformats.org/drawingml/2006/main">
          <a:off x="1701707" y="1765847"/>
          <a:ext cx="5162964" cy="53215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62964" h="5321519">
              <a:moveTo>
                <a:pt x="1606260" y="3697599"/>
              </a:moveTo>
              <a:lnTo>
                <a:pt x="1056413" y="4266329"/>
              </a:lnTo>
              <a:lnTo>
                <a:pt x="36258" y="5321518"/>
              </a:lnTo>
              <a:lnTo>
                <a:pt x="0" y="5321518"/>
              </a:lnTo>
              <a:lnTo>
                <a:pt x="1031946" y="4254133"/>
              </a:lnTo>
              <a:lnTo>
                <a:pt x="1585127" y="3681954"/>
              </a:lnTo>
              <a:lnTo>
                <a:pt x="2083275" y="3166699"/>
              </a:lnTo>
              <a:lnTo>
                <a:pt x="3109325" y="2105412"/>
              </a:lnTo>
              <a:lnTo>
                <a:pt x="4157485" y="1021256"/>
              </a:lnTo>
              <a:lnTo>
                <a:pt x="5144834" y="0"/>
              </a:lnTo>
              <a:lnTo>
                <a:pt x="5162963" y="18752"/>
              </a:lnTo>
              <a:lnTo>
                <a:pt x="4175614" y="1040008"/>
              </a:lnTo>
              <a:lnTo>
                <a:pt x="3127454" y="2124164"/>
              </a:lnTo>
              <a:lnTo>
                <a:pt x="2101404" y="31854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0.24555</cdr:x>
      <cdr:y>0.1628</cdr:y>
    </cdr:from>
    <cdr:to>
      <cdr:x>0.94246</cdr:x>
      <cdr:y>0.85727</cdr:y>
    </cdr:to>
    <cdr:sp macro="" textlink="">
      <cdr:nvSpPr>
        <cdr:cNvPr id="9" name="FracNo 197 StartRow 122">
          <a:extLst xmlns:a="http://schemas.openxmlformats.org/drawingml/2006/main">
            <a:ext uri="{FF2B5EF4-FFF2-40B4-BE49-F238E27FC236}">
              <a16:creationId xmlns:a16="http://schemas.microsoft.com/office/drawing/2014/main" id="{35F58E43-C254-893F-15F0-E607354E8A39}"/>
            </a:ext>
          </a:extLst>
        </cdr:cNvPr>
        <cdr:cNvSpPr/>
      </cdr:nvSpPr>
      <cdr:spPr>
        <a:xfrm xmlns:a="http://schemas.openxmlformats.org/drawingml/2006/main">
          <a:off x="1796255" y="1240536"/>
          <a:ext cx="5098053" cy="5291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98053" h="5291883">
              <a:moveTo>
                <a:pt x="3365829" y="1829215"/>
              </a:moveTo>
              <a:lnTo>
                <a:pt x="3032906" y="2173571"/>
              </a:lnTo>
              <a:lnTo>
                <a:pt x="1546753" y="3710762"/>
              </a:lnTo>
              <a:lnTo>
                <a:pt x="958696" y="4319015"/>
              </a:lnTo>
              <a:lnTo>
                <a:pt x="18130" y="5291882"/>
              </a:lnTo>
              <a:lnTo>
                <a:pt x="0" y="5273130"/>
              </a:lnTo>
              <a:lnTo>
                <a:pt x="940567" y="4300263"/>
              </a:lnTo>
              <a:lnTo>
                <a:pt x="1528624" y="3692010"/>
              </a:lnTo>
              <a:lnTo>
                <a:pt x="3014777" y="2154820"/>
              </a:lnTo>
              <a:lnTo>
                <a:pt x="3349203" y="1808909"/>
              </a:lnTo>
              <a:lnTo>
                <a:pt x="3604160" y="1545197"/>
              </a:lnTo>
              <a:lnTo>
                <a:pt x="5098052" y="0"/>
              </a:lnTo>
              <a:lnTo>
                <a:pt x="5098052" y="37504"/>
              </a:lnTo>
              <a:lnTo>
                <a:pt x="3619639" y="15666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0.301</cdr:x>
      <cdr:y>0.29315</cdr:y>
    </cdr:from>
    <cdr:to>
      <cdr:x>0.94246</cdr:x>
      <cdr:y>0.9301</cdr:y>
    </cdr:to>
    <cdr:sp macro="" textlink="">
      <cdr:nvSpPr>
        <cdr:cNvPr id="10" name="FracNo 423 StartRow 139">
          <a:extLst xmlns:a="http://schemas.openxmlformats.org/drawingml/2006/main">
            <a:ext uri="{FF2B5EF4-FFF2-40B4-BE49-F238E27FC236}">
              <a16:creationId xmlns:a16="http://schemas.microsoft.com/office/drawing/2014/main" id="{E96CC4A5-0EFA-1C0E-E4B0-09CB438EDC66}"/>
            </a:ext>
          </a:extLst>
        </cdr:cNvPr>
        <cdr:cNvSpPr/>
      </cdr:nvSpPr>
      <cdr:spPr>
        <a:xfrm xmlns:a="http://schemas.openxmlformats.org/drawingml/2006/main">
          <a:off x="2201893" y="2233804"/>
          <a:ext cx="4692415" cy="4853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2415" h="4853562">
              <a:moveTo>
                <a:pt x="4328409" y="414010"/>
              </a:moveTo>
              <a:lnTo>
                <a:pt x="4175614" y="572051"/>
              </a:lnTo>
              <a:lnTo>
                <a:pt x="2627268" y="2173570"/>
              </a:lnTo>
              <a:lnTo>
                <a:pt x="2101404" y="2717494"/>
              </a:lnTo>
              <a:lnTo>
                <a:pt x="559824" y="4312015"/>
              </a:lnTo>
              <a:lnTo>
                <a:pt x="36258" y="4853561"/>
              </a:lnTo>
              <a:lnTo>
                <a:pt x="0" y="4853561"/>
              </a:lnTo>
              <a:lnTo>
                <a:pt x="528162" y="4307261"/>
              </a:lnTo>
              <a:lnTo>
                <a:pt x="2083275" y="2698742"/>
              </a:lnTo>
              <a:lnTo>
                <a:pt x="2609139" y="2154818"/>
              </a:lnTo>
              <a:lnTo>
                <a:pt x="4157485" y="553299"/>
              </a:lnTo>
              <a:lnTo>
                <a:pt x="4315639" y="389714"/>
              </a:lnTo>
              <a:lnTo>
                <a:pt x="4692414" y="0"/>
              </a:lnTo>
              <a:lnTo>
                <a:pt x="469241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0.31588</cdr:x>
      <cdr:y>0.30793</cdr:y>
    </cdr:from>
    <cdr:to>
      <cdr:x>0.94246</cdr:x>
      <cdr:y>0.9301</cdr:y>
    </cdr:to>
    <cdr:sp macro="" textlink="">
      <cdr:nvSpPr>
        <cdr:cNvPr id="11" name="FracNo 511 StartRow 156">
          <a:extLst xmlns:a="http://schemas.openxmlformats.org/drawingml/2006/main">
            <a:ext uri="{FF2B5EF4-FFF2-40B4-BE49-F238E27FC236}">
              <a16:creationId xmlns:a16="http://schemas.microsoft.com/office/drawing/2014/main" id="{0F9F971A-1BBA-3726-BB32-EB489A3070F2}"/>
            </a:ext>
          </a:extLst>
        </cdr:cNvPr>
        <cdr:cNvSpPr/>
      </cdr:nvSpPr>
      <cdr:spPr>
        <a:xfrm xmlns:a="http://schemas.openxmlformats.org/drawingml/2006/main">
          <a:off x="2310752" y="2346401"/>
          <a:ext cx="4583556" cy="4740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3556" h="4740965">
              <a:moveTo>
                <a:pt x="910766" y="3798920"/>
              </a:moveTo>
              <a:lnTo>
                <a:pt x="421181" y="4305319"/>
              </a:lnTo>
              <a:lnTo>
                <a:pt x="0" y="4740964"/>
              </a:lnTo>
              <a:lnTo>
                <a:pt x="36258" y="4740964"/>
              </a:lnTo>
              <a:lnTo>
                <a:pt x="449088" y="4313958"/>
              </a:lnTo>
              <a:lnTo>
                <a:pt x="935792" y="3810538"/>
              </a:lnTo>
              <a:lnTo>
                <a:pt x="2101404" y="2604897"/>
              </a:lnTo>
              <a:lnTo>
                <a:pt x="2518409" y="2173571"/>
              </a:lnTo>
              <a:lnTo>
                <a:pt x="4168372" y="466945"/>
              </a:lnTo>
              <a:lnTo>
                <a:pt x="4583555" y="37503"/>
              </a:lnTo>
              <a:lnTo>
                <a:pt x="4583555" y="0"/>
              </a:lnTo>
              <a:lnTo>
                <a:pt x="4164727" y="433211"/>
              </a:lnTo>
              <a:lnTo>
                <a:pt x="2500280" y="2154819"/>
              </a:lnTo>
              <a:lnTo>
                <a:pt x="2083275" y="25861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0.3216</cdr:x>
      <cdr:y>0.09126</cdr:y>
    </cdr:from>
    <cdr:to>
      <cdr:x>0.94246</cdr:x>
      <cdr:y>0.71022</cdr:y>
    </cdr:to>
    <cdr:sp macro="" textlink="">
      <cdr:nvSpPr>
        <cdr:cNvPr id="12" name="FracNo 104 StartRow 173">
          <a:extLst xmlns:a="http://schemas.openxmlformats.org/drawingml/2006/main">
            <a:ext uri="{FF2B5EF4-FFF2-40B4-BE49-F238E27FC236}">
              <a16:creationId xmlns:a16="http://schemas.microsoft.com/office/drawing/2014/main" id="{B5EEDAEA-9FE5-C432-282A-D17B7A409BD8}"/>
            </a:ext>
          </a:extLst>
        </cdr:cNvPr>
        <cdr:cNvSpPr/>
      </cdr:nvSpPr>
      <cdr:spPr>
        <a:xfrm xmlns:a="http://schemas.openxmlformats.org/drawingml/2006/main">
          <a:off x="2352566" y="695390"/>
          <a:ext cx="4541742" cy="4716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41742" h="4716466">
              <a:moveTo>
                <a:pt x="1197862" y="3496218"/>
              </a:moveTo>
              <a:lnTo>
                <a:pt x="463395" y="4255908"/>
              </a:lnTo>
              <a:lnTo>
                <a:pt x="402385" y="4319014"/>
              </a:lnTo>
              <a:lnTo>
                <a:pt x="18129" y="4716465"/>
              </a:lnTo>
              <a:lnTo>
                <a:pt x="0" y="4697714"/>
              </a:lnTo>
              <a:lnTo>
                <a:pt x="384256" y="4300262"/>
              </a:lnTo>
              <a:lnTo>
                <a:pt x="445266" y="4237156"/>
              </a:lnTo>
              <a:lnTo>
                <a:pt x="1179733" y="3477467"/>
              </a:lnTo>
              <a:lnTo>
                <a:pt x="2458466" y="2154819"/>
              </a:lnTo>
              <a:lnTo>
                <a:pt x="2519743" y="2091437"/>
              </a:lnTo>
              <a:lnTo>
                <a:pt x="4541741" y="0"/>
              </a:lnTo>
              <a:lnTo>
                <a:pt x="4541741" y="37503"/>
              </a:lnTo>
              <a:lnTo>
                <a:pt x="2537339" y="2110741"/>
              </a:lnTo>
              <a:lnTo>
                <a:pt x="2476595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0.34795</cdr:x>
      <cdr:y>0.33977</cdr:y>
    </cdr:from>
    <cdr:to>
      <cdr:x>0.94246</cdr:x>
      <cdr:y>0.9301</cdr:y>
    </cdr:to>
    <cdr:sp macro="" textlink="">
      <cdr:nvSpPr>
        <cdr:cNvPr id="13" name="FracNo 506 StartRow 190">
          <a:extLst xmlns:a="http://schemas.openxmlformats.org/drawingml/2006/main">
            <a:ext uri="{FF2B5EF4-FFF2-40B4-BE49-F238E27FC236}">
              <a16:creationId xmlns:a16="http://schemas.microsoft.com/office/drawing/2014/main" id="{29774A43-ECC5-33EF-0662-CD10D5D9032B}"/>
            </a:ext>
          </a:extLst>
        </cdr:cNvPr>
        <cdr:cNvSpPr/>
      </cdr:nvSpPr>
      <cdr:spPr>
        <a:xfrm xmlns:a="http://schemas.openxmlformats.org/drawingml/2006/main">
          <a:off x="2545352" y="2589058"/>
          <a:ext cx="4348956" cy="4498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48956" h="4498308">
              <a:moveTo>
                <a:pt x="1424220" y="3062681"/>
              </a:moveTo>
              <a:lnTo>
                <a:pt x="217478" y="4310864"/>
              </a:lnTo>
              <a:lnTo>
                <a:pt x="36258" y="4498307"/>
              </a:lnTo>
              <a:lnTo>
                <a:pt x="0" y="4498307"/>
              </a:lnTo>
              <a:lnTo>
                <a:pt x="183591" y="4308411"/>
              </a:lnTo>
              <a:lnTo>
                <a:pt x="1400426" y="3049787"/>
              </a:lnTo>
              <a:lnTo>
                <a:pt x="2083275" y="2343488"/>
              </a:lnTo>
              <a:lnTo>
                <a:pt x="2265680" y="2154819"/>
              </a:lnTo>
              <a:lnTo>
                <a:pt x="4165752" y="189494"/>
              </a:lnTo>
              <a:lnTo>
                <a:pt x="4348955" y="0"/>
              </a:lnTo>
              <a:lnTo>
                <a:pt x="4348955" y="37504"/>
              </a:lnTo>
              <a:lnTo>
                <a:pt x="4167348" y="225348"/>
              </a:lnTo>
              <a:lnTo>
                <a:pt x="2283809" y="2173571"/>
              </a:lnTo>
              <a:lnTo>
                <a:pt x="2101404" y="23622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0.23839</cdr:x>
      <cdr:y>0.34696</cdr:y>
    </cdr:from>
    <cdr:to>
      <cdr:x>0.82813</cdr:x>
      <cdr:y>0.9301</cdr:y>
    </cdr:to>
    <cdr:sp macro="" textlink="">
      <cdr:nvSpPr>
        <cdr:cNvPr id="14" name="FracNo 721 StartRow 207">
          <a:extLst xmlns:a="http://schemas.openxmlformats.org/drawingml/2006/main">
            <a:ext uri="{FF2B5EF4-FFF2-40B4-BE49-F238E27FC236}">
              <a16:creationId xmlns:a16="http://schemas.microsoft.com/office/drawing/2014/main" id="{08100703-7149-860A-0FCE-7AF2DBECA864}"/>
            </a:ext>
          </a:extLst>
        </cdr:cNvPr>
        <cdr:cNvSpPr/>
      </cdr:nvSpPr>
      <cdr:spPr>
        <a:xfrm xmlns:a="http://schemas.openxmlformats.org/drawingml/2006/main">
          <a:off x="1743848" y="2643838"/>
          <a:ext cx="4314124" cy="4443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4124" h="4443528">
              <a:moveTo>
                <a:pt x="4050721" y="291200"/>
              </a:moveTo>
              <a:lnTo>
                <a:pt x="3085313" y="1289762"/>
              </a:lnTo>
              <a:lnTo>
                <a:pt x="2101405" y="2307460"/>
              </a:lnTo>
              <a:lnTo>
                <a:pt x="1015868" y="3430277"/>
              </a:lnTo>
              <a:lnTo>
                <a:pt x="36259" y="4443527"/>
              </a:lnTo>
              <a:lnTo>
                <a:pt x="0" y="4443527"/>
              </a:lnTo>
              <a:lnTo>
                <a:pt x="988209" y="3421381"/>
              </a:lnTo>
              <a:lnTo>
                <a:pt x="2083275" y="2288708"/>
              </a:lnTo>
              <a:lnTo>
                <a:pt x="3067184" y="1271010"/>
              </a:lnTo>
              <a:lnTo>
                <a:pt x="4032592" y="272449"/>
              </a:lnTo>
              <a:lnTo>
                <a:pt x="4157486" y="143265"/>
              </a:lnTo>
              <a:lnTo>
                <a:pt x="4295995" y="0"/>
              </a:lnTo>
              <a:lnTo>
                <a:pt x="4314123" y="18752"/>
              </a:lnTo>
              <a:lnTo>
                <a:pt x="4175615" y="1620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0.36032</cdr:x>
      <cdr:y>0.35205</cdr:y>
    </cdr:from>
    <cdr:to>
      <cdr:x>0.94246</cdr:x>
      <cdr:y>0.9301</cdr:y>
    </cdr:to>
    <cdr:sp macro="" textlink="">
      <cdr:nvSpPr>
        <cdr:cNvPr id="15" name="FracNo 517 StartRow 224">
          <a:extLst xmlns:a="http://schemas.openxmlformats.org/drawingml/2006/main">
            <a:ext uri="{FF2B5EF4-FFF2-40B4-BE49-F238E27FC236}">
              <a16:creationId xmlns:a16="http://schemas.microsoft.com/office/drawing/2014/main" id="{7787BEE9-69ED-3149-0463-75B286290B5D}"/>
            </a:ext>
          </a:extLst>
        </cdr:cNvPr>
        <cdr:cNvSpPr/>
      </cdr:nvSpPr>
      <cdr:spPr>
        <a:xfrm xmlns:a="http://schemas.openxmlformats.org/drawingml/2006/main">
          <a:off x="2635822" y="2682635"/>
          <a:ext cx="4258486" cy="4404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8486" h="4404731">
              <a:moveTo>
                <a:pt x="832317" y="3543830"/>
              </a:moveTo>
              <a:lnTo>
                <a:pt x="92941" y="4308597"/>
              </a:lnTo>
              <a:lnTo>
                <a:pt x="0" y="4404730"/>
              </a:lnTo>
              <a:lnTo>
                <a:pt x="36259" y="4404730"/>
              </a:lnTo>
              <a:lnTo>
                <a:pt x="127188" y="4310678"/>
              </a:lnTo>
              <a:lnTo>
                <a:pt x="860577" y="3552103"/>
              </a:lnTo>
              <a:lnTo>
                <a:pt x="2101405" y="2268663"/>
              </a:lnTo>
              <a:lnTo>
                <a:pt x="2193339" y="2173571"/>
              </a:lnTo>
              <a:lnTo>
                <a:pt x="4166952" y="132180"/>
              </a:lnTo>
              <a:lnTo>
                <a:pt x="4258485" y="37504"/>
              </a:lnTo>
              <a:lnTo>
                <a:pt x="4258485" y="0"/>
              </a:lnTo>
              <a:lnTo>
                <a:pt x="4166149" y="95508"/>
              </a:lnTo>
              <a:lnTo>
                <a:pt x="2175210" y="2154819"/>
              </a:lnTo>
              <a:lnTo>
                <a:pt x="2083275" y="22499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0.29921</cdr:x>
      <cdr:y>0.08544</cdr:y>
    </cdr:from>
    <cdr:to>
      <cdr:x>0.87505</cdr:x>
      <cdr:y>0.65476</cdr:y>
    </cdr:to>
    <cdr:sp macro="" textlink="">
      <cdr:nvSpPr>
        <cdr:cNvPr id="16" name="FracNo 351 StartRow 241">
          <a:extLst xmlns:a="http://schemas.openxmlformats.org/drawingml/2006/main">
            <a:ext uri="{FF2B5EF4-FFF2-40B4-BE49-F238E27FC236}">
              <a16:creationId xmlns:a16="http://schemas.microsoft.com/office/drawing/2014/main" id="{FA310B07-C204-0E7E-40AF-39B5A4B99CC5}"/>
            </a:ext>
          </a:extLst>
        </cdr:cNvPr>
        <cdr:cNvSpPr/>
      </cdr:nvSpPr>
      <cdr:spPr>
        <a:xfrm xmlns:a="http://schemas.openxmlformats.org/drawingml/2006/main">
          <a:off x="2188786" y="651036"/>
          <a:ext cx="4212348" cy="43382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2348" h="4338257">
              <a:moveTo>
                <a:pt x="2260771" y="2018598"/>
              </a:moveTo>
              <a:lnTo>
                <a:pt x="2129073" y="2154819"/>
              </a:lnTo>
              <a:lnTo>
                <a:pt x="566165" y="3771400"/>
              </a:lnTo>
              <a:lnTo>
                <a:pt x="54862" y="4300262"/>
              </a:lnTo>
              <a:lnTo>
                <a:pt x="18130" y="4338256"/>
              </a:lnTo>
              <a:lnTo>
                <a:pt x="0" y="4319504"/>
              </a:lnTo>
              <a:lnTo>
                <a:pt x="36733" y="4281510"/>
              </a:lnTo>
              <a:lnTo>
                <a:pt x="548036" y="3752648"/>
              </a:lnTo>
              <a:lnTo>
                <a:pt x="2110943" y="2136067"/>
              </a:lnTo>
              <a:lnTo>
                <a:pt x="2241731" y="2000788"/>
              </a:lnTo>
              <a:lnTo>
                <a:pt x="2620473" y="1609039"/>
              </a:lnTo>
              <a:lnTo>
                <a:pt x="4176089" y="0"/>
              </a:lnTo>
              <a:lnTo>
                <a:pt x="4212347" y="0"/>
              </a:lnTo>
              <a:lnTo>
                <a:pt x="2642149" y="16241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0.6471</cdr:x>
      <cdr:y>0.63681</cdr:y>
    </cdr:to>
    <cdr:sp macro="" textlink="">
      <cdr:nvSpPr>
        <cdr:cNvPr id="17" name="FracNo 347 StartRow 258">
          <a:extLst xmlns:a="http://schemas.openxmlformats.org/drawingml/2006/main">
            <a:ext uri="{FF2B5EF4-FFF2-40B4-BE49-F238E27FC236}">
              <a16:creationId xmlns:a16="http://schemas.microsoft.com/office/drawing/2014/main" id="{65BE0011-8A4F-325C-1CD0-BD51D532C87E}"/>
            </a:ext>
          </a:extLst>
        </cdr:cNvPr>
        <cdr:cNvSpPr/>
      </cdr:nvSpPr>
      <cdr:spPr>
        <a:xfrm xmlns:a="http://schemas.openxmlformats.org/drawingml/2006/main">
          <a:off x="671676" y="651036"/>
          <a:ext cx="4061981" cy="4201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1981" h="4201478">
              <a:moveTo>
                <a:pt x="3731635" y="304186"/>
              </a:moveTo>
              <a:lnTo>
                <a:pt x="2065146" y="2027906"/>
              </a:lnTo>
              <a:lnTo>
                <a:pt x="1961033" y="2135594"/>
              </a:lnTo>
              <a:lnTo>
                <a:pt x="0" y="4163973"/>
              </a:lnTo>
              <a:lnTo>
                <a:pt x="0" y="4201477"/>
              </a:lnTo>
              <a:lnTo>
                <a:pt x="1978248" y="2155292"/>
              </a:lnTo>
              <a:lnTo>
                <a:pt x="2083275" y="2046658"/>
              </a:lnTo>
              <a:lnTo>
                <a:pt x="3765174" y="306998"/>
              </a:lnTo>
              <a:lnTo>
                <a:pt x="4061980" y="0"/>
              </a:lnTo>
              <a:lnTo>
                <a:pt x="40257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0.40002</cdr:x>
      <cdr:y>0.39147</cdr:y>
    </cdr:from>
    <cdr:to>
      <cdr:x>0.94246</cdr:x>
      <cdr:y>0.9301</cdr:y>
    </cdr:to>
    <cdr:sp macro="" textlink="">
      <cdr:nvSpPr>
        <cdr:cNvPr id="18" name="FracNo 744 StartRow 271">
          <a:extLst xmlns:a="http://schemas.openxmlformats.org/drawingml/2006/main">
            <a:ext uri="{FF2B5EF4-FFF2-40B4-BE49-F238E27FC236}">
              <a16:creationId xmlns:a16="http://schemas.microsoft.com/office/drawing/2014/main" id="{0E170688-16D6-E863-D119-E3C588CD8144}"/>
            </a:ext>
          </a:extLst>
        </cdr:cNvPr>
        <cdr:cNvSpPr/>
      </cdr:nvSpPr>
      <cdr:spPr>
        <a:xfrm xmlns:a="http://schemas.openxmlformats.org/drawingml/2006/main">
          <a:off x="2926240" y="2983026"/>
          <a:ext cx="3968068" cy="4104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68068" h="4104340">
              <a:moveTo>
                <a:pt x="604004" y="3479593"/>
              </a:moveTo>
              <a:lnTo>
                <a:pt x="0" y="4104339"/>
              </a:lnTo>
              <a:lnTo>
                <a:pt x="36258" y="4104339"/>
              </a:lnTo>
              <a:lnTo>
                <a:pt x="634452" y="3485602"/>
              </a:lnTo>
              <a:lnTo>
                <a:pt x="1902921" y="2173571"/>
              </a:lnTo>
              <a:lnTo>
                <a:pt x="2100537" y="1969169"/>
              </a:lnTo>
              <a:lnTo>
                <a:pt x="3968067" y="37504"/>
              </a:lnTo>
              <a:lnTo>
                <a:pt x="3968067" y="0"/>
              </a:lnTo>
              <a:lnTo>
                <a:pt x="2084142" y="1948623"/>
              </a:lnTo>
              <a:lnTo>
                <a:pt x="1884792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0.11407</cdr:x>
      <cdr:y>0.08544</cdr:y>
    </cdr:from>
    <cdr:to>
      <cdr:x>0.65616</cdr:x>
      <cdr:y>0.62125</cdr:y>
    </cdr:to>
    <cdr:sp macro="" textlink="">
      <cdr:nvSpPr>
        <cdr:cNvPr id="19" name="FracNo 346 StartRow 284">
          <a:extLst xmlns:a="http://schemas.openxmlformats.org/drawingml/2006/main">
            <a:ext uri="{FF2B5EF4-FFF2-40B4-BE49-F238E27FC236}">
              <a16:creationId xmlns:a16="http://schemas.microsoft.com/office/drawing/2014/main" id="{F8E3BC71-3EDD-3086-A7BD-D167C94E06BE}"/>
            </a:ext>
          </a:extLst>
        </cdr:cNvPr>
        <cdr:cNvSpPr/>
      </cdr:nvSpPr>
      <cdr:spPr>
        <a:xfrm xmlns:a="http://schemas.openxmlformats.org/drawingml/2006/main">
          <a:off x="834481" y="651036"/>
          <a:ext cx="3965466" cy="4082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65466" h="4082896">
              <a:moveTo>
                <a:pt x="2694949" y="1276645"/>
              </a:moveTo>
              <a:lnTo>
                <a:pt x="1902341" y="2096473"/>
              </a:lnTo>
              <a:lnTo>
                <a:pt x="1864061" y="2136067"/>
              </a:lnTo>
              <a:lnTo>
                <a:pt x="0" y="4064143"/>
              </a:lnTo>
              <a:lnTo>
                <a:pt x="18130" y="4082895"/>
              </a:lnTo>
              <a:lnTo>
                <a:pt x="1882190" y="2154819"/>
              </a:lnTo>
              <a:lnTo>
                <a:pt x="1920470" y="2115224"/>
              </a:lnTo>
              <a:lnTo>
                <a:pt x="2720168" y="1288064"/>
              </a:lnTo>
              <a:lnTo>
                <a:pt x="3965465" y="0"/>
              </a:lnTo>
              <a:lnTo>
                <a:pt x="39292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0.40875</cdr:x>
      <cdr:y>0.40014</cdr:y>
    </cdr:from>
    <cdr:to>
      <cdr:x>0.94246</cdr:x>
      <cdr:y>0.9301</cdr:y>
    </cdr:to>
    <cdr:sp macro="" textlink="">
      <cdr:nvSpPr>
        <cdr:cNvPr id="20" name="FracNo 481 StartRow 297">
          <a:extLst xmlns:a="http://schemas.openxmlformats.org/drawingml/2006/main">
            <a:ext uri="{FF2B5EF4-FFF2-40B4-BE49-F238E27FC236}">
              <a16:creationId xmlns:a16="http://schemas.microsoft.com/office/drawing/2014/main" id="{6A4EFB4B-EB45-667D-2813-93C95D0CD1BB}"/>
            </a:ext>
          </a:extLst>
        </cdr:cNvPr>
        <cdr:cNvSpPr/>
      </cdr:nvSpPr>
      <cdr:spPr>
        <a:xfrm xmlns:a="http://schemas.openxmlformats.org/drawingml/2006/main">
          <a:off x="2990112" y="3049091"/>
          <a:ext cx="3904196" cy="4038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4196" h="4038275">
              <a:moveTo>
                <a:pt x="316438" y="3710968"/>
              </a:moveTo>
              <a:lnTo>
                <a:pt x="0" y="4038274"/>
              </a:lnTo>
              <a:lnTo>
                <a:pt x="0" y="4038274"/>
              </a:lnTo>
              <a:lnTo>
                <a:pt x="316438" y="3710968"/>
              </a:lnTo>
              <a:lnTo>
                <a:pt x="1829985" y="2145443"/>
              </a:lnTo>
              <a:lnTo>
                <a:pt x="2074210" y="1892831"/>
              </a:lnTo>
              <a:lnTo>
                <a:pt x="3904195" y="0"/>
              </a:lnTo>
              <a:lnTo>
                <a:pt x="3904195" y="0"/>
              </a:lnTo>
              <a:lnTo>
                <a:pt x="2074210" y="1892831"/>
              </a:lnTo>
              <a:lnTo>
                <a:pt x="1829985" y="21454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0.273</cdr:x>
      <cdr:y>0.40119</cdr:y>
    </cdr:from>
    <cdr:to>
      <cdr:x>0.80813</cdr:x>
      <cdr:y>0.9301</cdr:y>
    </cdr:to>
    <cdr:sp macro="" textlink="">
      <cdr:nvSpPr>
        <cdr:cNvPr id="21" name="FracNo 39 StartRow 310">
          <a:extLst xmlns:a="http://schemas.openxmlformats.org/drawingml/2006/main">
            <a:ext uri="{FF2B5EF4-FFF2-40B4-BE49-F238E27FC236}">
              <a16:creationId xmlns:a16="http://schemas.microsoft.com/office/drawing/2014/main" id="{C7C09DAC-3276-05B4-18C1-1CD33AE033CA}"/>
            </a:ext>
          </a:extLst>
        </cdr:cNvPr>
        <cdr:cNvSpPr/>
      </cdr:nvSpPr>
      <cdr:spPr>
        <a:xfrm xmlns:a="http://schemas.openxmlformats.org/drawingml/2006/main">
          <a:off x="1997043" y="3057093"/>
          <a:ext cx="3914590" cy="4030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14590" h="4030273">
              <a:moveTo>
                <a:pt x="85256" y="3979591"/>
              </a:moveTo>
              <a:lnTo>
                <a:pt x="36259" y="4030272"/>
              </a:lnTo>
              <a:lnTo>
                <a:pt x="0" y="4030272"/>
              </a:lnTo>
              <a:lnTo>
                <a:pt x="50229" y="3978319"/>
              </a:lnTo>
              <a:lnTo>
                <a:pt x="739779" y="3265088"/>
              </a:lnTo>
              <a:lnTo>
                <a:pt x="2083275" y="1875453"/>
              </a:lnTo>
              <a:lnTo>
                <a:pt x="2813989" y="1119645"/>
              </a:lnTo>
              <a:lnTo>
                <a:pt x="3896460" y="0"/>
              </a:lnTo>
              <a:lnTo>
                <a:pt x="3914589" y="18752"/>
              </a:lnTo>
              <a:lnTo>
                <a:pt x="2832118" y="1138397"/>
              </a:lnTo>
              <a:lnTo>
                <a:pt x="2101405" y="1894205"/>
              </a:lnTo>
              <a:lnTo>
                <a:pt x="757908" y="32838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0.12118</cdr:x>
      <cdr:y>0.40488</cdr:y>
    </cdr:from>
    <cdr:to>
      <cdr:x>0.6526</cdr:x>
      <cdr:y>0.9301</cdr:y>
    </cdr:to>
    <cdr:sp macro="" textlink="">
      <cdr:nvSpPr>
        <cdr:cNvPr id="22" name="FracNo 108 StartRow 325">
          <a:extLst xmlns:a="http://schemas.openxmlformats.org/drawingml/2006/main">
            <a:ext uri="{FF2B5EF4-FFF2-40B4-BE49-F238E27FC236}">
              <a16:creationId xmlns:a16="http://schemas.microsoft.com/office/drawing/2014/main" id="{BDC5C9F6-96F2-8102-A24C-0895C04756FA}"/>
            </a:ext>
          </a:extLst>
        </cdr:cNvPr>
        <cdr:cNvSpPr/>
      </cdr:nvSpPr>
      <cdr:spPr>
        <a:xfrm xmlns:a="http://schemas.openxmlformats.org/drawingml/2006/main">
          <a:off x="886482" y="3085196"/>
          <a:ext cx="3887421" cy="4002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7421" h="4002170">
              <a:moveTo>
                <a:pt x="3493948" y="425735"/>
              </a:moveTo>
              <a:lnTo>
                <a:pt x="2101405" y="1866102"/>
              </a:lnTo>
              <a:lnTo>
                <a:pt x="1869487" y="2105984"/>
              </a:lnTo>
              <a:lnTo>
                <a:pt x="36259" y="4002169"/>
              </a:lnTo>
              <a:lnTo>
                <a:pt x="0" y="4002169"/>
              </a:lnTo>
              <a:lnTo>
                <a:pt x="1849322" y="2089338"/>
              </a:lnTo>
              <a:lnTo>
                <a:pt x="2083275" y="1847350"/>
              </a:lnTo>
              <a:lnTo>
                <a:pt x="3475819" y="406984"/>
              </a:lnTo>
              <a:lnTo>
                <a:pt x="3869291" y="0"/>
              </a:lnTo>
              <a:lnTo>
                <a:pt x="38874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0.21015</cdr:x>
      <cdr:y>0.08544</cdr:y>
    </cdr:from>
    <cdr:to>
      <cdr:x>0.74125</cdr:x>
      <cdr:y>0.61034</cdr:y>
    </cdr:to>
    <cdr:sp macro="" textlink="">
      <cdr:nvSpPr>
        <cdr:cNvPr id="23" name="FracNo 345 StartRow 338">
          <a:extLst xmlns:a="http://schemas.openxmlformats.org/drawingml/2006/main">
            <a:ext uri="{FF2B5EF4-FFF2-40B4-BE49-F238E27FC236}">
              <a16:creationId xmlns:a16="http://schemas.microsoft.com/office/drawing/2014/main" id="{AC3E593B-59C4-6F78-5293-EDDB939A5118}"/>
            </a:ext>
          </a:extLst>
        </cdr:cNvPr>
        <cdr:cNvSpPr/>
      </cdr:nvSpPr>
      <cdr:spPr>
        <a:xfrm xmlns:a="http://schemas.openxmlformats.org/drawingml/2006/main">
          <a:off x="1537301" y="651036"/>
          <a:ext cx="3885100" cy="3999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5100" h="3999770">
              <a:moveTo>
                <a:pt x="2248531" y="1692771"/>
              </a:moveTo>
              <a:lnTo>
                <a:pt x="1801824" y="2154819"/>
              </a:lnTo>
              <a:lnTo>
                <a:pt x="1217650" y="2759055"/>
              </a:lnTo>
              <a:lnTo>
                <a:pt x="18130" y="3999769"/>
              </a:lnTo>
              <a:lnTo>
                <a:pt x="0" y="3981017"/>
              </a:lnTo>
              <a:lnTo>
                <a:pt x="1199521" y="2740303"/>
              </a:lnTo>
              <a:lnTo>
                <a:pt x="1783695" y="2136067"/>
              </a:lnTo>
              <a:lnTo>
                <a:pt x="2226929" y="1677611"/>
              </a:lnTo>
              <a:lnTo>
                <a:pt x="3267917" y="600874"/>
              </a:lnTo>
              <a:lnTo>
                <a:pt x="3848841" y="0"/>
              </a:lnTo>
              <a:lnTo>
                <a:pt x="3885099" y="0"/>
              </a:lnTo>
              <a:lnTo>
                <a:pt x="3297675" y="6075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0.12724</cdr:x>
      <cdr:y>0.40789</cdr:y>
    </cdr:from>
    <cdr:to>
      <cdr:x>0.65315</cdr:x>
      <cdr:y>0.9301</cdr:y>
    </cdr:to>
    <cdr:sp macro="" textlink="">
      <cdr:nvSpPr>
        <cdr:cNvPr id="24" name="FracNo 87 StartRow 353">
          <a:extLst xmlns:a="http://schemas.openxmlformats.org/drawingml/2006/main">
            <a:ext uri="{FF2B5EF4-FFF2-40B4-BE49-F238E27FC236}">
              <a16:creationId xmlns:a16="http://schemas.microsoft.com/office/drawing/2014/main" id="{085CFA3D-6D9F-7FD0-3E3A-B2D9863AC1F0}"/>
            </a:ext>
          </a:extLst>
        </cdr:cNvPr>
        <cdr:cNvSpPr/>
      </cdr:nvSpPr>
      <cdr:spPr>
        <a:xfrm xmlns:a="http://schemas.openxmlformats.org/drawingml/2006/main">
          <a:off x="930752" y="3108090"/>
          <a:ext cx="3847156" cy="3979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7156" h="3979276">
              <a:moveTo>
                <a:pt x="2685785" y="1201254"/>
              </a:moveTo>
              <a:lnTo>
                <a:pt x="2074210" y="1833832"/>
              </a:lnTo>
              <a:lnTo>
                <a:pt x="1815134" y="2101805"/>
              </a:lnTo>
              <a:lnTo>
                <a:pt x="0" y="3979275"/>
              </a:lnTo>
              <a:lnTo>
                <a:pt x="0" y="3979275"/>
              </a:lnTo>
              <a:lnTo>
                <a:pt x="1815134" y="2101805"/>
              </a:lnTo>
              <a:lnTo>
                <a:pt x="2074210" y="1833832"/>
              </a:lnTo>
              <a:lnTo>
                <a:pt x="2685785" y="1201254"/>
              </a:lnTo>
              <a:lnTo>
                <a:pt x="3847155" y="0"/>
              </a:lnTo>
              <a:lnTo>
                <a:pt x="38471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0.23266</cdr:x>
      <cdr:y>0.24029</cdr:y>
    </cdr:from>
    <cdr:to>
      <cdr:x>0.74508</cdr:x>
      <cdr:y>0.7491</cdr:y>
    </cdr:to>
    <cdr:sp macro="" textlink="">
      <cdr:nvSpPr>
        <cdr:cNvPr id="25" name="FracNo 425 StartRow 366">
          <a:extLst xmlns:a="http://schemas.openxmlformats.org/drawingml/2006/main">
            <a:ext uri="{FF2B5EF4-FFF2-40B4-BE49-F238E27FC236}">
              <a16:creationId xmlns:a16="http://schemas.microsoft.com/office/drawing/2014/main" id="{B41B7C4E-ABDB-0B55-59BC-D3A2894DFF76}"/>
            </a:ext>
          </a:extLst>
        </cdr:cNvPr>
        <cdr:cNvSpPr/>
      </cdr:nvSpPr>
      <cdr:spPr>
        <a:xfrm xmlns:a="http://schemas.openxmlformats.org/drawingml/2006/main">
          <a:off x="1701965" y="1830981"/>
          <a:ext cx="3748453" cy="3877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48453" h="3877182">
              <a:moveTo>
                <a:pt x="3538716" y="235690"/>
              </a:moveTo>
              <a:lnTo>
                <a:pt x="3127196" y="661343"/>
              </a:lnTo>
              <a:lnTo>
                <a:pt x="2824075" y="974874"/>
              </a:lnTo>
              <a:lnTo>
                <a:pt x="1052986" y="2806786"/>
              </a:lnTo>
              <a:lnTo>
                <a:pt x="749865" y="3120317"/>
              </a:lnTo>
              <a:lnTo>
                <a:pt x="18130" y="3877181"/>
              </a:lnTo>
              <a:lnTo>
                <a:pt x="0" y="3858429"/>
              </a:lnTo>
              <a:lnTo>
                <a:pt x="731735" y="3101565"/>
              </a:lnTo>
              <a:lnTo>
                <a:pt x="1034857" y="2788034"/>
              </a:lnTo>
              <a:lnTo>
                <a:pt x="2805946" y="956122"/>
              </a:lnTo>
              <a:lnTo>
                <a:pt x="3109067" y="642591"/>
              </a:lnTo>
              <a:lnTo>
                <a:pt x="3520587" y="216939"/>
              </a:lnTo>
              <a:lnTo>
                <a:pt x="3730323" y="0"/>
              </a:lnTo>
              <a:lnTo>
                <a:pt x="37484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0.44075</cdr:x>
      <cdr:y>0.27979</cdr:y>
    </cdr:from>
    <cdr:to>
      <cdr:x>0.94246</cdr:x>
      <cdr:y>0.78043</cdr:y>
    </cdr:to>
    <cdr:sp macro="" textlink="">
      <cdr:nvSpPr>
        <cdr:cNvPr id="26" name="FracNo 516 StartRow 383">
          <a:extLst xmlns:a="http://schemas.openxmlformats.org/drawingml/2006/main">
            <a:ext uri="{FF2B5EF4-FFF2-40B4-BE49-F238E27FC236}">
              <a16:creationId xmlns:a16="http://schemas.microsoft.com/office/drawing/2014/main" id="{434D7065-7C68-2F5E-94D2-9D666B6A0C30}"/>
            </a:ext>
          </a:extLst>
        </cdr:cNvPr>
        <cdr:cNvSpPr/>
      </cdr:nvSpPr>
      <cdr:spPr>
        <a:xfrm xmlns:a="http://schemas.openxmlformats.org/drawingml/2006/main">
          <a:off x="3224208" y="2131999"/>
          <a:ext cx="3670100" cy="3814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0100" h="3814890">
              <a:moveTo>
                <a:pt x="787358" y="2981740"/>
              </a:moveTo>
              <a:lnTo>
                <a:pt x="0" y="3796137"/>
              </a:lnTo>
              <a:lnTo>
                <a:pt x="18130" y="3814889"/>
              </a:lnTo>
              <a:lnTo>
                <a:pt x="805488" y="3000492"/>
              </a:lnTo>
              <a:lnTo>
                <a:pt x="980665" y="2819299"/>
              </a:lnTo>
              <a:lnTo>
                <a:pt x="1604953" y="2173571"/>
              </a:lnTo>
              <a:lnTo>
                <a:pt x="3048539" y="680410"/>
              </a:lnTo>
              <a:lnTo>
                <a:pt x="3670099" y="37504"/>
              </a:lnTo>
              <a:lnTo>
                <a:pt x="3670099" y="0"/>
              </a:lnTo>
              <a:lnTo>
                <a:pt x="3043082" y="648550"/>
              </a:lnTo>
              <a:lnTo>
                <a:pt x="1586824" y="2154819"/>
              </a:lnTo>
              <a:lnTo>
                <a:pt x="962535" y="28005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0.45221</cdr:x>
      <cdr:y>0.44329</cdr:y>
    </cdr:from>
    <cdr:to>
      <cdr:x>0.94246</cdr:x>
      <cdr:y>0.9301</cdr:y>
    </cdr:to>
    <cdr:sp macro="" textlink="">
      <cdr:nvSpPr>
        <cdr:cNvPr id="27" name="FracNo 505 StartRow 398">
          <a:extLst xmlns:a="http://schemas.openxmlformats.org/drawingml/2006/main">
            <a:ext uri="{FF2B5EF4-FFF2-40B4-BE49-F238E27FC236}">
              <a16:creationId xmlns:a16="http://schemas.microsoft.com/office/drawing/2014/main" id="{1FAD8D5D-04C4-4CC4-7F7B-D9A179939DA5}"/>
            </a:ext>
          </a:extLst>
        </cdr:cNvPr>
        <cdr:cNvSpPr/>
      </cdr:nvSpPr>
      <cdr:spPr>
        <a:xfrm xmlns:a="http://schemas.openxmlformats.org/drawingml/2006/main">
          <a:off x="3307985" y="3377881"/>
          <a:ext cx="3586323" cy="37094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6323" h="3709485">
              <a:moveTo>
                <a:pt x="485401" y="3244918"/>
              </a:moveTo>
              <a:lnTo>
                <a:pt x="36259" y="3709484"/>
              </a:lnTo>
              <a:lnTo>
                <a:pt x="0" y="3709484"/>
              </a:lnTo>
              <a:lnTo>
                <a:pt x="454626" y="3239246"/>
              </a:lnTo>
              <a:lnTo>
                <a:pt x="1503047" y="2154819"/>
              </a:lnTo>
              <a:lnTo>
                <a:pt x="2085811" y="1552043"/>
              </a:lnTo>
              <a:lnTo>
                <a:pt x="3586322" y="0"/>
              </a:lnTo>
              <a:lnTo>
                <a:pt x="3586322" y="37504"/>
              </a:lnTo>
              <a:lnTo>
                <a:pt x="2098869" y="1576040"/>
              </a:lnTo>
              <a:lnTo>
                <a:pt x="1521176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0.30547</cdr:y>
    </cdr:from>
    <cdr:to>
      <cdr:x>0.57382</cdr:x>
      <cdr:y>0.78654</cdr:y>
    </cdr:to>
    <cdr:sp macro="" textlink="">
      <cdr:nvSpPr>
        <cdr:cNvPr id="28" name="FracNo 672 StartRow 411">
          <a:extLst xmlns:a="http://schemas.openxmlformats.org/drawingml/2006/main">
            <a:ext uri="{FF2B5EF4-FFF2-40B4-BE49-F238E27FC236}">
              <a16:creationId xmlns:a16="http://schemas.microsoft.com/office/drawing/2014/main" id="{09279FB1-A274-EA26-F7F7-E7E6743247B8}"/>
            </a:ext>
          </a:extLst>
        </cdr:cNvPr>
        <cdr:cNvSpPr/>
      </cdr:nvSpPr>
      <cdr:spPr>
        <a:xfrm xmlns:a="http://schemas.openxmlformats.org/drawingml/2006/main">
          <a:off x="671676" y="2327713"/>
          <a:ext cx="3525913" cy="36657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5913" h="3665752">
              <a:moveTo>
                <a:pt x="1430473" y="2186153"/>
              </a:moveTo>
              <a:lnTo>
                <a:pt x="1004860" y="2626382"/>
              </a:lnTo>
              <a:lnTo>
                <a:pt x="0" y="3665751"/>
              </a:lnTo>
              <a:lnTo>
                <a:pt x="0" y="3628247"/>
              </a:lnTo>
              <a:lnTo>
                <a:pt x="992139" y="2602036"/>
              </a:lnTo>
              <a:lnTo>
                <a:pt x="1415617" y="2164014"/>
              </a:lnTo>
              <a:lnTo>
                <a:pt x="2065146" y="1492180"/>
              </a:lnTo>
              <a:lnTo>
                <a:pt x="3063645" y="459390"/>
              </a:lnTo>
              <a:lnTo>
                <a:pt x="3507783" y="0"/>
              </a:lnTo>
              <a:lnTo>
                <a:pt x="3525912" y="18752"/>
              </a:lnTo>
              <a:lnTo>
                <a:pt x="3081774" y="478142"/>
              </a:lnTo>
              <a:lnTo>
                <a:pt x="2083275" y="15109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0.4739</cdr:x>
      <cdr:y>0.24017</cdr:y>
    </cdr:from>
    <cdr:to>
      <cdr:x>0.94246</cdr:x>
      <cdr:y>0.7079</cdr:y>
    </cdr:to>
    <cdr:sp macro="" textlink="">
      <cdr:nvSpPr>
        <cdr:cNvPr id="29" name="FracNo 116 StartRow 426">
          <a:extLst xmlns:a="http://schemas.openxmlformats.org/drawingml/2006/main">
            <a:ext uri="{FF2B5EF4-FFF2-40B4-BE49-F238E27FC236}">
              <a16:creationId xmlns:a16="http://schemas.microsoft.com/office/drawing/2014/main" id="{DC43E003-244D-838D-C241-0925C0A2FA0C}"/>
            </a:ext>
          </a:extLst>
        </cdr:cNvPr>
        <cdr:cNvSpPr/>
      </cdr:nvSpPr>
      <cdr:spPr>
        <a:xfrm xmlns:a="http://schemas.openxmlformats.org/drawingml/2006/main">
          <a:off x="3466647" y="1830058"/>
          <a:ext cx="3427661" cy="3564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27661" h="3564126">
              <a:moveTo>
                <a:pt x="1309601" y="2228302"/>
              </a:moveTo>
              <a:lnTo>
                <a:pt x="446310" y="3121240"/>
              </a:lnTo>
              <a:lnTo>
                <a:pt x="18130" y="3564125"/>
              </a:lnTo>
              <a:lnTo>
                <a:pt x="0" y="3545373"/>
              </a:lnTo>
              <a:lnTo>
                <a:pt x="428181" y="3102488"/>
              </a:lnTo>
              <a:lnTo>
                <a:pt x="1291471" y="2209550"/>
              </a:lnTo>
              <a:lnTo>
                <a:pt x="1344385" y="2154819"/>
              </a:lnTo>
              <a:lnTo>
                <a:pt x="2507452" y="951811"/>
              </a:lnTo>
              <a:lnTo>
                <a:pt x="3427660" y="0"/>
              </a:lnTo>
              <a:lnTo>
                <a:pt x="3427660" y="37504"/>
              </a:lnTo>
              <a:lnTo>
                <a:pt x="2515460" y="981031"/>
              </a:lnTo>
              <a:lnTo>
                <a:pt x="1362514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0.47284</cdr:x>
      <cdr:y>0.46378</cdr:y>
    </cdr:from>
    <cdr:to>
      <cdr:x>0.94246</cdr:x>
      <cdr:y>0.9301</cdr:y>
    </cdr:to>
    <cdr:sp macro="" textlink="">
      <cdr:nvSpPr>
        <cdr:cNvPr id="30" name="FracNo 502 StartRow 441">
          <a:extLst xmlns:a="http://schemas.openxmlformats.org/drawingml/2006/main">
            <a:ext uri="{FF2B5EF4-FFF2-40B4-BE49-F238E27FC236}">
              <a16:creationId xmlns:a16="http://schemas.microsoft.com/office/drawing/2014/main" id="{D2085580-6163-87D0-44B2-FC1165FB80F2}"/>
            </a:ext>
          </a:extLst>
        </cdr:cNvPr>
        <cdr:cNvSpPr/>
      </cdr:nvSpPr>
      <cdr:spPr>
        <a:xfrm xmlns:a="http://schemas.openxmlformats.org/drawingml/2006/main">
          <a:off x="3458947" y="3534028"/>
          <a:ext cx="3435361" cy="3553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5361" h="3553338">
              <a:moveTo>
                <a:pt x="399512" y="3140105"/>
              </a:moveTo>
              <a:lnTo>
                <a:pt x="0" y="3553337"/>
              </a:lnTo>
              <a:lnTo>
                <a:pt x="36259" y="3553337"/>
              </a:lnTo>
              <a:lnTo>
                <a:pt x="430414" y="3145646"/>
              </a:lnTo>
              <a:lnTo>
                <a:pt x="1370214" y="2173571"/>
              </a:lnTo>
              <a:lnTo>
                <a:pt x="2098209" y="1420575"/>
              </a:lnTo>
              <a:lnTo>
                <a:pt x="3435360" y="37504"/>
              </a:lnTo>
              <a:lnTo>
                <a:pt x="3435360" y="0"/>
              </a:lnTo>
              <a:lnTo>
                <a:pt x="2086471" y="1395213"/>
              </a:lnTo>
              <a:lnTo>
                <a:pt x="1352085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0.10315</cdr:x>
      <cdr:y>0.08544</cdr:y>
    </cdr:from>
    <cdr:to>
      <cdr:x>0.56764</cdr:x>
      <cdr:y>0.54666</cdr:y>
    </cdr:to>
    <cdr:sp macro="" textlink="">
      <cdr:nvSpPr>
        <cdr:cNvPr id="31" name="FracNo 325 StartRow 454">
          <a:extLst xmlns:a="http://schemas.openxmlformats.org/drawingml/2006/main">
            <a:ext uri="{FF2B5EF4-FFF2-40B4-BE49-F238E27FC236}">
              <a16:creationId xmlns:a16="http://schemas.microsoft.com/office/drawing/2014/main" id="{1F4CD458-645E-4526-4F69-4B5662AD3E75}"/>
            </a:ext>
          </a:extLst>
        </cdr:cNvPr>
        <cdr:cNvSpPr/>
      </cdr:nvSpPr>
      <cdr:spPr>
        <a:xfrm xmlns:a="http://schemas.openxmlformats.org/drawingml/2006/main">
          <a:off x="754577" y="651036"/>
          <a:ext cx="3397855" cy="3514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7855" h="3514544">
              <a:moveTo>
                <a:pt x="3118224" y="289232"/>
              </a:moveTo>
              <a:lnTo>
                <a:pt x="1991309" y="1454848"/>
              </a:lnTo>
              <a:lnTo>
                <a:pt x="1323643" y="2145443"/>
              </a:lnTo>
              <a:lnTo>
                <a:pt x="0" y="3514543"/>
              </a:lnTo>
              <a:lnTo>
                <a:pt x="0" y="3514543"/>
              </a:lnTo>
              <a:lnTo>
                <a:pt x="1323643" y="2145443"/>
              </a:lnTo>
              <a:lnTo>
                <a:pt x="1991309" y="1454848"/>
              </a:lnTo>
              <a:lnTo>
                <a:pt x="3118224" y="289232"/>
              </a:lnTo>
              <a:lnTo>
                <a:pt x="3397854" y="0"/>
              </a:lnTo>
              <a:lnTo>
                <a:pt x="33978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0.55792</cdr:x>
      <cdr:y>0.54826</cdr:y>
    </cdr:to>
    <cdr:sp macro="" textlink="">
      <cdr:nvSpPr>
        <cdr:cNvPr id="32" name="FracNo 359 StartRow 467">
          <a:extLst xmlns:a="http://schemas.openxmlformats.org/drawingml/2006/main">
            <a:ext uri="{FF2B5EF4-FFF2-40B4-BE49-F238E27FC236}">
              <a16:creationId xmlns:a16="http://schemas.microsoft.com/office/drawing/2014/main" id="{132E8EFB-F817-F7CC-BDA7-072192C9E535}"/>
            </a:ext>
          </a:extLst>
        </cdr:cNvPr>
        <cdr:cNvSpPr/>
      </cdr:nvSpPr>
      <cdr:spPr>
        <a:xfrm xmlns:a="http://schemas.openxmlformats.org/drawingml/2006/main">
          <a:off x="671676" y="651036"/>
          <a:ext cx="3409631" cy="35267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9631" h="3526724">
              <a:moveTo>
                <a:pt x="2993870" y="430037"/>
              </a:moveTo>
              <a:lnTo>
                <a:pt x="2083275" y="1371904"/>
              </a:lnTo>
              <a:lnTo>
                <a:pt x="1323047" y="2158241"/>
              </a:lnTo>
              <a:lnTo>
                <a:pt x="0" y="3526723"/>
              </a:lnTo>
              <a:lnTo>
                <a:pt x="0" y="3489220"/>
              </a:lnTo>
              <a:lnTo>
                <a:pt x="1311533" y="2132645"/>
              </a:lnTo>
              <a:lnTo>
                <a:pt x="2065146" y="1353153"/>
              </a:lnTo>
              <a:lnTo>
                <a:pt x="2963295" y="424159"/>
              </a:lnTo>
              <a:lnTo>
                <a:pt x="3373371" y="0"/>
              </a:lnTo>
              <a:lnTo>
                <a:pt x="34096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0.48024</cdr:x>
      <cdr:y>0.1806</cdr:y>
    </cdr:from>
    <cdr:to>
      <cdr:x>0.94246</cdr:x>
      <cdr:y>0.64204</cdr:y>
    </cdr:to>
    <cdr:sp macro="" textlink="">
      <cdr:nvSpPr>
        <cdr:cNvPr id="33" name="FracNo 106 StartRow 480">
          <a:extLst xmlns:a="http://schemas.openxmlformats.org/drawingml/2006/main">
            <a:ext uri="{FF2B5EF4-FFF2-40B4-BE49-F238E27FC236}">
              <a16:creationId xmlns:a16="http://schemas.microsoft.com/office/drawing/2014/main" id="{E8FCA356-CED6-953E-13E4-1268CC0998D1}"/>
            </a:ext>
          </a:extLst>
        </cdr:cNvPr>
        <cdr:cNvSpPr/>
      </cdr:nvSpPr>
      <cdr:spPr>
        <a:xfrm xmlns:a="http://schemas.openxmlformats.org/drawingml/2006/main">
          <a:off x="3513043" y="1376188"/>
          <a:ext cx="3381265" cy="3516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1265" h="3516137">
              <a:moveTo>
                <a:pt x="1295486" y="2157408"/>
              </a:moveTo>
              <a:lnTo>
                <a:pt x="0" y="3497384"/>
              </a:lnTo>
              <a:lnTo>
                <a:pt x="18129" y="3516136"/>
              </a:lnTo>
              <a:lnTo>
                <a:pt x="1313615" y="2176160"/>
              </a:lnTo>
              <a:lnTo>
                <a:pt x="1316118" y="2173571"/>
              </a:lnTo>
              <a:lnTo>
                <a:pt x="2032181" y="1432918"/>
              </a:lnTo>
              <a:lnTo>
                <a:pt x="3381264" y="37504"/>
              </a:lnTo>
              <a:lnTo>
                <a:pt x="3381264" y="0"/>
              </a:lnTo>
              <a:lnTo>
                <a:pt x="2020337" y="1407664"/>
              </a:lnTo>
              <a:lnTo>
                <a:pt x="1297989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0.47985</cdr:x>
      <cdr:y>0.47074</cdr:y>
    </cdr:from>
    <cdr:to>
      <cdr:x>0.94246</cdr:x>
      <cdr:y>0.9301</cdr:y>
    </cdr:to>
    <cdr:sp macro="" textlink="">
      <cdr:nvSpPr>
        <cdr:cNvPr id="34" name="FracNo 194 StartRow 493">
          <a:extLst xmlns:a="http://schemas.openxmlformats.org/drawingml/2006/main">
            <a:ext uri="{FF2B5EF4-FFF2-40B4-BE49-F238E27FC236}">
              <a16:creationId xmlns:a16="http://schemas.microsoft.com/office/drawing/2014/main" id="{A70C8036-3822-BB94-BB27-564EE8B75B8C}"/>
            </a:ext>
          </a:extLst>
        </cdr:cNvPr>
        <cdr:cNvSpPr/>
      </cdr:nvSpPr>
      <cdr:spPr>
        <a:xfrm xmlns:a="http://schemas.openxmlformats.org/drawingml/2006/main">
          <a:off x="3510192" y="3587032"/>
          <a:ext cx="3384116" cy="3500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4116" h="3500334">
              <a:moveTo>
                <a:pt x="2700605" y="744487"/>
              </a:moveTo>
              <a:lnTo>
                <a:pt x="2101404" y="1364266"/>
              </a:lnTo>
              <a:lnTo>
                <a:pt x="1322389" y="2170034"/>
              </a:lnTo>
              <a:lnTo>
                <a:pt x="36258" y="3500333"/>
              </a:lnTo>
              <a:lnTo>
                <a:pt x="0" y="3500333"/>
              </a:lnTo>
              <a:lnTo>
                <a:pt x="1297421" y="2158356"/>
              </a:lnTo>
              <a:lnTo>
                <a:pt x="2083274" y="1345514"/>
              </a:lnTo>
              <a:lnTo>
                <a:pt x="2690945" y="716975"/>
              </a:lnTo>
              <a:lnTo>
                <a:pt x="3384115" y="0"/>
              </a:lnTo>
              <a:lnTo>
                <a:pt x="338411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0.35438</cdr:x>
      <cdr:y>0.47508</cdr:y>
    </cdr:from>
    <cdr:to>
      <cdr:x>0.8151</cdr:x>
      <cdr:y>0.9301</cdr:y>
    </cdr:to>
    <cdr:sp macro="" textlink="">
      <cdr:nvSpPr>
        <cdr:cNvPr id="35" name="FracNo 119 StartRow 506">
          <a:extLst xmlns:a="http://schemas.openxmlformats.org/drawingml/2006/main">
            <a:ext uri="{FF2B5EF4-FFF2-40B4-BE49-F238E27FC236}">
              <a16:creationId xmlns:a16="http://schemas.microsoft.com/office/drawing/2014/main" id="{C40B8429-949D-6906-4E9F-67D3361A13D4}"/>
            </a:ext>
          </a:extLst>
        </cdr:cNvPr>
        <cdr:cNvSpPr/>
      </cdr:nvSpPr>
      <cdr:spPr>
        <a:xfrm xmlns:a="http://schemas.openxmlformats.org/drawingml/2006/main">
          <a:off x="2592370" y="3620140"/>
          <a:ext cx="3370238" cy="3467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0238" h="3467226">
              <a:moveTo>
                <a:pt x="2186894" y="1205229"/>
              </a:moveTo>
              <a:lnTo>
                <a:pt x="2083275" y="1312406"/>
              </a:lnTo>
              <a:lnTo>
                <a:pt x="135979" y="3326577"/>
              </a:lnTo>
              <a:lnTo>
                <a:pt x="0" y="3467225"/>
              </a:lnTo>
              <a:lnTo>
                <a:pt x="36259" y="3467225"/>
              </a:lnTo>
              <a:lnTo>
                <a:pt x="171054" y="3327801"/>
              </a:lnTo>
              <a:lnTo>
                <a:pt x="2101405" y="1331158"/>
              </a:lnTo>
              <a:lnTo>
                <a:pt x="2205023" y="1223981"/>
              </a:lnTo>
              <a:lnTo>
                <a:pt x="2236791" y="1191122"/>
              </a:lnTo>
              <a:lnTo>
                <a:pt x="3370237" y="18751"/>
              </a:lnTo>
              <a:lnTo>
                <a:pt x="3352107" y="0"/>
              </a:lnTo>
              <a:lnTo>
                <a:pt x="2218662" y="11723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0.49007</cdr:x>
      <cdr:y>0.43673</cdr:y>
    </cdr:from>
    <cdr:to>
      <cdr:x>0.94246</cdr:x>
      <cdr:y>0.8884</cdr:y>
    </cdr:to>
    <cdr:sp macro="" textlink="">
      <cdr:nvSpPr>
        <cdr:cNvPr id="36" name="FracNo 199 StartRow 521">
          <a:extLst xmlns:a="http://schemas.openxmlformats.org/drawingml/2006/main">
            <a:ext uri="{FF2B5EF4-FFF2-40B4-BE49-F238E27FC236}">
              <a16:creationId xmlns:a16="http://schemas.microsoft.com/office/drawing/2014/main" id="{2BFA03FE-29FB-9010-7903-8E2F161BFB8F}"/>
            </a:ext>
          </a:extLst>
        </cdr:cNvPr>
        <cdr:cNvSpPr/>
      </cdr:nvSpPr>
      <cdr:spPr>
        <a:xfrm xmlns:a="http://schemas.openxmlformats.org/drawingml/2006/main">
          <a:off x="3584936" y="3327859"/>
          <a:ext cx="3309372" cy="3441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9372" h="3441775">
              <a:moveTo>
                <a:pt x="2152366" y="1196740"/>
              </a:moveTo>
              <a:lnTo>
                <a:pt x="1757963" y="1604687"/>
              </a:lnTo>
              <a:lnTo>
                <a:pt x="1226096" y="2154819"/>
              </a:lnTo>
              <a:lnTo>
                <a:pt x="0" y="3423022"/>
              </a:lnTo>
              <a:lnTo>
                <a:pt x="18129" y="3441774"/>
              </a:lnTo>
              <a:lnTo>
                <a:pt x="1244225" y="2173571"/>
              </a:lnTo>
              <a:lnTo>
                <a:pt x="1776092" y="1623439"/>
              </a:lnTo>
              <a:lnTo>
                <a:pt x="2165886" y="1220259"/>
              </a:lnTo>
              <a:lnTo>
                <a:pt x="3309371" y="37504"/>
              </a:lnTo>
              <a:lnTo>
                <a:pt x="33093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0.26614</cdr:x>
      <cdr:y>0.08544</cdr:y>
    </cdr:from>
    <cdr:to>
      <cdr:x>0.71972</cdr:x>
      <cdr:y>0.53337</cdr:y>
    </cdr:to>
    <cdr:sp macro="" textlink="">
      <cdr:nvSpPr>
        <cdr:cNvPr id="37" name="FracNo 680 StartRow 534">
          <a:extLst xmlns:a="http://schemas.openxmlformats.org/drawingml/2006/main">
            <a:ext uri="{FF2B5EF4-FFF2-40B4-BE49-F238E27FC236}">
              <a16:creationId xmlns:a16="http://schemas.microsoft.com/office/drawing/2014/main" id="{2C3BB70C-1051-BD9D-CB6F-64518F0ACB2B}"/>
            </a:ext>
          </a:extLst>
        </cdr:cNvPr>
        <cdr:cNvSpPr/>
      </cdr:nvSpPr>
      <cdr:spPr>
        <a:xfrm xmlns:a="http://schemas.openxmlformats.org/drawingml/2006/main">
          <a:off x="1946875" y="651036"/>
          <a:ext cx="3318028" cy="3413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8028" h="3413224">
              <a:moveTo>
                <a:pt x="583142" y="2791303"/>
              </a:moveTo>
              <a:lnTo>
                <a:pt x="0" y="3394471"/>
              </a:lnTo>
              <a:lnTo>
                <a:pt x="18129" y="3413223"/>
              </a:lnTo>
              <a:lnTo>
                <a:pt x="601271" y="2810055"/>
              </a:lnTo>
              <a:lnTo>
                <a:pt x="808076" y="2596148"/>
              </a:lnTo>
              <a:lnTo>
                <a:pt x="1234752" y="2154819"/>
              </a:lnTo>
              <a:lnTo>
                <a:pt x="2889486" y="443258"/>
              </a:lnTo>
              <a:lnTo>
                <a:pt x="3318027" y="0"/>
              </a:lnTo>
              <a:lnTo>
                <a:pt x="3281769" y="0"/>
              </a:lnTo>
              <a:lnTo>
                <a:pt x="2856957" y="439401"/>
              </a:lnTo>
              <a:lnTo>
                <a:pt x="1216623" y="2136067"/>
              </a:lnTo>
              <a:lnTo>
                <a:pt x="789947" y="25773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0.32969</cdr:x>
      <cdr:y>0.08544</cdr:y>
    </cdr:from>
    <cdr:to>
      <cdr:x>0.77823</cdr:x>
      <cdr:y>0.52836</cdr:y>
    </cdr:to>
    <cdr:sp macro="" textlink="">
      <cdr:nvSpPr>
        <cdr:cNvPr id="38" name="FracNo 109 StartRow 549">
          <a:extLst xmlns:a="http://schemas.openxmlformats.org/drawingml/2006/main">
            <a:ext uri="{FF2B5EF4-FFF2-40B4-BE49-F238E27FC236}">
              <a16:creationId xmlns:a16="http://schemas.microsoft.com/office/drawing/2014/main" id="{B87A3EA3-513F-331A-A05A-4705A4268BFA}"/>
            </a:ext>
          </a:extLst>
        </cdr:cNvPr>
        <cdr:cNvSpPr/>
      </cdr:nvSpPr>
      <cdr:spPr>
        <a:xfrm xmlns:a="http://schemas.openxmlformats.org/drawingml/2006/main">
          <a:off x="2411726" y="651036"/>
          <a:ext cx="3281155" cy="33750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1155" h="3375084">
              <a:moveTo>
                <a:pt x="626478" y="2745842"/>
              </a:moveTo>
              <a:lnTo>
                <a:pt x="343225" y="3038823"/>
              </a:lnTo>
              <a:lnTo>
                <a:pt x="18129" y="3375083"/>
              </a:lnTo>
              <a:lnTo>
                <a:pt x="0" y="3356331"/>
              </a:lnTo>
              <a:lnTo>
                <a:pt x="325096" y="3020071"/>
              </a:lnTo>
              <a:lnTo>
                <a:pt x="608349" y="2727090"/>
              </a:lnTo>
              <a:lnTo>
                <a:pt x="1179750" y="2136067"/>
              </a:lnTo>
              <a:lnTo>
                <a:pt x="2393976" y="880141"/>
              </a:lnTo>
              <a:lnTo>
                <a:pt x="3244895" y="0"/>
              </a:lnTo>
              <a:lnTo>
                <a:pt x="3281154" y="0"/>
              </a:lnTo>
              <a:lnTo>
                <a:pt x="2422765" y="887868"/>
              </a:lnTo>
              <a:lnTo>
                <a:pt x="1197879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0.3729</cdr:y>
    </cdr:from>
    <cdr:to>
      <cdr:x>0.5363</cdr:x>
      <cdr:y>0.81426</cdr:y>
    </cdr:to>
    <cdr:sp macro="" textlink="">
      <cdr:nvSpPr>
        <cdr:cNvPr id="39" name="FracNo 81 StartRow 564">
          <a:extLst xmlns:a="http://schemas.openxmlformats.org/drawingml/2006/main">
            <a:ext uri="{FF2B5EF4-FFF2-40B4-BE49-F238E27FC236}">
              <a16:creationId xmlns:a16="http://schemas.microsoft.com/office/drawing/2014/main" id="{D310AFEB-1B36-862E-5A69-67C465C42775}"/>
            </a:ext>
          </a:extLst>
        </cdr:cNvPr>
        <cdr:cNvSpPr/>
      </cdr:nvSpPr>
      <cdr:spPr>
        <a:xfrm xmlns:a="http://schemas.openxmlformats.org/drawingml/2006/main">
          <a:off x="671676" y="2841491"/>
          <a:ext cx="3251487" cy="3363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1487" h="3363150">
              <a:moveTo>
                <a:pt x="2553951" y="721490"/>
              </a:moveTo>
              <a:lnTo>
                <a:pt x="2074210" y="1217706"/>
              </a:lnTo>
              <a:lnTo>
                <a:pt x="1220794" y="2100431"/>
              </a:lnTo>
              <a:lnTo>
                <a:pt x="0" y="3363149"/>
              </a:lnTo>
              <a:lnTo>
                <a:pt x="0" y="3363149"/>
              </a:lnTo>
              <a:lnTo>
                <a:pt x="1220794" y="2100431"/>
              </a:lnTo>
              <a:lnTo>
                <a:pt x="2074210" y="1217706"/>
              </a:lnTo>
              <a:lnTo>
                <a:pt x="2553951" y="721490"/>
              </a:lnTo>
              <a:lnTo>
                <a:pt x="3251486" y="0"/>
              </a:lnTo>
              <a:lnTo>
                <a:pt x="32514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0.3257</cdr:x>
      <cdr:y>0.08544</cdr:y>
    </cdr:from>
    <cdr:to>
      <cdr:x>0.77025</cdr:x>
      <cdr:y>0.5244</cdr:y>
    </cdr:to>
    <cdr:sp macro="" textlink="">
      <cdr:nvSpPr>
        <cdr:cNvPr id="40" name="FracNo 354 StartRow 577">
          <a:extLst xmlns:a="http://schemas.openxmlformats.org/drawingml/2006/main">
            <a:ext uri="{FF2B5EF4-FFF2-40B4-BE49-F238E27FC236}">
              <a16:creationId xmlns:a16="http://schemas.microsoft.com/office/drawing/2014/main" id="{944F0A64-7C42-D8E7-B562-C10D107E7E13}"/>
            </a:ext>
          </a:extLst>
        </cdr:cNvPr>
        <cdr:cNvSpPr/>
      </cdr:nvSpPr>
      <cdr:spPr>
        <a:xfrm xmlns:a="http://schemas.openxmlformats.org/drawingml/2006/main">
          <a:off x="2382556" y="651036"/>
          <a:ext cx="3251985" cy="33449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1985" h="3344913">
              <a:moveTo>
                <a:pt x="1520309" y="1753641"/>
              </a:moveTo>
              <a:lnTo>
                <a:pt x="1150580" y="2136067"/>
              </a:lnTo>
              <a:lnTo>
                <a:pt x="354266" y="2959728"/>
              </a:lnTo>
              <a:lnTo>
                <a:pt x="0" y="3326160"/>
              </a:lnTo>
              <a:lnTo>
                <a:pt x="18129" y="3344912"/>
              </a:lnTo>
              <a:lnTo>
                <a:pt x="372395" y="2978480"/>
              </a:lnTo>
              <a:lnTo>
                <a:pt x="1168709" y="2154819"/>
              </a:lnTo>
              <a:lnTo>
                <a:pt x="1541241" y="1769493"/>
              </a:lnTo>
              <a:lnTo>
                <a:pt x="2451431" y="828045"/>
              </a:lnTo>
              <a:lnTo>
                <a:pt x="3251984" y="0"/>
              </a:lnTo>
              <a:lnTo>
                <a:pt x="3215726" y="0"/>
              </a:lnTo>
              <a:lnTo>
                <a:pt x="2423650" y="8192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0.50041</cdr:x>
      <cdr:y>0.49116</cdr:y>
    </cdr:from>
    <cdr:to>
      <cdr:x>0.94246</cdr:x>
      <cdr:y>0.9301</cdr:y>
    </cdr:to>
    <cdr:sp macro="" textlink="">
      <cdr:nvSpPr>
        <cdr:cNvPr id="41" name="FracNo 186 StartRow 592">
          <a:extLst xmlns:a="http://schemas.openxmlformats.org/drawingml/2006/main">
            <a:ext uri="{FF2B5EF4-FFF2-40B4-BE49-F238E27FC236}">
              <a16:creationId xmlns:a16="http://schemas.microsoft.com/office/drawing/2014/main" id="{1BDE0D89-887B-BE6C-E7BE-75E2880D7D59}"/>
            </a:ext>
          </a:extLst>
        </cdr:cNvPr>
        <cdr:cNvSpPr/>
      </cdr:nvSpPr>
      <cdr:spPr>
        <a:xfrm xmlns:a="http://schemas.openxmlformats.org/drawingml/2006/main">
          <a:off x="3660618" y="3742624"/>
          <a:ext cx="3233690" cy="33447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3690" h="3344742">
              <a:moveTo>
                <a:pt x="2120864" y="1151042"/>
              </a:moveTo>
              <a:lnTo>
                <a:pt x="2083275" y="1189922"/>
              </a:lnTo>
              <a:lnTo>
                <a:pt x="1146337" y="2159036"/>
              </a:lnTo>
              <a:lnTo>
                <a:pt x="0" y="3344741"/>
              </a:lnTo>
              <a:lnTo>
                <a:pt x="36258" y="3344741"/>
              </a:lnTo>
              <a:lnTo>
                <a:pt x="1172620" y="2169354"/>
              </a:lnTo>
              <a:lnTo>
                <a:pt x="2101404" y="1208674"/>
              </a:lnTo>
              <a:lnTo>
                <a:pt x="2138401" y="1170406"/>
              </a:lnTo>
              <a:lnTo>
                <a:pt x="3233689" y="37504"/>
              </a:lnTo>
              <a:lnTo>
                <a:pt x="32336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0.21571</cdr:y>
    </cdr:from>
    <cdr:to>
      <cdr:x>0.53202</cdr:x>
      <cdr:y>0.65527</cdr:y>
    </cdr:to>
    <cdr:sp macro="" textlink="">
      <cdr:nvSpPr>
        <cdr:cNvPr id="42" name="FracNo 665 StartRow 605">
          <a:extLst xmlns:a="http://schemas.openxmlformats.org/drawingml/2006/main">
            <a:ext uri="{FF2B5EF4-FFF2-40B4-BE49-F238E27FC236}">
              <a16:creationId xmlns:a16="http://schemas.microsoft.com/office/drawing/2014/main" id="{CD9E9BD4-99D8-7FEC-37E0-2147331936F8}"/>
            </a:ext>
          </a:extLst>
        </cdr:cNvPr>
        <cdr:cNvSpPr/>
      </cdr:nvSpPr>
      <cdr:spPr>
        <a:xfrm xmlns:a="http://schemas.openxmlformats.org/drawingml/2006/main">
          <a:off x="671676" y="1643707"/>
          <a:ext cx="3220144" cy="33494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0144" h="3349482">
              <a:moveTo>
                <a:pt x="515538" y="2816238"/>
              </a:moveTo>
              <a:lnTo>
                <a:pt x="31990" y="3316392"/>
              </a:lnTo>
              <a:lnTo>
                <a:pt x="0" y="3349481"/>
              </a:lnTo>
              <a:lnTo>
                <a:pt x="0" y="3311977"/>
              </a:lnTo>
              <a:lnTo>
                <a:pt x="30879" y="3280038"/>
              </a:lnTo>
              <a:lnTo>
                <a:pt x="510416" y="2784033"/>
              </a:lnTo>
              <a:lnTo>
                <a:pt x="2065146" y="1175910"/>
              </a:lnTo>
              <a:lnTo>
                <a:pt x="2096580" y="1143396"/>
              </a:lnTo>
              <a:lnTo>
                <a:pt x="3202013" y="0"/>
              </a:lnTo>
              <a:lnTo>
                <a:pt x="3220143" y="18752"/>
              </a:lnTo>
              <a:lnTo>
                <a:pt x="2114709" y="1162148"/>
              </a:lnTo>
              <a:lnTo>
                <a:pt x="2083275" y="11946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0.53421</cdr:x>
      <cdr:y>0.52472</cdr:y>
    </cdr:from>
    <cdr:to>
      <cdr:x>0.94246</cdr:x>
      <cdr:y>0.9301</cdr:y>
    </cdr:to>
    <cdr:sp macro="" textlink="">
      <cdr:nvSpPr>
        <cdr:cNvPr id="43" name="FracNo 515 StartRow 620">
          <a:extLst xmlns:a="http://schemas.openxmlformats.org/drawingml/2006/main">
            <a:ext uri="{FF2B5EF4-FFF2-40B4-BE49-F238E27FC236}">
              <a16:creationId xmlns:a16="http://schemas.microsoft.com/office/drawing/2014/main" id="{B44B0995-4A83-C1B6-A1A7-75306167B288}"/>
            </a:ext>
          </a:extLst>
        </cdr:cNvPr>
        <cdr:cNvSpPr/>
      </cdr:nvSpPr>
      <cdr:spPr>
        <a:xfrm xmlns:a="http://schemas.openxmlformats.org/drawingml/2006/main">
          <a:off x="3907857" y="3998354"/>
          <a:ext cx="2986451" cy="3089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6451" h="3089012">
              <a:moveTo>
                <a:pt x="537419" y="2533136"/>
              </a:moveTo>
              <a:lnTo>
                <a:pt x="0" y="3089011"/>
              </a:lnTo>
              <a:lnTo>
                <a:pt x="36259" y="3089011"/>
              </a:lnTo>
              <a:lnTo>
                <a:pt x="562890" y="2544294"/>
              </a:lnTo>
              <a:lnTo>
                <a:pt x="921304" y="2173571"/>
              </a:lnTo>
              <a:lnTo>
                <a:pt x="2096247" y="958278"/>
              </a:lnTo>
              <a:lnTo>
                <a:pt x="2986450" y="37504"/>
              </a:lnTo>
              <a:lnTo>
                <a:pt x="2986450" y="0"/>
              </a:lnTo>
              <a:lnTo>
                <a:pt x="2088432" y="928858"/>
              </a:lnTo>
              <a:lnTo>
                <a:pt x="903175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0.49455</cdr:x>
      <cdr:y>0.48534</cdr:y>
    </cdr:to>
    <cdr:sp macro="" textlink="">
      <cdr:nvSpPr>
        <cdr:cNvPr id="44" name="FracNo 594 StartRow 633">
          <a:extLst xmlns:a="http://schemas.openxmlformats.org/drawingml/2006/main">
            <a:ext uri="{FF2B5EF4-FFF2-40B4-BE49-F238E27FC236}">
              <a16:creationId xmlns:a16="http://schemas.microsoft.com/office/drawing/2014/main" id="{E72346E7-0296-7B0B-0286-23ADBCE42CE9}"/>
            </a:ext>
          </a:extLst>
        </cdr:cNvPr>
        <cdr:cNvSpPr/>
      </cdr:nvSpPr>
      <cdr:spPr>
        <a:xfrm xmlns:a="http://schemas.openxmlformats.org/drawingml/2006/main">
          <a:off x="671676" y="651036"/>
          <a:ext cx="2946062" cy="30472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6062" h="3047236">
              <a:moveTo>
                <a:pt x="1945151" y="997779"/>
              </a:moveTo>
              <a:lnTo>
                <a:pt x="849762" y="2130786"/>
              </a:lnTo>
              <a:lnTo>
                <a:pt x="0" y="3009731"/>
              </a:lnTo>
              <a:lnTo>
                <a:pt x="0" y="3047235"/>
              </a:lnTo>
              <a:lnTo>
                <a:pt x="857680" y="2160100"/>
              </a:lnTo>
              <a:lnTo>
                <a:pt x="1964289" y="1015488"/>
              </a:lnTo>
              <a:lnTo>
                <a:pt x="2084388" y="891264"/>
              </a:lnTo>
              <a:lnTo>
                <a:pt x="2946061" y="0"/>
              </a:lnTo>
              <a:lnTo>
                <a:pt x="2909802" y="0"/>
              </a:lnTo>
              <a:lnTo>
                <a:pt x="2064033" y="8748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0.39785</cdr:y>
    </cdr:from>
    <cdr:to>
      <cdr:x>0.48915</cdr:x>
      <cdr:y>0.79485</cdr:y>
    </cdr:to>
    <cdr:sp macro="" textlink="">
      <cdr:nvSpPr>
        <cdr:cNvPr id="45" name="FracNo 118 StartRow 646">
          <a:extLst xmlns:a="http://schemas.openxmlformats.org/drawingml/2006/main">
            <a:ext uri="{FF2B5EF4-FFF2-40B4-BE49-F238E27FC236}">
              <a16:creationId xmlns:a16="http://schemas.microsoft.com/office/drawing/2014/main" id="{EC8855AB-34B8-6EB2-2229-FD41178AD670}"/>
            </a:ext>
          </a:extLst>
        </cdr:cNvPr>
        <cdr:cNvSpPr/>
      </cdr:nvSpPr>
      <cdr:spPr>
        <a:xfrm xmlns:a="http://schemas.openxmlformats.org/drawingml/2006/main">
          <a:off x="671676" y="3031616"/>
          <a:ext cx="2906550" cy="30251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6550" h="3025119">
              <a:moveTo>
                <a:pt x="2884557" y="41499"/>
              </a:moveTo>
              <a:lnTo>
                <a:pt x="2083275" y="870299"/>
              </a:lnTo>
              <a:lnTo>
                <a:pt x="1064300" y="1924268"/>
              </a:lnTo>
              <a:lnTo>
                <a:pt x="0" y="3025118"/>
              </a:lnTo>
              <a:lnTo>
                <a:pt x="0" y="2987614"/>
              </a:lnTo>
              <a:lnTo>
                <a:pt x="1055038" y="1896344"/>
              </a:lnTo>
              <a:lnTo>
                <a:pt x="2065146" y="851547"/>
              </a:lnTo>
              <a:lnTo>
                <a:pt x="2866428" y="22747"/>
              </a:lnTo>
              <a:lnTo>
                <a:pt x="2888420" y="0"/>
              </a:lnTo>
              <a:lnTo>
                <a:pt x="290654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0.54607</cdr:x>
      <cdr:y>0.53649</cdr:y>
    </cdr:from>
    <cdr:to>
      <cdr:x>0.94246</cdr:x>
      <cdr:y>0.9301</cdr:y>
    </cdr:to>
    <cdr:sp macro="" textlink="">
      <cdr:nvSpPr>
        <cdr:cNvPr id="46" name="FracNo 739 StartRow 659">
          <a:extLst xmlns:a="http://schemas.openxmlformats.org/drawingml/2006/main">
            <a:ext uri="{FF2B5EF4-FFF2-40B4-BE49-F238E27FC236}">
              <a16:creationId xmlns:a16="http://schemas.microsoft.com/office/drawing/2014/main" id="{8B74A328-315B-EE0D-AB40-200E04D00D46}"/>
            </a:ext>
          </a:extLst>
        </cdr:cNvPr>
        <cdr:cNvSpPr/>
      </cdr:nvSpPr>
      <cdr:spPr>
        <a:xfrm xmlns:a="http://schemas.openxmlformats.org/drawingml/2006/main">
          <a:off x="3994588" y="4088064"/>
          <a:ext cx="2899720" cy="2999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9720" h="2999302">
              <a:moveTo>
                <a:pt x="2779674" y="124168"/>
              </a:moveTo>
              <a:lnTo>
                <a:pt x="2083276" y="844482"/>
              </a:lnTo>
              <a:lnTo>
                <a:pt x="810908" y="2160545"/>
              </a:lnTo>
              <a:lnTo>
                <a:pt x="0" y="2999301"/>
              </a:lnTo>
              <a:lnTo>
                <a:pt x="36259" y="2999301"/>
              </a:lnTo>
              <a:lnTo>
                <a:pt x="840110" y="2167844"/>
              </a:lnTo>
              <a:lnTo>
                <a:pt x="2101405" y="863234"/>
              </a:lnTo>
              <a:lnTo>
                <a:pt x="2782339" y="158915"/>
              </a:lnTo>
              <a:lnTo>
                <a:pt x="2899719" y="37504"/>
              </a:lnTo>
              <a:lnTo>
                <a:pt x="28997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0.19478</cdr:x>
      <cdr:y>0.54092</cdr:y>
    </cdr:from>
    <cdr:to>
      <cdr:x>0.58919</cdr:x>
      <cdr:y>0.9301</cdr:y>
    </cdr:to>
    <cdr:sp macro="" textlink="">
      <cdr:nvSpPr>
        <cdr:cNvPr id="47" name="FracNo 101 StartRow 672">
          <a:extLst xmlns:a="http://schemas.openxmlformats.org/drawingml/2006/main">
            <a:ext uri="{FF2B5EF4-FFF2-40B4-BE49-F238E27FC236}">
              <a16:creationId xmlns:a16="http://schemas.microsoft.com/office/drawing/2014/main" id="{2D6F83B0-D032-C6B5-5855-49C78FB114E9}"/>
            </a:ext>
          </a:extLst>
        </cdr:cNvPr>
        <cdr:cNvSpPr/>
      </cdr:nvSpPr>
      <cdr:spPr>
        <a:xfrm xmlns:a="http://schemas.openxmlformats.org/drawingml/2006/main">
          <a:off x="1424843" y="4121802"/>
          <a:ext cx="2885231" cy="2965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231" h="2965564">
              <a:moveTo>
                <a:pt x="2670041" y="203828"/>
              </a:moveTo>
              <a:lnTo>
                <a:pt x="2083275" y="810744"/>
              </a:lnTo>
              <a:lnTo>
                <a:pt x="1308608" y="1612015"/>
              </a:lnTo>
              <a:lnTo>
                <a:pt x="0" y="2965563"/>
              </a:lnTo>
              <a:lnTo>
                <a:pt x="36258" y="2965563"/>
              </a:lnTo>
              <a:lnTo>
                <a:pt x="1333479" y="1623793"/>
              </a:lnTo>
              <a:lnTo>
                <a:pt x="2101404" y="829496"/>
              </a:lnTo>
              <a:lnTo>
                <a:pt x="2688170" y="222579"/>
              </a:lnTo>
              <a:lnTo>
                <a:pt x="2885230" y="18752"/>
              </a:lnTo>
              <a:lnTo>
                <a:pt x="28671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0.20078</cdr:x>
      <cdr:y>0.5439</cdr:y>
    </cdr:from>
    <cdr:to>
      <cdr:x>0.58972</cdr:x>
      <cdr:y>0.9301</cdr:y>
    </cdr:to>
    <cdr:sp macro="" textlink="">
      <cdr:nvSpPr>
        <cdr:cNvPr id="48" name="FracNo 100 StartRow 685">
          <a:extLst xmlns:a="http://schemas.openxmlformats.org/drawingml/2006/main">
            <a:ext uri="{FF2B5EF4-FFF2-40B4-BE49-F238E27FC236}">
              <a16:creationId xmlns:a16="http://schemas.microsoft.com/office/drawing/2014/main" id="{DFADD85D-1DF9-7E0E-1C20-2B9F457ED914}"/>
            </a:ext>
          </a:extLst>
        </cdr:cNvPr>
        <cdr:cNvSpPr/>
      </cdr:nvSpPr>
      <cdr:spPr>
        <a:xfrm xmlns:a="http://schemas.openxmlformats.org/drawingml/2006/main">
          <a:off x="1468722" y="4144495"/>
          <a:ext cx="2845162" cy="29428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5162" h="2942871">
              <a:moveTo>
                <a:pt x="2428086" y="431399"/>
              </a:moveTo>
              <a:lnTo>
                <a:pt x="2074211" y="797427"/>
              </a:lnTo>
              <a:lnTo>
                <a:pt x="1277164" y="1621846"/>
              </a:lnTo>
              <a:lnTo>
                <a:pt x="0" y="2942870"/>
              </a:lnTo>
              <a:lnTo>
                <a:pt x="0" y="2942870"/>
              </a:lnTo>
              <a:lnTo>
                <a:pt x="1277164" y="1621846"/>
              </a:lnTo>
              <a:lnTo>
                <a:pt x="2074211" y="797427"/>
              </a:lnTo>
              <a:lnTo>
                <a:pt x="2428086" y="431399"/>
              </a:lnTo>
              <a:lnTo>
                <a:pt x="2845161" y="0"/>
              </a:lnTo>
              <a:lnTo>
                <a:pt x="28451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0.48118</cdr:x>
      <cdr:y>0.47206</cdr:y>
    </cdr:to>
    <cdr:sp macro="" textlink="">
      <cdr:nvSpPr>
        <cdr:cNvPr id="49" name="FracNo 355 StartRow 698">
          <a:extLst xmlns:a="http://schemas.openxmlformats.org/drawingml/2006/main">
            <a:ext uri="{FF2B5EF4-FFF2-40B4-BE49-F238E27FC236}">
              <a16:creationId xmlns:a16="http://schemas.microsoft.com/office/drawing/2014/main" id="{CF003B77-5B61-1E9E-8154-19C39EEB9411}"/>
            </a:ext>
          </a:extLst>
        </cdr:cNvPr>
        <cdr:cNvSpPr/>
      </cdr:nvSpPr>
      <cdr:spPr>
        <a:xfrm xmlns:a="http://schemas.openxmlformats.org/drawingml/2006/main">
          <a:off x="671676" y="651036"/>
          <a:ext cx="2848262" cy="29460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8262" h="2946078">
              <a:moveTo>
                <a:pt x="2397747" y="465986"/>
              </a:moveTo>
              <a:lnTo>
                <a:pt x="2083275" y="791258"/>
              </a:lnTo>
              <a:lnTo>
                <a:pt x="759225" y="2160778"/>
              </a:lnTo>
              <a:lnTo>
                <a:pt x="0" y="2946077"/>
              </a:lnTo>
              <a:lnTo>
                <a:pt x="0" y="2908573"/>
              </a:lnTo>
              <a:lnTo>
                <a:pt x="752618" y="2130108"/>
              </a:lnTo>
              <a:lnTo>
                <a:pt x="2065146" y="772506"/>
              </a:lnTo>
              <a:lnTo>
                <a:pt x="2372165" y="454943"/>
              </a:lnTo>
              <a:lnTo>
                <a:pt x="2812003" y="0"/>
              </a:lnTo>
              <a:lnTo>
                <a:pt x="28482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0.33942</cdr:x>
      <cdr:y>0.27242</cdr:y>
    </cdr:from>
    <cdr:to>
      <cdr:x>0.72799</cdr:x>
      <cdr:y>0.65826</cdr:y>
    </cdr:to>
    <cdr:sp macro="" textlink="">
      <cdr:nvSpPr>
        <cdr:cNvPr id="50" name="FracNo 747 StartRow 711">
          <a:extLst xmlns:a="http://schemas.openxmlformats.org/drawingml/2006/main">
            <a:ext uri="{FF2B5EF4-FFF2-40B4-BE49-F238E27FC236}">
              <a16:creationId xmlns:a16="http://schemas.microsoft.com/office/drawing/2014/main" id="{22F571E7-8D40-B5CD-8549-6545EEE879C4}"/>
            </a:ext>
          </a:extLst>
        </cdr:cNvPr>
        <cdr:cNvSpPr/>
      </cdr:nvSpPr>
      <cdr:spPr>
        <a:xfrm xmlns:a="http://schemas.openxmlformats.org/drawingml/2006/main">
          <a:off x="2482946" y="2075858"/>
          <a:ext cx="2842431" cy="2940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2431" h="2940047">
              <a:moveTo>
                <a:pt x="2166245" y="718159"/>
              </a:moveTo>
              <a:lnTo>
                <a:pt x="2154800" y="729997"/>
              </a:lnTo>
              <a:lnTo>
                <a:pt x="272005" y="2677451"/>
              </a:lnTo>
              <a:lnTo>
                <a:pt x="80590" y="2875440"/>
              </a:lnTo>
              <a:lnTo>
                <a:pt x="18129" y="2940046"/>
              </a:lnTo>
              <a:lnTo>
                <a:pt x="0" y="2921294"/>
              </a:lnTo>
              <a:lnTo>
                <a:pt x="62461" y="2856688"/>
              </a:lnTo>
              <a:lnTo>
                <a:pt x="253876" y="2658700"/>
              </a:lnTo>
              <a:lnTo>
                <a:pt x="2136671" y="711245"/>
              </a:lnTo>
              <a:lnTo>
                <a:pt x="2148116" y="699407"/>
              </a:lnTo>
              <a:lnTo>
                <a:pt x="2328086" y="513256"/>
              </a:lnTo>
              <a:lnTo>
                <a:pt x="2824302" y="0"/>
              </a:lnTo>
              <a:lnTo>
                <a:pt x="2842430" y="18752"/>
              </a:lnTo>
              <a:lnTo>
                <a:pt x="2346215" y="5320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0.23041</cdr:x>
      <cdr:y>0.36353</cdr:y>
    </cdr:from>
    <cdr:to>
      <cdr:x>0.61399</cdr:x>
      <cdr:y>0.74441</cdr:y>
    </cdr:to>
    <cdr:sp macro="" textlink="">
      <cdr:nvSpPr>
        <cdr:cNvPr id="51" name="FracNo 96 StartRow 728">
          <a:extLst xmlns:a="http://schemas.openxmlformats.org/drawingml/2006/main">
            <a:ext uri="{FF2B5EF4-FFF2-40B4-BE49-F238E27FC236}">
              <a16:creationId xmlns:a16="http://schemas.microsoft.com/office/drawing/2014/main" id="{0C837C13-3255-4149-8755-971F9B09AC65}"/>
            </a:ext>
          </a:extLst>
        </cdr:cNvPr>
        <cdr:cNvSpPr/>
      </cdr:nvSpPr>
      <cdr:spPr>
        <a:xfrm xmlns:a="http://schemas.openxmlformats.org/drawingml/2006/main">
          <a:off x="1685524" y="2770097"/>
          <a:ext cx="2805947" cy="29023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5947" h="2902309">
              <a:moveTo>
                <a:pt x="1880613" y="957110"/>
              </a:moveTo>
              <a:lnTo>
                <a:pt x="1060362" y="1805530"/>
              </a:lnTo>
              <a:lnTo>
                <a:pt x="706229" y="2171825"/>
              </a:lnTo>
              <a:lnTo>
                <a:pt x="0" y="2902308"/>
              </a:lnTo>
              <a:lnTo>
                <a:pt x="0" y="2902308"/>
              </a:lnTo>
              <a:lnTo>
                <a:pt x="706229" y="2171825"/>
              </a:lnTo>
              <a:lnTo>
                <a:pt x="1060362" y="1805530"/>
              </a:lnTo>
              <a:lnTo>
                <a:pt x="1880613" y="957110"/>
              </a:lnTo>
              <a:lnTo>
                <a:pt x="2780440" y="26382"/>
              </a:lnTo>
              <a:lnTo>
                <a:pt x="2805946" y="0"/>
              </a:lnTo>
              <a:lnTo>
                <a:pt x="2805946" y="0"/>
              </a:lnTo>
              <a:lnTo>
                <a:pt x="2780440" y="263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0.10747</cdr:x>
      <cdr:y>0.1845</cdr:y>
    </cdr:from>
    <cdr:to>
      <cdr:x>0.47899</cdr:x>
      <cdr:y>0.55341</cdr:y>
    </cdr:to>
    <cdr:sp macro="" textlink="">
      <cdr:nvSpPr>
        <cdr:cNvPr id="52" name="FracNo 341 StartRow 743">
          <a:extLst xmlns:a="http://schemas.openxmlformats.org/drawingml/2006/main">
            <a:ext uri="{FF2B5EF4-FFF2-40B4-BE49-F238E27FC236}">
              <a16:creationId xmlns:a16="http://schemas.microsoft.com/office/drawing/2014/main" id="{0EE479E7-C90C-E045-001A-F2FB9D3AD35E}"/>
            </a:ext>
          </a:extLst>
        </cdr:cNvPr>
        <cdr:cNvSpPr/>
      </cdr:nvSpPr>
      <cdr:spPr>
        <a:xfrm xmlns:a="http://schemas.openxmlformats.org/drawingml/2006/main">
          <a:off x="786163" y="1405923"/>
          <a:ext cx="2717748" cy="28110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7748" h="2811080">
              <a:moveTo>
                <a:pt x="2482214" y="262373"/>
              </a:moveTo>
              <a:lnTo>
                <a:pt x="1968788" y="793431"/>
              </a:lnTo>
              <a:lnTo>
                <a:pt x="1382424" y="1399932"/>
              </a:lnTo>
              <a:lnTo>
                <a:pt x="18129" y="2811079"/>
              </a:lnTo>
              <a:lnTo>
                <a:pt x="0" y="2792327"/>
              </a:lnTo>
              <a:lnTo>
                <a:pt x="1364295" y="1381180"/>
              </a:lnTo>
              <a:lnTo>
                <a:pt x="1950659" y="774679"/>
              </a:lnTo>
              <a:lnTo>
                <a:pt x="2464085" y="243621"/>
              </a:lnTo>
              <a:lnTo>
                <a:pt x="2699618" y="0"/>
              </a:lnTo>
              <a:lnTo>
                <a:pt x="271774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0.45652</cdr:x>
      <cdr:y>0.44757</cdr:y>
    </cdr:to>
    <cdr:sp macro="" textlink="">
      <cdr:nvSpPr>
        <cdr:cNvPr id="53" name="FracNo 732 StartRow 756">
          <a:extLst xmlns:a="http://schemas.openxmlformats.org/drawingml/2006/main">
            <a:ext uri="{FF2B5EF4-FFF2-40B4-BE49-F238E27FC236}">
              <a16:creationId xmlns:a16="http://schemas.microsoft.com/office/drawing/2014/main" id="{2A2241D7-94A1-0975-3BF2-1B2FA8DA633A}"/>
            </a:ext>
          </a:extLst>
        </cdr:cNvPr>
        <cdr:cNvSpPr/>
      </cdr:nvSpPr>
      <cdr:spPr>
        <a:xfrm xmlns:a="http://schemas.openxmlformats.org/drawingml/2006/main">
          <a:off x="671676" y="651036"/>
          <a:ext cx="2667827" cy="27594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7827" h="2759445">
              <a:moveTo>
                <a:pt x="1225967" y="1491375"/>
              </a:moveTo>
              <a:lnTo>
                <a:pt x="579771" y="2159762"/>
              </a:lnTo>
              <a:lnTo>
                <a:pt x="0" y="2759444"/>
              </a:lnTo>
              <a:lnTo>
                <a:pt x="0" y="2721940"/>
              </a:lnTo>
              <a:lnTo>
                <a:pt x="571201" y="2131124"/>
              </a:lnTo>
              <a:lnTo>
                <a:pt x="1208658" y="1471774"/>
              </a:lnTo>
              <a:lnTo>
                <a:pt x="2059723" y="591482"/>
              </a:lnTo>
              <a:lnTo>
                <a:pt x="2631567" y="0"/>
              </a:lnTo>
              <a:lnTo>
                <a:pt x="2667826" y="0"/>
              </a:lnTo>
              <a:lnTo>
                <a:pt x="2088698" y="5990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0.34612</cdr:x>
      <cdr:y>0.08544</cdr:y>
    </cdr:from>
    <cdr:to>
      <cdr:x>0.71086</cdr:x>
      <cdr:y>0.44516</cdr:y>
    </cdr:to>
    <cdr:sp macro="" textlink="">
      <cdr:nvSpPr>
        <cdr:cNvPr id="54" name="FracNo 358 StartRow 769">
          <a:extLst xmlns:a="http://schemas.openxmlformats.org/drawingml/2006/main">
            <a:ext uri="{FF2B5EF4-FFF2-40B4-BE49-F238E27FC236}">
              <a16:creationId xmlns:a16="http://schemas.microsoft.com/office/drawing/2014/main" id="{BBF4751F-A163-0692-95C6-1ABAAF9489EB}"/>
            </a:ext>
          </a:extLst>
        </cdr:cNvPr>
        <cdr:cNvSpPr/>
      </cdr:nvSpPr>
      <cdr:spPr>
        <a:xfrm xmlns:a="http://schemas.openxmlformats.org/drawingml/2006/main">
          <a:off x="2531907" y="651036"/>
          <a:ext cx="2668176" cy="2741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8176" h="2741054">
              <a:moveTo>
                <a:pt x="1497911" y="1172950"/>
              </a:moveTo>
              <a:lnTo>
                <a:pt x="566771" y="2136067"/>
              </a:lnTo>
              <a:lnTo>
                <a:pt x="204915" y="2510350"/>
              </a:lnTo>
              <a:lnTo>
                <a:pt x="0" y="2722302"/>
              </a:lnTo>
              <a:lnTo>
                <a:pt x="18130" y="2741053"/>
              </a:lnTo>
              <a:lnTo>
                <a:pt x="223044" y="2529102"/>
              </a:lnTo>
              <a:lnTo>
                <a:pt x="584900" y="2154819"/>
              </a:lnTo>
              <a:lnTo>
                <a:pt x="1522792" y="1184718"/>
              </a:lnTo>
              <a:lnTo>
                <a:pt x="2303441" y="377260"/>
              </a:lnTo>
              <a:lnTo>
                <a:pt x="2668175" y="0"/>
              </a:lnTo>
              <a:lnTo>
                <a:pt x="2631917" y="0"/>
              </a:lnTo>
              <a:lnTo>
                <a:pt x="2272938" y="3713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0.58213</cdr:x>
      <cdr:y>0.48672</cdr:y>
    </cdr:from>
    <cdr:to>
      <cdr:x>0.94322</cdr:x>
      <cdr:y>0.84528</cdr:y>
    </cdr:to>
    <cdr:sp macro="" textlink="">
      <cdr:nvSpPr>
        <cdr:cNvPr id="55" name="FracNo 267 StartRow 784">
          <a:extLst xmlns:a="http://schemas.openxmlformats.org/drawingml/2006/main">
            <a:ext uri="{FF2B5EF4-FFF2-40B4-BE49-F238E27FC236}">
              <a16:creationId xmlns:a16="http://schemas.microsoft.com/office/drawing/2014/main" id="{118C19A7-1329-DCE2-BBCD-06DB19E69E61}"/>
            </a:ext>
          </a:extLst>
        </cdr:cNvPr>
        <cdr:cNvSpPr/>
      </cdr:nvSpPr>
      <cdr:spPr>
        <a:xfrm xmlns:a="http://schemas.openxmlformats.org/drawingml/2006/main">
          <a:off x="4258380" y="3708837"/>
          <a:ext cx="2641491" cy="2732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1491" h="2732205">
              <a:moveTo>
                <a:pt x="1095039" y="1580807"/>
              </a:moveTo>
              <a:lnTo>
                <a:pt x="552652" y="2141821"/>
              </a:lnTo>
              <a:lnTo>
                <a:pt x="0" y="2713452"/>
              </a:lnTo>
              <a:lnTo>
                <a:pt x="18129" y="2732204"/>
              </a:lnTo>
              <a:lnTo>
                <a:pt x="570781" y="2160573"/>
              </a:lnTo>
              <a:lnTo>
                <a:pt x="1113169" y="1599559"/>
              </a:lnTo>
              <a:lnTo>
                <a:pt x="1458410" y="1242461"/>
              </a:lnTo>
              <a:lnTo>
                <a:pt x="2641490" y="18753"/>
              </a:lnTo>
              <a:lnTo>
                <a:pt x="2623360" y="0"/>
              </a:lnTo>
              <a:lnTo>
                <a:pt x="1440281" y="12237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0.33095</cdr:x>
      <cdr:y>0.08544</cdr:y>
    </cdr:from>
    <cdr:to>
      <cdr:x>0.68186</cdr:x>
      <cdr:y>0.43142</cdr:y>
    </cdr:to>
    <cdr:sp macro="" textlink="">
      <cdr:nvSpPr>
        <cdr:cNvPr id="56" name="FracNo 662 StartRow 797">
          <a:extLst xmlns:a="http://schemas.openxmlformats.org/drawingml/2006/main">
            <a:ext uri="{FF2B5EF4-FFF2-40B4-BE49-F238E27FC236}">
              <a16:creationId xmlns:a16="http://schemas.microsoft.com/office/drawing/2014/main" id="{560B6BF9-F97A-7E18-F08E-BB53918D4128}"/>
            </a:ext>
          </a:extLst>
        </cdr:cNvPr>
        <cdr:cNvSpPr/>
      </cdr:nvSpPr>
      <cdr:spPr>
        <a:xfrm xmlns:a="http://schemas.openxmlformats.org/drawingml/2006/main">
          <a:off x="2420980" y="651036"/>
          <a:ext cx="2566977" cy="26363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6977" h="2636381">
              <a:moveTo>
                <a:pt x="20550" y="2596372"/>
              </a:moveTo>
              <a:lnTo>
                <a:pt x="0" y="2617628"/>
              </a:lnTo>
              <a:lnTo>
                <a:pt x="18129" y="2636380"/>
              </a:lnTo>
              <a:lnTo>
                <a:pt x="38680" y="2615123"/>
              </a:lnTo>
              <a:lnTo>
                <a:pt x="333971" y="2309691"/>
              </a:lnTo>
              <a:lnTo>
                <a:pt x="483701" y="2154819"/>
              </a:lnTo>
              <a:lnTo>
                <a:pt x="2416592" y="155549"/>
              </a:lnTo>
              <a:lnTo>
                <a:pt x="2566976" y="0"/>
              </a:lnTo>
              <a:lnTo>
                <a:pt x="2530718" y="0"/>
              </a:lnTo>
              <a:lnTo>
                <a:pt x="2381642" y="154195"/>
              </a:lnTo>
              <a:lnTo>
                <a:pt x="465572" y="2136067"/>
              </a:lnTo>
              <a:lnTo>
                <a:pt x="315842" y="22909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0.42762</cdr:x>
      <cdr:y>0.25627</cdr:y>
    </cdr:from>
    <cdr:to>
      <cdr:x>0.76806</cdr:x>
      <cdr:y>0.59432</cdr:y>
    </cdr:to>
    <cdr:sp macro="" textlink="">
      <cdr:nvSpPr>
        <cdr:cNvPr id="57" name="FracNo 120 StartRow 812">
          <a:extLst xmlns:a="http://schemas.openxmlformats.org/drawingml/2006/main">
            <a:ext uri="{FF2B5EF4-FFF2-40B4-BE49-F238E27FC236}">
              <a16:creationId xmlns:a16="http://schemas.microsoft.com/office/drawing/2014/main" id="{AA4D5991-42AE-CC4B-AEFA-80DBF62F0602}"/>
            </a:ext>
          </a:extLst>
        </cdr:cNvPr>
        <cdr:cNvSpPr/>
      </cdr:nvSpPr>
      <cdr:spPr>
        <a:xfrm xmlns:a="http://schemas.openxmlformats.org/drawingml/2006/main">
          <a:off x="3128099" y="1952757"/>
          <a:ext cx="2490418" cy="2575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0418" h="2575944">
              <a:moveTo>
                <a:pt x="43972" y="2511710"/>
              </a:moveTo>
              <a:lnTo>
                <a:pt x="0" y="2557192"/>
              </a:lnTo>
              <a:lnTo>
                <a:pt x="18130" y="2575943"/>
              </a:lnTo>
              <a:lnTo>
                <a:pt x="62101" y="2530462"/>
              </a:lnTo>
              <a:lnTo>
                <a:pt x="1683774" y="853098"/>
              </a:lnTo>
              <a:lnTo>
                <a:pt x="1701062" y="835215"/>
              </a:lnTo>
              <a:lnTo>
                <a:pt x="2490417" y="18753"/>
              </a:lnTo>
              <a:lnTo>
                <a:pt x="2472288" y="0"/>
              </a:lnTo>
              <a:lnTo>
                <a:pt x="1682933" y="816463"/>
              </a:lnTo>
              <a:lnTo>
                <a:pt x="1665644" y="8343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0.29254</cdr:x>
      <cdr:y>0.17523</cdr:y>
    </cdr:from>
    <cdr:to>
      <cdr:x>0.63232</cdr:x>
      <cdr:y>0.51262</cdr:y>
    </cdr:to>
    <cdr:sp macro="" textlink="">
      <cdr:nvSpPr>
        <cdr:cNvPr id="58" name="FracNo 670 StartRow 825">
          <a:extLst xmlns:a="http://schemas.openxmlformats.org/drawingml/2006/main">
            <a:ext uri="{FF2B5EF4-FFF2-40B4-BE49-F238E27FC236}">
              <a16:creationId xmlns:a16="http://schemas.microsoft.com/office/drawing/2014/main" id="{49F4BA20-05F5-DBB2-76D3-F14B00CD32AF}"/>
            </a:ext>
          </a:extLst>
        </cdr:cNvPr>
        <cdr:cNvSpPr/>
      </cdr:nvSpPr>
      <cdr:spPr>
        <a:xfrm xmlns:a="http://schemas.openxmlformats.org/drawingml/2006/main">
          <a:off x="2140009" y="1335220"/>
          <a:ext cx="2485556" cy="2570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5556" h="2570915">
              <a:moveTo>
                <a:pt x="293141" y="2248954"/>
              </a:moveTo>
              <a:lnTo>
                <a:pt x="0" y="2552162"/>
              </a:lnTo>
              <a:lnTo>
                <a:pt x="18129" y="2570914"/>
              </a:lnTo>
              <a:lnTo>
                <a:pt x="311270" y="2267706"/>
              </a:lnTo>
              <a:lnTo>
                <a:pt x="614942" y="1953605"/>
              </a:lnTo>
              <a:lnTo>
                <a:pt x="1081877" y="1470635"/>
              </a:lnTo>
              <a:lnTo>
                <a:pt x="2485555" y="18752"/>
              </a:lnTo>
              <a:lnTo>
                <a:pt x="2467426" y="0"/>
              </a:lnTo>
              <a:lnTo>
                <a:pt x="1063748" y="1451883"/>
              </a:lnTo>
              <a:lnTo>
                <a:pt x="596813" y="19348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0.16361</cdr:y>
    </cdr:from>
    <cdr:to>
      <cdr:x>0.42983</cdr:x>
      <cdr:y>0.5017</cdr:y>
    </cdr:to>
    <cdr:sp macro="" textlink="">
      <cdr:nvSpPr>
        <cdr:cNvPr id="59" name="FracNo 668 StartRow 838">
          <a:extLst xmlns:a="http://schemas.openxmlformats.org/drawingml/2006/main">
            <a:ext uri="{FF2B5EF4-FFF2-40B4-BE49-F238E27FC236}">
              <a16:creationId xmlns:a16="http://schemas.microsoft.com/office/drawing/2014/main" id="{614FBF4A-D525-83FA-7516-8F914CDA945F}"/>
            </a:ext>
          </a:extLst>
        </cdr:cNvPr>
        <cdr:cNvSpPr/>
      </cdr:nvSpPr>
      <cdr:spPr>
        <a:xfrm xmlns:a="http://schemas.openxmlformats.org/drawingml/2006/main">
          <a:off x="671676" y="1246685"/>
          <a:ext cx="2472609" cy="2576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2609" h="2576276">
              <a:moveTo>
                <a:pt x="587149" y="1968962"/>
              </a:moveTo>
              <a:lnTo>
                <a:pt x="0" y="2576275"/>
              </a:lnTo>
              <a:lnTo>
                <a:pt x="0" y="2538771"/>
              </a:lnTo>
              <a:lnTo>
                <a:pt x="576324" y="1942655"/>
              </a:lnTo>
              <a:lnTo>
                <a:pt x="965206" y="1540418"/>
              </a:lnTo>
              <a:lnTo>
                <a:pt x="2065146" y="402704"/>
              </a:lnTo>
              <a:lnTo>
                <a:pt x="2454479" y="0"/>
              </a:lnTo>
              <a:lnTo>
                <a:pt x="2472608" y="18752"/>
              </a:lnTo>
              <a:lnTo>
                <a:pt x="2083275" y="421456"/>
              </a:lnTo>
              <a:lnTo>
                <a:pt x="983335" y="15591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0.2071</cdr:x>
      <cdr:y>0.59481</cdr:y>
    </cdr:from>
    <cdr:to>
      <cdr:x>0.54724</cdr:x>
      <cdr:y>0.9301</cdr:y>
    </cdr:to>
    <cdr:sp macro="" textlink="">
      <cdr:nvSpPr>
        <cdr:cNvPr id="60" name="FracNo 110 StartRow 851">
          <a:extLst xmlns:a="http://schemas.openxmlformats.org/drawingml/2006/main">
            <a:ext uri="{FF2B5EF4-FFF2-40B4-BE49-F238E27FC236}">
              <a16:creationId xmlns:a16="http://schemas.microsoft.com/office/drawing/2014/main" id="{566C90FD-3B7F-104A-D412-0C759C0543E4}"/>
            </a:ext>
          </a:extLst>
        </cdr:cNvPr>
        <cdr:cNvSpPr/>
      </cdr:nvSpPr>
      <cdr:spPr>
        <a:xfrm xmlns:a="http://schemas.openxmlformats.org/drawingml/2006/main">
          <a:off x="1514990" y="4532472"/>
          <a:ext cx="2488196" cy="2554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8196" h="2554894">
              <a:moveTo>
                <a:pt x="2153285" y="327660"/>
              </a:moveTo>
              <a:lnTo>
                <a:pt x="2083276" y="400074"/>
              </a:lnTo>
              <a:lnTo>
                <a:pt x="1218067" y="1294995"/>
              </a:lnTo>
              <a:lnTo>
                <a:pt x="0" y="2554893"/>
              </a:lnTo>
              <a:lnTo>
                <a:pt x="36259" y="2554893"/>
              </a:lnTo>
              <a:lnTo>
                <a:pt x="1243726" y="1305959"/>
              </a:lnTo>
              <a:lnTo>
                <a:pt x="2101404" y="418826"/>
              </a:lnTo>
              <a:lnTo>
                <a:pt x="2171414" y="346412"/>
              </a:lnTo>
              <a:lnTo>
                <a:pt x="2488195" y="18752"/>
              </a:lnTo>
              <a:lnTo>
                <a:pt x="24700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0.15493</cdr:x>
      <cdr:y>0.59821</cdr:y>
    </cdr:from>
    <cdr:to>
      <cdr:x>0.49165</cdr:x>
      <cdr:y>0.9301</cdr:y>
    </cdr:to>
    <cdr:sp macro="" textlink="">
      <cdr:nvSpPr>
        <cdr:cNvPr id="61" name="FracNo 728 StartRow 864">
          <a:extLst xmlns:a="http://schemas.openxmlformats.org/drawingml/2006/main">
            <a:ext uri="{FF2B5EF4-FFF2-40B4-BE49-F238E27FC236}">
              <a16:creationId xmlns:a16="http://schemas.microsoft.com/office/drawing/2014/main" id="{B3E31D08-5E01-7919-D971-C526E295EA2F}"/>
            </a:ext>
          </a:extLst>
        </cdr:cNvPr>
        <cdr:cNvSpPr/>
      </cdr:nvSpPr>
      <cdr:spPr>
        <a:xfrm xmlns:a="http://schemas.openxmlformats.org/drawingml/2006/main">
          <a:off x="1133330" y="4558360"/>
          <a:ext cx="2463168" cy="2529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3168" h="2529006">
              <a:moveTo>
                <a:pt x="334720" y="2182790"/>
              </a:moveTo>
              <a:lnTo>
                <a:pt x="0" y="2529005"/>
              </a:lnTo>
              <a:lnTo>
                <a:pt x="36258" y="2529005"/>
              </a:lnTo>
              <a:lnTo>
                <a:pt x="367194" y="2186704"/>
              </a:lnTo>
              <a:lnTo>
                <a:pt x="1621621" y="889198"/>
              </a:lnTo>
              <a:lnTo>
                <a:pt x="2101404" y="392938"/>
              </a:lnTo>
              <a:lnTo>
                <a:pt x="2463167" y="18752"/>
              </a:lnTo>
              <a:lnTo>
                <a:pt x="2445038" y="0"/>
              </a:lnTo>
              <a:lnTo>
                <a:pt x="2083275" y="374186"/>
              </a:lnTo>
              <a:lnTo>
                <a:pt x="1603492" y="8704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0.38787</cdr:x>
      <cdr:y>0.24606</cdr:y>
    </cdr:from>
    <cdr:to>
      <cdr:x>0.72314</cdr:x>
      <cdr:y>0.57897</cdr:y>
    </cdr:to>
    <cdr:sp macro="" textlink="">
      <cdr:nvSpPr>
        <cdr:cNvPr id="62" name="FracNo 352 StartRow 877">
          <a:extLst xmlns:a="http://schemas.openxmlformats.org/drawingml/2006/main">
            <a:ext uri="{FF2B5EF4-FFF2-40B4-BE49-F238E27FC236}">
              <a16:creationId xmlns:a16="http://schemas.microsoft.com/office/drawing/2014/main" id="{25703785-10F7-08C5-8C00-FCD7046E4BB8}"/>
            </a:ext>
          </a:extLst>
        </cdr:cNvPr>
        <cdr:cNvSpPr/>
      </cdr:nvSpPr>
      <cdr:spPr>
        <a:xfrm xmlns:a="http://schemas.openxmlformats.org/drawingml/2006/main">
          <a:off x="2837349" y="1874997"/>
          <a:ext cx="2452555" cy="2536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2555" h="2536780">
              <a:moveTo>
                <a:pt x="1797568" y="696231"/>
              </a:moveTo>
              <a:lnTo>
                <a:pt x="1570732" y="930858"/>
              </a:lnTo>
              <a:lnTo>
                <a:pt x="18130" y="2536779"/>
              </a:lnTo>
              <a:lnTo>
                <a:pt x="0" y="2518027"/>
              </a:lnTo>
              <a:lnTo>
                <a:pt x="1552602" y="912106"/>
              </a:lnTo>
              <a:lnTo>
                <a:pt x="1779439" y="677479"/>
              </a:lnTo>
              <a:lnTo>
                <a:pt x="1973683" y="476565"/>
              </a:lnTo>
              <a:lnTo>
                <a:pt x="2434425" y="0"/>
              </a:lnTo>
              <a:lnTo>
                <a:pt x="2452554" y="18752"/>
              </a:lnTo>
              <a:lnTo>
                <a:pt x="1991812" y="4953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0.614</cdr:x>
      <cdr:y>0.38149</cdr:y>
    </cdr:from>
    <cdr:to>
      <cdr:x>0.94246</cdr:x>
      <cdr:y>0.70764</cdr:y>
    </cdr:to>
    <cdr:sp macro="" textlink="">
      <cdr:nvSpPr>
        <cdr:cNvPr id="63" name="FracNo 500 StartRow 890">
          <a:extLst xmlns:a="http://schemas.openxmlformats.org/drawingml/2006/main">
            <a:ext uri="{FF2B5EF4-FFF2-40B4-BE49-F238E27FC236}">
              <a16:creationId xmlns:a16="http://schemas.microsoft.com/office/drawing/2014/main" id="{74959A0C-1B21-48B9-4882-B2F9CF2A3C79}"/>
            </a:ext>
          </a:extLst>
        </cdr:cNvPr>
        <cdr:cNvSpPr/>
      </cdr:nvSpPr>
      <cdr:spPr>
        <a:xfrm xmlns:a="http://schemas.openxmlformats.org/drawingml/2006/main">
          <a:off x="4491506" y="2906920"/>
          <a:ext cx="2402802" cy="2485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2802" h="2485320">
              <a:moveTo>
                <a:pt x="22309" y="2462244"/>
              </a:moveTo>
              <a:lnTo>
                <a:pt x="0" y="2485319"/>
              </a:lnTo>
              <a:lnTo>
                <a:pt x="0" y="2485319"/>
              </a:lnTo>
              <a:lnTo>
                <a:pt x="22309" y="2462244"/>
              </a:lnTo>
              <a:lnTo>
                <a:pt x="328591" y="2145443"/>
              </a:lnTo>
              <a:lnTo>
                <a:pt x="435365" y="2035002"/>
              </a:lnTo>
              <a:lnTo>
                <a:pt x="2402801" y="0"/>
              </a:lnTo>
              <a:lnTo>
                <a:pt x="2402801" y="0"/>
              </a:lnTo>
              <a:lnTo>
                <a:pt x="435365" y="2035002"/>
              </a:lnTo>
              <a:lnTo>
                <a:pt x="328591" y="21454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0.37565</cdr:x>
      <cdr:y>0.55868</cdr:y>
    </cdr:from>
    <cdr:to>
      <cdr:x>0.70348</cdr:x>
      <cdr:y>0.88421</cdr:y>
    </cdr:to>
    <cdr:sp macro="" textlink="">
      <cdr:nvSpPr>
        <cdr:cNvPr id="64" name="FracNo 498 StartRow 903">
          <a:extLst xmlns:a="http://schemas.openxmlformats.org/drawingml/2006/main">
            <a:ext uri="{FF2B5EF4-FFF2-40B4-BE49-F238E27FC236}">
              <a16:creationId xmlns:a16="http://schemas.microsoft.com/office/drawing/2014/main" id="{E5533BDF-BD06-5699-B635-7EB5D7F0BCE6}"/>
            </a:ext>
          </a:extLst>
        </cdr:cNvPr>
        <cdr:cNvSpPr/>
      </cdr:nvSpPr>
      <cdr:spPr>
        <a:xfrm xmlns:a="http://schemas.openxmlformats.org/drawingml/2006/main">
          <a:off x="2747919" y="4257139"/>
          <a:ext cx="2398165" cy="2480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8165" h="2480523">
              <a:moveTo>
                <a:pt x="222566" y="2250313"/>
              </a:moveTo>
              <a:lnTo>
                <a:pt x="0" y="2480522"/>
              </a:lnTo>
              <a:lnTo>
                <a:pt x="0" y="2480522"/>
              </a:lnTo>
              <a:lnTo>
                <a:pt x="222566" y="2250313"/>
              </a:lnTo>
              <a:lnTo>
                <a:pt x="1736117" y="684783"/>
              </a:lnTo>
              <a:lnTo>
                <a:pt x="2072178" y="337181"/>
              </a:lnTo>
              <a:lnTo>
                <a:pt x="2398164" y="0"/>
              </a:lnTo>
              <a:lnTo>
                <a:pt x="2398164" y="0"/>
              </a:lnTo>
              <a:lnTo>
                <a:pt x="2072178" y="337181"/>
              </a:lnTo>
              <a:lnTo>
                <a:pt x="1736117" y="6847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0.38086</cdr:x>
      <cdr:y>0.56386</cdr:y>
    </cdr:from>
    <cdr:to>
      <cdr:x>0.71117</cdr:x>
      <cdr:y>0.89185</cdr:y>
    </cdr:to>
    <cdr:sp macro="" textlink="">
      <cdr:nvSpPr>
        <cdr:cNvPr id="65" name="FracNo 503 StartRow 916">
          <a:extLst xmlns:a="http://schemas.openxmlformats.org/drawingml/2006/main">
            <a:ext uri="{FF2B5EF4-FFF2-40B4-BE49-F238E27FC236}">
              <a16:creationId xmlns:a16="http://schemas.microsoft.com/office/drawing/2014/main" id="{8AB5B260-7A5F-6230-2166-AA4C5DD927AE}"/>
            </a:ext>
          </a:extLst>
        </cdr:cNvPr>
        <cdr:cNvSpPr/>
      </cdr:nvSpPr>
      <cdr:spPr>
        <a:xfrm xmlns:a="http://schemas.openxmlformats.org/drawingml/2006/main">
          <a:off x="2786056" y="4296587"/>
          <a:ext cx="2416294" cy="2499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6294" h="2499274">
              <a:moveTo>
                <a:pt x="1457409" y="1010566"/>
              </a:moveTo>
              <a:lnTo>
                <a:pt x="18129" y="2499273"/>
              </a:lnTo>
              <a:lnTo>
                <a:pt x="0" y="2480521"/>
              </a:lnTo>
              <a:lnTo>
                <a:pt x="1439279" y="991814"/>
              </a:lnTo>
              <a:lnTo>
                <a:pt x="1783319" y="635959"/>
              </a:lnTo>
              <a:lnTo>
                <a:pt x="2024976" y="386003"/>
              </a:lnTo>
              <a:lnTo>
                <a:pt x="2398164" y="0"/>
              </a:lnTo>
              <a:lnTo>
                <a:pt x="2416293" y="18751"/>
              </a:lnTo>
              <a:lnTo>
                <a:pt x="2043105" y="404755"/>
              </a:lnTo>
              <a:lnTo>
                <a:pt x="1801448" y="6547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0.61294</cdr:x>
      <cdr:y>0.60289</cdr:y>
    </cdr:from>
    <cdr:to>
      <cdr:x>0.94246</cdr:x>
      <cdr:y>0.9301</cdr:y>
    </cdr:to>
    <cdr:sp macro="" textlink="">
      <cdr:nvSpPr>
        <cdr:cNvPr id="66" name="FracNo 265 StartRow 929">
          <a:extLst xmlns:a="http://schemas.openxmlformats.org/drawingml/2006/main">
            <a:ext uri="{FF2B5EF4-FFF2-40B4-BE49-F238E27FC236}">
              <a16:creationId xmlns:a16="http://schemas.microsoft.com/office/drawing/2014/main" id="{E5CE2D33-4F4D-808D-7BD6-D8D83AD304C2}"/>
            </a:ext>
          </a:extLst>
        </cdr:cNvPr>
        <cdr:cNvSpPr/>
      </cdr:nvSpPr>
      <cdr:spPr>
        <a:xfrm xmlns:a="http://schemas.openxmlformats.org/drawingml/2006/main">
          <a:off x="4483778" y="4594054"/>
          <a:ext cx="2410530" cy="2493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0530" h="2493312">
              <a:moveTo>
                <a:pt x="1369772" y="1076498"/>
              </a:moveTo>
              <a:lnTo>
                <a:pt x="320311" y="2162000"/>
              </a:lnTo>
              <a:lnTo>
                <a:pt x="0" y="2493311"/>
              </a:lnTo>
              <a:lnTo>
                <a:pt x="36259" y="2493311"/>
              </a:lnTo>
              <a:lnTo>
                <a:pt x="352327" y="2166388"/>
              </a:lnTo>
              <a:lnTo>
                <a:pt x="1386111" y="1097102"/>
              </a:lnTo>
              <a:lnTo>
                <a:pt x="2095133" y="363731"/>
              </a:lnTo>
              <a:lnTo>
                <a:pt x="2410529" y="37503"/>
              </a:lnTo>
              <a:lnTo>
                <a:pt x="2410529" y="0"/>
              </a:lnTo>
              <a:lnTo>
                <a:pt x="2089547" y="3320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0.27936</cdr:x>
      <cdr:y>0.61251</cdr:y>
    </cdr:from>
    <cdr:to>
      <cdr:x>0.60168</cdr:x>
      <cdr:y>0.9301</cdr:y>
    </cdr:to>
    <cdr:sp macro="" textlink="">
      <cdr:nvSpPr>
        <cdr:cNvPr id="67" name="FracNo 513 StartRow 942">
          <a:extLst xmlns:a="http://schemas.openxmlformats.org/drawingml/2006/main">
            <a:ext uri="{FF2B5EF4-FFF2-40B4-BE49-F238E27FC236}">
              <a16:creationId xmlns:a16="http://schemas.microsoft.com/office/drawing/2014/main" id="{15310253-2045-785F-0B7F-AA62B1652BA5}"/>
            </a:ext>
          </a:extLst>
        </cdr:cNvPr>
        <cdr:cNvSpPr/>
      </cdr:nvSpPr>
      <cdr:spPr>
        <a:xfrm xmlns:a="http://schemas.openxmlformats.org/drawingml/2006/main">
          <a:off x="2043577" y="4667315"/>
          <a:ext cx="2357831" cy="2420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7831" h="2420051">
              <a:moveTo>
                <a:pt x="1928603" y="425215"/>
              </a:moveTo>
              <a:lnTo>
                <a:pt x="687410" y="1709033"/>
              </a:lnTo>
              <a:lnTo>
                <a:pt x="0" y="2420050"/>
              </a:lnTo>
              <a:lnTo>
                <a:pt x="36259" y="2420050"/>
              </a:lnTo>
              <a:lnTo>
                <a:pt x="717209" y="1715715"/>
              </a:lnTo>
              <a:lnTo>
                <a:pt x="1948025" y="442629"/>
              </a:lnTo>
              <a:lnTo>
                <a:pt x="2101404" y="283983"/>
              </a:lnTo>
              <a:lnTo>
                <a:pt x="2357830" y="18752"/>
              </a:lnTo>
              <a:lnTo>
                <a:pt x="2339700" y="0"/>
              </a:lnTo>
              <a:lnTo>
                <a:pt x="2083275" y="2652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0.43953</cdr:x>
      <cdr:y>0.35402</cdr:y>
    </cdr:from>
    <cdr:to>
      <cdr:x>0.75784</cdr:x>
      <cdr:y>0.6701</cdr:y>
    </cdr:to>
    <cdr:sp macro="" textlink="">
      <cdr:nvSpPr>
        <cdr:cNvPr id="68" name="FracNo 729 StartRow 955">
          <a:extLst xmlns:a="http://schemas.openxmlformats.org/drawingml/2006/main">
            <a:ext uri="{FF2B5EF4-FFF2-40B4-BE49-F238E27FC236}">
              <a16:creationId xmlns:a16="http://schemas.microsoft.com/office/drawing/2014/main" id="{9BF0FA29-9909-C126-05AA-6A513CB86265}"/>
            </a:ext>
          </a:extLst>
        </cdr:cNvPr>
        <cdr:cNvSpPr/>
      </cdr:nvSpPr>
      <cdr:spPr>
        <a:xfrm xmlns:a="http://schemas.openxmlformats.org/drawingml/2006/main">
          <a:off x="3215228" y="2697629"/>
          <a:ext cx="2328555" cy="2408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8555" h="2408522">
              <a:moveTo>
                <a:pt x="1552328" y="821635"/>
              </a:moveTo>
              <a:lnTo>
                <a:pt x="167840" y="2253669"/>
              </a:lnTo>
              <a:lnTo>
                <a:pt x="18129" y="2408521"/>
              </a:lnTo>
              <a:lnTo>
                <a:pt x="0" y="2389769"/>
              </a:lnTo>
              <a:lnTo>
                <a:pt x="149711" y="2234917"/>
              </a:lnTo>
              <a:lnTo>
                <a:pt x="1534199" y="802883"/>
              </a:lnTo>
              <a:lnTo>
                <a:pt x="1595804" y="739162"/>
              </a:lnTo>
              <a:lnTo>
                <a:pt x="2223921" y="89474"/>
              </a:lnTo>
              <a:lnTo>
                <a:pt x="2310424" y="0"/>
              </a:lnTo>
              <a:lnTo>
                <a:pt x="2328554" y="18752"/>
              </a:lnTo>
              <a:lnTo>
                <a:pt x="2242051" y="108226"/>
              </a:lnTo>
              <a:lnTo>
                <a:pt x="1613933" y="7579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0.48614</cdr:x>
      <cdr:y>0.08544</cdr:y>
    </cdr:from>
    <cdr:to>
      <cdr:x>0.8052</cdr:x>
      <cdr:y>0.39979</cdr:y>
    </cdr:to>
    <cdr:sp macro="" textlink="">
      <cdr:nvSpPr>
        <cdr:cNvPr id="69" name="FracNo 107 StartRow 970">
          <a:extLst xmlns:a="http://schemas.openxmlformats.org/drawingml/2006/main">
            <a:ext uri="{FF2B5EF4-FFF2-40B4-BE49-F238E27FC236}">
              <a16:creationId xmlns:a16="http://schemas.microsoft.com/office/drawing/2014/main" id="{26C201EC-C89E-7709-3C95-CB5333B8F915}"/>
            </a:ext>
          </a:extLst>
        </cdr:cNvPr>
        <cdr:cNvSpPr/>
      </cdr:nvSpPr>
      <cdr:spPr>
        <a:xfrm xmlns:a="http://schemas.openxmlformats.org/drawingml/2006/main">
          <a:off x="3556232" y="651036"/>
          <a:ext cx="2333935" cy="2395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3935" h="2395335">
              <a:moveTo>
                <a:pt x="50616" y="2361731"/>
              </a:moveTo>
              <a:lnTo>
                <a:pt x="18129" y="2395334"/>
              </a:lnTo>
              <a:lnTo>
                <a:pt x="0" y="2376582"/>
              </a:lnTo>
              <a:lnTo>
                <a:pt x="32487" y="2342980"/>
              </a:lnTo>
              <a:lnTo>
                <a:pt x="232529" y="2136067"/>
              </a:lnTo>
              <a:lnTo>
                <a:pt x="1250332" y="1083311"/>
              </a:lnTo>
              <a:lnTo>
                <a:pt x="2297675" y="0"/>
              </a:lnTo>
              <a:lnTo>
                <a:pt x="2333934" y="0"/>
              </a:lnTo>
              <a:lnTo>
                <a:pt x="1277397" y="1092821"/>
              </a:lnTo>
              <a:lnTo>
                <a:pt x="250659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0.41943</cdr:y>
    </cdr:from>
    <cdr:to>
      <cdr:x>0.40823</cdr:x>
      <cdr:y>0.73608</cdr:y>
    </cdr:to>
    <cdr:sp macro="" textlink="">
      <cdr:nvSpPr>
        <cdr:cNvPr id="70" name="FracNo 669 StartRow 983">
          <a:extLst xmlns:a="http://schemas.openxmlformats.org/drawingml/2006/main">
            <a:ext uri="{FF2B5EF4-FFF2-40B4-BE49-F238E27FC236}">
              <a16:creationId xmlns:a16="http://schemas.microsoft.com/office/drawing/2014/main" id="{4BB9D727-EA9F-1FFB-3B44-D2154C0B77AD}"/>
            </a:ext>
          </a:extLst>
        </cdr:cNvPr>
        <cdr:cNvSpPr/>
      </cdr:nvSpPr>
      <cdr:spPr>
        <a:xfrm xmlns:a="http://schemas.openxmlformats.org/drawingml/2006/main">
          <a:off x="671676" y="3196081"/>
          <a:ext cx="2314631" cy="2412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4631" h="2412873">
              <a:moveTo>
                <a:pt x="1494779" y="866759"/>
              </a:moveTo>
              <a:lnTo>
                <a:pt x="630573" y="1760643"/>
              </a:lnTo>
              <a:lnTo>
                <a:pt x="0" y="2412872"/>
              </a:lnTo>
              <a:lnTo>
                <a:pt x="0" y="2375368"/>
              </a:lnTo>
              <a:lnTo>
                <a:pt x="622936" y="1731039"/>
              </a:lnTo>
              <a:lnTo>
                <a:pt x="1480900" y="843610"/>
              </a:lnTo>
              <a:lnTo>
                <a:pt x="2065146" y="239301"/>
              </a:lnTo>
              <a:lnTo>
                <a:pt x="2296501" y="0"/>
              </a:lnTo>
              <a:lnTo>
                <a:pt x="2314630" y="18752"/>
              </a:lnTo>
              <a:lnTo>
                <a:pt x="2083275" y="2580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0.2201</cdr:y>
    </cdr:from>
    <cdr:to>
      <cdr:x>0.40467</cdr:x>
      <cdr:y>0.53075</cdr:y>
    </cdr:to>
    <cdr:sp macro="" textlink="">
      <cdr:nvSpPr>
        <cdr:cNvPr id="71" name="FracNo 569 StartRow 996">
          <a:extLst xmlns:a="http://schemas.openxmlformats.org/drawingml/2006/main">
            <a:ext uri="{FF2B5EF4-FFF2-40B4-BE49-F238E27FC236}">
              <a16:creationId xmlns:a16="http://schemas.microsoft.com/office/drawing/2014/main" id="{008B7DD6-0815-B17D-267D-65B20E1CED8A}"/>
            </a:ext>
          </a:extLst>
        </cdr:cNvPr>
        <cdr:cNvSpPr/>
      </cdr:nvSpPr>
      <cdr:spPr>
        <a:xfrm xmlns:a="http://schemas.openxmlformats.org/drawingml/2006/main">
          <a:off x="671676" y="1677128"/>
          <a:ext cx="2288596" cy="2367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8596" h="2367191">
              <a:moveTo>
                <a:pt x="1672619" y="637131"/>
              </a:moveTo>
              <a:lnTo>
                <a:pt x="1206409" y="1119351"/>
              </a:lnTo>
              <a:lnTo>
                <a:pt x="0" y="2367190"/>
              </a:lnTo>
              <a:lnTo>
                <a:pt x="0" y="2367190"/>
              </a:lnTo>
              <a:lnTo>
                <a:pt x="1206409" y="1119351"/>
              </a:lnTo>
              <a:lnTo>
                <a:pt x="1672619" y="637131"/>
              </a:lnTo>
              <a:lnTo>
                <a:pt x="2074210" y="221747"/>
              </a:lnTo>
              <a:lnTo>
                <a:pt x="2288595" y="0"/>
              </a:lnTo>
              <a:lnTo>
                <a:pt x="2288595" y="0"/>
              </a:lnTo>
              <a:lnTo>
                <a:pt x="2074210" y="2217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0.62844</cdr:x>
      <cdr:y>0.61829</cdr:y>
    </cdr:from>
    <cdr:to>
      <cdr:x>0.94246</cdr:x>
      <cdr:y>0.9301</cdr:y>
    </cdr:to>
    <cdr:sp macro="" textlink="">
      <cdr:nvSpPr>
        <cdr:cNvPr id="72" name="FracNo 274 StartRow 1009">
          <a:extLst xmlns:a="http://schemas.openxmlformats.org/drawingml/2006/main">
            <a:ext uri="{FF2B5EF4-FFF2-40B4-BE49-F238E27FC236}">
              <a16:creationId xmlns:a16="http://schemas.microsoft.com/office/drawing/2014/main" id="{DB1BA31C-72BF-427A-339D-1B6F2749BB21}"/>
            </a:ext>
          </a:extLst>
        </cdr:cNvPr>
        <cdr:cNvSpPr/>
      </cdr:nvSpPr>
      <cdr:spPr>
        <a:xfrm xmlns:a="http://schemas.openxmlformats.org/drawingml/2006/main">
          <a:off x="4597192" y="4711362"/>
          <a:ext cx="2297116" cy="2376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7116" h="2376004">
              <a:moveTo>
                <a:pt x="962131" y="1380831"/>
              </a:moveTo>
              <a:lnTo>
                <a:pt x="206721" y="2162183"/>
              </a:lnTo>
              <a:lnTo>
                <a:pt x="0" y="2376003"/>
              </a:lnTo>
              <a:lnTo>
                <a:pt x="36259" y="2376003"/>
              </a:lnTo>
              <a:lnTo>
                <a:pt x="239089" y="2166207"/>
              </a:lnTo>
              <a:lnTo>
                <a:pt x="982645" y="1397115"/>
              </a:lnTo>
              <a:lnTo>
                <a:pt x="2093741" y="247862"/>
              </a:lnTo>
              <a:lnTo>
                <a:pt x="2297115" y="37504"/>
              </a:lnTo>
              <a:lnTo>
                <a:pt x="2297115" y="0"/>
              </a:lnTo>
              <a:lnTo>
                <a:pt x="2090939" y="2132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0.63167</cdr:x>
      <cdr:y>0.56022</cdr:y>
    </cdr:from>
    <cdr:to>
      <cdr:x>0.94246</cdr:x>
      <cdr:y>0.87129</cdr:y>
    </cdr:to>
    <cdr:sp macro="" textlink="">
      <cdr:nvSpPr>
        <cdr:cNvPr id="73" name="FracNo 191 StartRow 1022">
          <a:extLst xmlns:a="http://schemas.openxmlformats.org/drawingml/2006/main">
            <a:ext uri="{FF2B5EF4-FFF2-40B4-BE49-F238E27FC236}">
              <a16:creationId xmlns:a16="http://schemas.microsoft.com/office/drawing/2014/main" id="{EC704D99-DC45-60D2-6386-486AC5614D12}"/>
            </a:ext>
          </a:extLst>
        </cdr:cNvPr>
        <cdr:cNvSpPr/>
      </cdr:nvSpPr>
      <cdr:spPr>
        <a:xfrm xmlns:a="http://schemas.openxmlformats.org/drawingml/2006/main">
          <a:off x="4620817" y="4268907"/>
          <a:ext cx="2273491" cy="2370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3491" h="2370319">
              <a:moveTo>
                <a:pt x="1784716" y="543064"/>
              </a:moveTo>
              <a:lnTo>
                <a:pt x="1650014" y="682391"/>
              </a:lnTo>
              <a:lnTo>
                <a:pt x="208344" y="2173571"/>
              </a:lnTo>
              <a:lnTo>
                <a:pt x="18129" y="2370318"/>
              </a:lnTo>
              <a:lnTo>
                <a:pt x="0" y="2351566"/>
              </a:lnTo>
              <a:lnTo>
                <a:pt x="190215" y="2154819"/>
              </a:lnTo>
              <a:lnTo>
                <a:pt x="1631885" y="663639"/>
              </a:lnTo>
              <a:lnTo>
                <a:pt x="1770503" y="520261"/>
              </a:lnTo>
              <a:lnTo>
                <a:pt x="2273490" y="0"/>
              </a:lnTo>
              <a:lnTo>
                <a:pt x="2273490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0.39063</cdr:x>
      <cdr:y>0.08544</cdr:y>
    </cdr:from>
    <cdr:to>
      <cdr:x>0.70294</cdr:x>
      <cdr:y>0.3931</cdr:y>
    </cdr:to>
    <cdr:sp macro="" textlink="">
      <cdr:nvSpPr>
        <cdr:cNvPr id="74" name="FracNo 344 StartRow 1035">
          <a:extLst xmlns:a="http://schemas.openxmlformats.org/drawingml/2006/main">
            <a:ext uri="{FF2B5EF4-FFF2-40B4-BE49-F238E27FC236}">
              <a16:creationId xmlns:a16="http://schemas.microsoft.com/office/drawing/2014/main" id="{3B804F8D-C291-211A-78C7-F3D9CED3A7EF}"/>
            </a:ext>
          </a:extLst>
        </cdr:cNvPr>
        <cdr:cNvSpPr/>
      </cdr:nvSpPr>
      <cdr:spPr>
        <a:xfrm xmlns:a="http://schemas.openxmlformats.org/drawingml/2006/main">
          <a:off x="2857503" y="651036"/>
          <a:ext cx="2284678" cy="2344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4678" h="2344386">
              <a:moveTo>
                <a:pt x="248379" y="2068725"/>
              </a:moveTo>
              <a:lnTo>
                <a:pt x="183272" y="2136067"/>
              </a:lnTo>
              <a:lnTo>
                <a:pt x="0" y="2325633"/>
              </a:lnTo>
              <a:lnTo>
                <a:pt x="18129" y="2344385"/>
              </a:lnTo>
              <a:lnTo>
                <a:pt x="201402" y="2154819"/>
              </a:lnTo>
              <a:lnTo>
                <a:pt x="267076" y="2086889"/>
              </a:lnTo>
              <a:lnTo>
                <a:pt x="1979351" y="315811"/>
              </a:lnTo>
              <a:lnTo>
                <a:pt x="2284677" y="0"/>
              </a:lnTo>
              <a:lnTo>
                <a:pt x="2248418" y="0"/>
              </a:lnTo>
              <a:lnTo>
                <a:pt x="1945836" y="3129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0.30415</cdr:x>
      <cdr:y>0.08544</cdr:y>
    </cdr:from>
    <cdr:to>
      <cdr:x>0.61338</cdr:x>
      <cdr:y>0.39002</cdr:y>
    </cdr:to>
    <cdr:sp macro="" textlink="">
      <cdr:nvSpPr>
        <cdr:cNvPr id="75" name="FracNo 353 StartRow 1048">
          <a:extLst xmlns:a="http://schemas.openxmlformats.org/drawingml/2006/main">
            <a:ext uri="{FF2B5EF4-FFF2-40B4-BE49-F238E27FC236}">
              <a16:creationId xmlns:a16="http://schemas.microsoft.com/office/drawing/2014/main" id="{4B455A0C-710F-93EE-45DB-5E42938F1BBA}"/>
            </a:ext>
          </a:extLst>
        </cdr:cNvPr>
        <cdr:cNvSpPr/>
      </cdr:nvSpPr>
      <cdr:spPr>
        <a:xfrm xmlns:a="http://schemas.openxmlformats.org/drawingml/2006/main">
          <a:off x="2224946" y="651036"/>
          <a:ext cx="2262023" cy="2320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2023" h="2320953">
              <a:moveTo>
                <a:pt x="655580" y="1661610"/>
              </a:moveTo>
              <a:lnTo>
                <a:pt x="530005" y="1791498"/>
              </a:lnTo>
              <a:lnTo>
                <a:pt x="178747" y="2154819"/>
              </a:lnTo>
              <a:lnTo>
                <a:pt x="18129" y="2320952"/>
              </a:lnTo>
              <a:lnTo>
                <a:pt x="0" y="2302200"/>
              </a:lnTo>
              <a:lnTo>
                <a:pt x="160617" y="2136067"/>
              </a:lnTo>
              <a:lnTo>
                <a:pt x="511876" y="1772746"/>
              </a:lnTo>
              <a:lnTo>
                <a:pt x="636136" y="1644218"/>
              </a:lnTo>
              <a:lnTo>
                <a:pt x="2225763" y="0"/>
              </a:lnTo>
              <a:lnTo>
                <a:pt x="22620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0.6368</cdr:x>
      <cdr:y>0.62658</cdr:y>
    </cdr:from>
    <cdr:to>
      <cdr:x>0.94246</cdr:x>
      <cdr:y>0.9301</cdr:y>
    </cdr:to>
    <cdr:sp macro="" textlink="">
      <cdr:nvSpPr>
        <cdr:cNvPr id="76" name="FracNo 266 StartRow 1061">
          <a:extLst xmlns:a="http://schemas.openxmlformats.org/drawingml/2006/main">
            <a:ext uri="{FF2B5EF4-FFF2-40B4-BE49-F238E27FC236}">
              <a16:creationId xmlns:a16="http://schemas.microsoft.com/office/drawing/2014/main" id="{9C496E81-98B9-D92B-C500-E68C65E95751}"/>
            </a:ext>
          </a:extLst>
        </cdr:cNvPr>
        <cdr:cNvSpPr/>
      </cdr:nvSpPr>
      <cdr:spPr>
        <a:xfrm xmlns:a="http://schemas.openxmlformats.org/drawingml/2006/main">
          <a:off x="4658302" y="4774571"/>
          <a:ext cx="2236006" cy="2312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6006" h="2312795">
              <a:moveTo>
                <a:pt x="1581284" y="677206"/>
              </a:moveTo>
              <a:lnTo>
                <a:pt x="144496" y="2163337"/>
              </a:lnTo>
              <a:lnTo>
                <a:pt x="0" y="2312794"/>
              </a:lnTo>
              <a:lnTo>
                <a:pt x="36259" y="2312794"/>
              </a:lnTo>
              <a:lnTo>
                <a:pt x="179094" y="2165053"/>
              </a:lnTo>
              <a:lnTo>
                <a:pt x="1593300" y="702281"/>
              </a:lnTo>
              <a:lnTo>
                <a:pt x="2094348" y="184027"/>
              </a:lnTo>
              <a:lnTo>
                <a:pt x="2236005" y="37504"/>
              </a:lnTo>
              <a:lnTo>
                <a:pt x="2236005" y="0"/>
              </a:lnTo>
              <a:lnTo>
                <a:pt x="2090333" y="1506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0.38827</cdr:y>
    </cdr:from>
    <cdr:to>
      <cdr:x>0.39072</cdr:x>
      <cdr:y>0.68753</cdr:y>
    </cdr:to>
    <cdr:sp macro="" textlink="">
      <cdr:nvSpPr>
        <cdr:cNvPr id="77" name="FracNo 724 StartRow 1074">
          <a:extLst xmlns:a="http://schemas.openxmlformats.org/drawingml/2006/main">
            <a:ext uri="{FF2B5EF4-FFF2-40B4-BE49-F238E27FC236}">
              <a16:creationId xmlns:a16="http://schemas.microsoft.com/office/drawing/2014/main" id="{4E47076A-FB8D-EC29-E8AF-0FD73E257B2D}"/>
            </a:ext>
          </a:extLst>
        </cdr:cNvPr>
        <cdr:cNvSpPr/>
      </cdr:nvSpPr>
      <cdr:spPr>
        <a:xfrm xmlns:a="http://schemas.openxmlformats.org/drawingml/2006/main">
          <a:off x="671676" y="2958639"/>
          <a:ext cx="2186526" cy="2280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6526" h="2280368">
              <a:moveTo>
                <a:pt x="1951636" y="261707"/>
              </a:moveTo>
              <a:lnTo>
                <a:pt x="270346" y="2000737"/>
              </a:lnTo>
              <a:lnTo>
                <a:pt x="0" y="2280367"/>
              </a:lnTo>
              <a:lnTo>
                <a:pt x="0" y="2242863"/>
              </a:lnTo>
              <a:lnTo>
                <a:pt x="267835" y="1965829"/>
              </a:lnTo>
              <a:lnTo>
                <a:pt x="1934641" y="241783"/>
              </a:lnTo>
              <a:lnTo>
                <a:pt x="2065146" y="106796"/>
              </a:lnTo>
              <a:lnTo>
                <a:pt x="2168396" y="0"/>
              </a:lnTo>
              <a:lnTo>
                <a:pt x="2186525" y="18752"/>
              </a:lnTo>
              <a:lnTo>
                <a:pt x="2083275" y="1255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0.5753</cdr:y>
    </cdr:from>
    <cdr:to>
      <cdr:x>0.38913</cdr:x>
      <cdr:y>0.87299</cdr:y>
    </cdr:to>
    <cdr:sp macro="" textlink="">
      <cdr:nvSpPr>
        <cdr:cNvPr id="78" name="FracNo 33 StartRow 1087">
          <a:extLst xmlns:a="http://schemas.openxmlformats.org/drawingml/2006/main">
            <a:ext uri="{FF2B5EF4-FFF2-40B4-BE49-F238E27FC236}">
              <a16:creationId xmlns:a16="http://schemas.microsoft.com/office/drawing/2014/main" id="{62702558-C5AF-8F45-0EC0-551CE43CBE7A}"/>
            </a:ext>
          </a:extLst>
        </cdr:cNvPr>
        <cdr:cNvSpPr/>
      </cdr:nvSpPr>
      <cdr:spPr>
        <a:xfrm xmlns:a="http://schemas.openxmlformats.org/drawingml/2006/main">
          <a:off x="671676" y="4383812"/>
          <a:ext cx="2174897" cy="2268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4897" h="2268340">
              <a:moveTo>
                <a:pt x="384770" y="1832851"/>
              </a:moveTo>
              <a:lnTo>
                <a:pt x="0" y="2230835"/>
              </a:lnTo>
              <a:lnTo>
                <a:pt x="0" y="2268339"/>
              </a:lnTo>
              <a:lnTo>
                <a:pt x="389059" y="1865919"/>
              </a:lnTo>
              <a:lnTo>
                <a:pt x="1644381" y="567486"/>
              </a:lnTo>
              <a:lnTo>
                <a:pt x="2083275" y="113519"/>
              </a:lnTo>
              <a:lnTo>
                <a:pt x="2174896" y="18752"/>
              </a:lnTo>
              <a:lnTo>
                <a:pt x="2156767" y="0"/>
              </a:lnTo>
              <a:lnTo>
                <a:pt x="2065146" y="94767"/>
              </a:lnTo>
              <a:lnTo>
                <a:pt x="1626252" y="5487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0.30776</cdr:x>
      <cdr:y>0.10073</cdr:y>
    </cdr:from>
    <cdr:to>
      <cdr:x>0.60272</cdr:x>
      <cdr:y>0.39361</cdr:y>
    </cdr:to>
    <cdr:sp macro="" textlink="">
      <cdr:nvSpPr>
        <cdr:cNvPr id="79" name="FracNo 730 StartRow 1100">
          <a:extLst xmlns:a="http://schemas.openxmlformats.org/drawingml/2006/main">
            <a:ext uri="{FF2B5EF4-FFF2-40B4-BE49-F238E27FC236}">
              <a16:creationId xmlns:a16="http://schemas.microsoft.com/office/drawing/2014/main" id="{56F1C52F-C81F-8FB0-3D6B-7F4A1B9C9EDA}"/>
            </a:ext>
          </a:extLst>
        </cdr:cNvPr>
        <cdr:cNvSpPr/>
      </cdr:nvSpPr>
      <cdr:spPr>
        <a:xfrm xmlns:a="http://schemas.openxmlformats.org/drawingml/2006/main">
          <a:off x="2251348" y="767527"/>
          <a:ext cx="2157672" cy="2231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7672" h="2231770">
              <a:moveTo>
                <a:pt x="1132456" y="1079175"/>
              </a:moveTo>
              <a:lnTo>
                <a:pt x="503603" y="1729623"/>
              </a:lnTo>
              <a:lnTo>
                <a:pt x="205148" y="2038328"/>
              </a:lnTo>
              <a:lnTo>
                <a:pt x="18129" y="2231769"/>
              </a:lnTo>
              <a:lnTo>
                <a:pt x="0" y="2213018"/>
              </a:lnTo>
              <a:lnTo>
                <a:pt x="187019" y="2019576"/>
              </a:lnTo>
              <a:lnTo>
                <a:pt x="485474" y="1710872"/>
              </a:lnTo>
              <a:lnTo>
                <a:pt x="1114326" y="1060423"/>
              </a:lnTo>
              <a:lnTo>
                <a:pt x="2139542" y="0"/>
              </a:lnTo>
              <a:lnTo>
                <a:pt x="21576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0.34875</cdr:x>
      <cdr:y>0.43632</cdr:y>
    </cdr:from>
    <cdr:to>
      <cdr:x>0.64249</cdr:x>
      <cdr:y>0.72799</cdr:y>
    </cdr:to>
    <cdr:sp macro="" textlink="">
      <cdr:nvSpPr>
        <cdr:cNvPr id="80" name="FracNo 507 StartRow 1113">
          <a:extLst xmlns:a="http://schemas.openxmlformats.org/drawingml/2006/main">
            <a:ext uri="{FF2B5EF4-FFF2-40B4-BE49-F238E27FC236}">
              <a16:creationId xmlns:a16="http://schemas.microsoft.com/office/drawing/2014/main" id="{6AEB10DE-3268-26B4-8086-2D09E75E8660}"/>
            </a:ext>
          </a:extLst>
        </cdr:cNvPr>
        <cdr:cNvSpPr/>
      </cdr:nvSpPr>
      <cdr:spPr>
        <a:xfrm xmlns:a="http://schemas.openxmlformats.org/drawingml/2006/main">
          <a:off x="2551172" y="3324733"/>
          <a:ext cx="2148754" cy="2222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8754" h="2222547">
              <a:moveTo>
                <a:pt x="517710" y="1705809"/>
              </a:moveTo>
              <a:lnTo>
                <a:pt x="203779" y="2030520"/>
              </a:lnTo>
              <a:lnTo>
                <a:pt x="18129" y="2222546"/>
              </a:lnTo>
              <a:lnTo>
                <a:pt x="0" y="2203794"/>
              </a:lnTo>
              <a:lnTo>
                <a:pt x="185650" y="2011768"/>
              </a:lnTo>
              <a:lnTo>
                <a:pt x="499580" y="1687057"/>
              </a:lnTo>
              <a:lnTo>
                <a:pt x="576193" y="1607813"/>
              </a:lnTo>
              <a:lnTo>
                <a:pt x="2130624" y="0"/>
              </a:lnTo>
              <a:lnTo>
                <a:pt x="2148753" y="18751"/>
              </a:lnTo>
              <a:lnTo>
                <a:pt x="594322" y="16265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0.65164</cdr:x>
      <cdr:y>0.64132</cdr:y>
    </cdr:from>
    <cdr:to>
      <cdr:x>0.94246</cdr:x>
      <cdr:y>0.9301</cdr:y>
    </cdr:to>
    <cdr:sp macro="" textlink="">
      <cdr:nvSpPr>
        <cdr:cNvPr id="81" name="FracNo 253 StartRow 1126">
          <a:extLst xmlns:a="http://schemas.openxmlformats.org/drawingml/2006/main">
            <a:ext uri="{FF2B5EF4-FFF2-40B4-BE49-F238E27FC236}">
              <a16:creationId xmlns:a16="http://schemas.microsoft.com/office/drawing/2014/main" id="{6731769C-F249-50CC-7551-CEBD2F3C2D30}"/>
            </a:ext>
          </a:extLst>
        </cdr:cNvPr>
        <cdr:cNvSpPr/>
      </cdr:nvSpPr>
      <cdr:spPr>
        <a:xfrm xmlns:a="http://schemas.openxmlformats.org/drawingml/2006/main">
          <a:off x="4766857" y="4886854"/>
          <a:ext cx="2127451" cy="2200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7451" h="2200512">
              <a:moveTo>
                <a:pt x="1688252" y="454282"/>
              </a:moveTo>
              <a:lnTo>
                <a:pt x="53240" y="2145444"/>
              </a:lnTo>
              <a:lnTo>
                <a:pt x="0" y="2200511"/>
              </a:lnTo>
              <a:lnTo>
                <a:pt x="0" y="2200511"/>
              </a:lnTo>
              <a:lnTo>
                <a:pt x="53240" y="2145444"/>
              </a:lnTo>
              <a:lnTo>
                <a:pt x="1688252" y="454282"/>
              </a:lnTo>
              <a:lnTo>
                <a:pt x="2074211" y="55068"/>
              </a:lnTo>
              <a:lnTo>
                <a:pt x="2127450" y="0"/>
              </a:lnTo>
              <a:lnTo>
                <a:pt x="2127450" y="0"/>
              </a:lnTo>
              <a:lnTo>
                <a:pt x="2074211" y="550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0.65446</cdr:x>
      <cdr:y>0.36439</cdr:y>
    </cdr:from>
    <cdr:to>
      <cdr:x>0.9437</cdr:x>
      <cdr:y>0.65283</cdr:y>
    </cdr:to>
    <cdr:sp macro="" textlink="">
      <cdr:nvSpPr>
        <cdr:cNvPr id="82" name="FracNo 188 StartRow 1139">
          <a:extLst xmlns:a="http://schemas.openxmlformats.org/drawingml/2006/main">
            <a:ext uri="{FF2B5EF4-FFF2-40B4-BE49-F238E27FC236}">
              <a16:creationId xmlns:a16="http://schemas.microsoft.com/office/drawing/2014/main" id="{3E5CCA8A-049F-6245-E035-E3898E976266}"/>
            </a:ext>
          </a:extLst>
        </cdr:cNvPr>
        <cdr:cNvSpPr/>
      </cdr:nvSpPr>
      <cdr:spPr>
        <a:xfrm xmlns:a="http://schemas.openxmlformats.org/drawingml/2006/main">
          <a:off x="4787496" y="2776660"/>
          <a:ext cx="2115877" cy="2197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5877" h="2197917">
              <a:moveTo>
                <a:pt x="644434" y="1512598"/>
              </a:moveTo>
              <a:lnTo>
                <a:pt x="23536" y="2154819"/>
              </a:lnTo>
              <a:lnTo>
                <a:pt x="22505" y="2155886"/>
              </a:lnTo>
              <a:lnTo>
                <a:pt x="0" y="2179164"/>
              </a:lnTo>
              <a:lnTo>
                <a:pt x="18129" y="2197916"/>
              </a:lnTo>
              <a:lnTo>
                <a:pt x="40634" y="2174638"/>
              </a:lnTo>
              <a:lnTo>
                <a:pt x="41665" y="2173571"/>
              </a:lnTo>
              <a:lnTo>
                <a:pt x="659863" y="1534144"/>
              </a:lnTo>
              <a:lnTo>
                <a:pt x="2114845" y="29195"/>
              </a:lnTo>
              <a:lnTo>
                <a:pt x="2115876" y="28128"/>
              </a:lnTo>
              <a:lnTo>
                <a:pt x="2106811" y="0"/>
              </a:lnTo>
              <a:lnTo>
                <a:pt x="2105774" y="10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0.23952</cdr:x>
      <cdr:y>0.08544</cdr:y>
    </cdr:from>
    <cdr:to>
      <cdr:x>0.52897</cdr:x>
      <cdr:y>0.3704</cdr:y>
    </cdr:to>
    <cdr:sp macro="" textlink="">
      <cdr:nvSpPr>
        <cdr:cNvPr id="83" name="FracNo 597 StartRow 1154">
          <a:extLst xmlns:a="http://schemas.openxmlformats.org/drawingml/2006/main">
            <a:ext uri="{FF2B5EF4-FFF2-40B4-BE49-F238E27FC236}">
              <a16:creationId xmlns:a16="http://schemas.microsoft.com/office/drawing/2014/main" id="{CCFE12CA-F446-4BB0-D248-58BF5CDCDB95}"/>
            </a:ext>
          </a:extLst>
        </cdr:cNvPr>
        <cdr:cNvSpPr/>
      </cdr:nvSpPr>
      <cdr:spPr>
        <a:xfrm xmlns:a="http://schemas.openxmlformats.org/drawingml/2006/main">
          <a:off x="1752105" y="651036"/>
          <a:ext cx="2117435" cy="21714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7435" h="2171400">
              <a:moveTo>
                <a:pt x="660303" y="1507171"/>
              </a:moveTo>
              <a:lnTo>
                <a:pt x="34159" y="2154819"/>
              </a:lnTo>
              <a:lnTo>
                <a:pt x="18130" y="2171399"/>
              </a:lnTo>
              <a:lnTo>
                <a:pt x="0" y="2152646"/>
              </a:lnTo>
              <a:lnTo>
                <a:pt x="16030" y="2136067"/>
              </a:lnTo>
              <a:lnTo>
                <a:pt x="639400" y="1491289"/>
              </a:lnTo>
              <a:lnTo>
                <a:pt x="982566" y="1136338"/>
              </a:lnTo>
              <a:lnTo>
                <a:pt x="2081175" y="0"/>
              </a:lnTo>
              <a:lnTo>
                <a:pt x="2117434" y="0"/>
              </a:lnTo>
              <a:lnTo>
                <a:pt x="1004997" y="11506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0.3743</cdr:x>
      <cdr:y>0.65053</cdr:y>
    </cdr:from>
    <cdr:to>
      <cdr:x>0.65709</cdr:x>
      <cdr:y>0.9301</cdr:y>
    </cdr:to>
    <cdr:sp macro="" textlink="">
      <cdr:nvSpPr>
        <cdr:cNvPr id="84" name="FracNo 512 StartRow 1167">
          <a:extLst xmlns:a="http://schemas.openxmlformats.org/drawingml/2006/main">
            <a:ext uri="{FF2B5EF4-FFF2-40B4-BE49-F238E27FC236}">
              <a16:creationId xmlns:a16="http://schemas.microsoft.com/office/drawing/2014/main" id="{62E21873-2143-1C6C-5319-1A39B3D0A359}"/>
            </a:ext>
          </a:extLst>
        </cdr:cNvPr>
        <cdr:cNvSpPr/>
      </cdr:nvSpPr>
      <cdr:spPr>
        <a:xfrm xmlns:a="http://schemas.openxmlformats.org/drawingml/2006/main">
          <a:off x="2738097" y="4957016"/>
          <a:ext cx="2068682" cy="2130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8682" h="2130350">
              <a:moveTo>
                <a:pt x="1401014" y="671846"/>
              </a:moveTo>
              <a:lnTo>
                <a:pt x="0" y="2120973"/>
              </a:lnTo>
              <a:lnTo>
                <a:pt x="27194" y="2130349"/>
              </a:lnTo>
              <a:lnTo>
                <a:pt x="1422014" y="687628"/>
              </a:lnTo>
              <a:lnTo>
                <a:pt x="2068681" y="18752"/>
              </a:lnTo>
              <a:lnTo>
                <a:pt x="20505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0.60673</cdr:x>
      <cdr:y>0.34436</cdr:y>
    </cdr:from>
    <cdr:to>
      <cdr:x>0.88431</cdr:x>
      <cdr:y>0.61999</cdr:y>
    </cdr:to>
    <cdr:sp macro="" textlink="">
      <cdr:nvSpPr>
        <cdr:cNvPr id="85" name="FracNo 180 StartRow 1176">
          <a:extLst xmlns:a="http://schemas.openxmlformats.org/drawingml/2006/main">
            <a:ext uri="{FF2B5EF4-FFF2-40B4-BE49-F238E27FC236}">
              <a16:creationId xmlns:a16="http://schemas.microsoft.com/office/drawing/2014/main" id="{08FD303A-1EB0-927F-6B37-20E5AAF2807E}"/>
            </a:ext>
          </a:extLst>
        </cdr:cNvPr>
        <cdr:cNvSpPr/>
      </cdr:nvSpPr>
      <cdr:spPr>
        <a:xfrm xmlns:a="http://schemas.openxmlformats.org/drawingml/2006/main">
          <a:off x="4438360" y="2624027"/>
          <a:ext cx="2030531" cy="21002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0531" h="2100264">
              <a:moveTo>
                <a:pt x="1815306" y="222615"/>
              </a:moveTo>
              <a:lnTo>
                <a:pt x="381737" y="1705416"/>
              </a:lnTo>
              <a:lnTo>
                <a:pt x="0" y="2100263"/>
              </a:lnTo>
              <a:lnTo>
                <a:pt x="0" y="2100263"/>
              </a:lnTo>
              <a:lnTo>
                <a:pt x="381737" y="1705416"/>
              </a:lnTo>
              <a:lnTo>
                <a:pt x="1815306" y="222615"/>
              </a:lnTo>
              <a:lnTo>
                <a:pt x="1863804" y="172452"/>
              </a:lnTo>
              <a:lnTo>
                <a:pt x="2030530" y="0"/>
              </a:lnTo>
              <a:lnTo>
                <a:pt x="2030530" y="0"/>
              </a:lnTo>
              <a:lnTo>
                <a:pt x="1863804" y="1724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0.66244</cdr:x>
      <cdr:y>0.65204</cdr:y>
    </cdr:from>
    <cdr:to>
      <cdr:x>0.94246</cdr:x>
      <cdr:y>0.9301</cdr:y>
    </cdr:to>
    <cdr:sp macro="" textlink="">
      <cdr:nvSpPr>
        <cdr:cNvPr id="86" name="FracNo 269 StartRow 1189">
          <a:extLst xmlns:a="http://schemas.openxmlformats.org/drawingml/2006/main">
            <a:ext uri="{FF2B5EF4-FFF2-40B4-BE49-F238E27FC236}">
              <a16:creationId xmlns:a16="http://schemas.microsoft.com/office/drawing/2014/main" id="{CEE91F6F-BCDE-446C-9335-000DE18F336D}"/>
            </a:ext>
          </a:extLst>
        </cdr:cNvPr>
        <cdr:cNvSpPr/>
      </cdr:nvSpPr>
      <cdr:spPr>
        <a:xfrm xmlns:a="http://schemas.openxmlformats.org/drawingml/2006/main">
          <a:off x="4845860" y="4968570"/>
          <a:ext cx="2048448" cy="2118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8448" h="2118796">
              <a:moveTo>
                <a:pt x="796840" y="1332094"/>
              </a:moveTo>
              <a:lnTo>
                <a:pt x="36259" y="2118795"/>
              </a:lnTo>
              <a:lnTo>
                <a:pt x="0" y="2118795"/>
              </a:lnTo>
              <a:lnTo>
                <a:pt x="774286" y="1317918"/>
              </a:lnTo>
              <a:lnTo>
                <a:pt x="2048447" y="0"/>
              </a:lnTo>
              <a:lnTo>
                <a:pt x="204844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0.34999</cdr:x>
      <cdr:y>0.26866</cdr:y>
    </cdr:from>
    <cdr:to>
      <cdr:x>0.62939</cdr:x>
      <cdr:y>0.54609</cdr:y>
    </cdr:to>
    <cdr:sp macro="" textlink="">
      <cdr:nvSpPr>
        <cdr:cNvPr id="87" name="FracNo 117 StartRow 1198">
          <a:extLst xmlns:a="http://schemas.openxmlformats.org/drawingml/2006/main">
            <a:ext uri="{FF2B5EF4-FFF2-40B4-BE49-F238E27FC236}">
              <a16:creationId xmlns:a16="http://schemas.microsoft.com/office/drawing/2014/main" id="{AEFF8C81-0EF1-85CF-ED14-D8604A74AAC7}"/>
            </a:ext>
          </a:extLst>
        </cdr:cNvPr>
        <cdr:cNvSpPr/>
      </cdr:nvSpPr>
      <cdr:spPr>
        <a:xfrm xmlns:a="http://schemas.openxmlformats.org/drawingml/2006/main">
          <a:off x="2560242" y="2047158"/>
          <a:ext cx="2043845" cy="21140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3845" h="2114035">
              <a:moveTo>
                <a:pt x="703592" y="1367527"/>
              </a:moveTo>
              <a:lnTo>
                <a:pt x="176580" y="1912638"/>
              </a:lnTo>
              <a:lnTo>
                <a:pt x="0" y="2095282"/>
              </a:lnTo>
              <a:lnTo>
                <a:pt x="18129" y="2114034"/>
              </a:lnTo>
              <a:lnTo>
                <a:pt x="194709" y="1931390"/>
              </a:lnTo>
              <a:lnTo>
                <a:pt x="721721" y="1386279"/>
              </a:lnTo>
              <a:lnTo>
                <a:pt x="1328466" y="758697"/>
              </a:lnTo>
              <a:lnTo>
                <a:pt x="2043844" y="18752"/>
              </a:lnTo>
              <a:lnTo>
                <a:pt x="2025715" y="0"/>
              </a:lnTo>
              <a:lnTo>
                <a:pt x="1310337" y="7399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0.67149</cdr:x>
      <cdr:y>0.66103</cdr:y>
    </cdr:from>
    <cdr:to>
      <cdr:x>0.94246</cdr:x>
      <cdr:y>0.9301</cdr:y>
    </cdr:to>
    <cdr:sp macro="" textlink="">
      <cdr:nvSpPr>
        <cdr:cNvPr id="88" name="FracNo 255 StartRow 1211">
          <a:extLst xmlns:a="http://schemas.openxmlformats.org/drawingml/2006/main">
            <a:ext uri="{FF2B5EF4-FFF2-40B4-BE49-F238E27FC236}">
              <a16:creationId xmlns:a16="http://schemas.microsoft.com/office/drawing/2014/main" id="{497278C8-DFCB-2F3E-D391-EBB5A33DD773}"/>
            </a:ext>
          </a:extLst>
        </cdr:cNvPr>
        <cdr:cNvSpPr/>
      </cdr:nvSpPr>
      <cdr:spPr>
        <a:xfrm xmlns:a="http://schemas.openxmlformats.org/drawingml/2006/main">
          <a:off x="4912079" y="5037063"/>
          <a:ext cx="1982229" cy="2050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2229" h="2050303">
              <a:moveTo>
                <a:pt x="1208787" y="800003"/>
              </a:moveTo>
              <a:lnTo>
                <a:pt x="0" y="2050302"/>
              </a:lnTo>
              <a:lnTo>
                <a:pt x="0" y="2050302"/>
              </a:lnTo>
              <a:lnTo>
                <a:pt x="1208787" y="800003"/>
              </a:lnTo>
              <a:lnTo>
                <a:pt x="1982228" y="0"/>
              </a:lnTo>
              <a:lnTo>
                <a:pt x="19822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0.1304</cdr:x>
      <cdr:y>0.08544</cdr:y>
    </cdr:from>
    <cdr:to>
      <cdr:x>0.40258</cdr:x>
      <cdr:y>0.35325</cdr:y>
    </cdr:to>
    <cdr:sp macro="" textlink="">
      <cdr:nvSpPr>
        <cdr:cNvPr id="89" name="FracNo 582 StartRow 1220">
          <a:extLst xmlns:a="http://schemas.openxmlformats.org/drawingml/2006/main">
            <a:ext uri="{FF2B5EF4-FFF2-40B4-BE49-F238E27FC236}">
              <a16:creationId xmlns:a16="http://schemas.microsoft.com/office/drawing/2014/main" id="{198866D4-D2BC-ECBB-CD98-FD189C4D1193}"/>
            </a:ext>
          </a:extLst>
        </cdr:cNvPr>
        <cdr:cNvSpPr/>
      </cdr:nvSpPr>
      <cdr:spPr>
        <a:xfrm xmlns:a="http://schemas.openxmlformats.org/drawingml/2006/main">
          <a:off x="953873" y="651036"/>
          <a:ext cx="1991096" cy="20407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1096" h="2040723">
              <a:moveTo>
                <a:pt x="521714" y="1482339"/>
              </a:moveTo>
              <a:lnTo>
                <a:pt x="0" y="2021970"/>
              </a:lnTo>
              <a:lnTo>
                <a:pt x="18129" y="2040722"/>
              </a:lnTo>
              <a:lnTo>
                <a:pt x="544502" y="1496272"/>
              </a:lnTo>
              <a:lnTo>
                <a:pt x="1809003" y="188345"/>
              </a:lnTo>
              <a:lnTo>
                <a:pt x="1991095" y="0"/>
              </a:lnTo>
              <a:lnTo>
                <a:pt x="1954836" y="0"/>
              </a:lnTo>
              <a:lnTo>
                <a:pt x="1775023" y="1859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0.67466</cdr:x>
      <cdr:y>0.18728</cdr:y>
    </cdr:from>
    <cdr:to>
      <cdr:x>0.94246</cdr:x>
      <cdr:y>0.45567</cdr:y>
    </cdr:to>
    <cdr:sp macro="" textlink="">
      <cdr:nvSpPr>
        <cdr:cNvPr id="90" name="FracNo 735 StartRow 1231">
          <a:extLst xmlns:a="http://schemas.openxmlformats.org/drawingml/2006/main">
            <a:ext uri="{FF2B5EF4-FFF2-40B4-BE49-F238E27FC236}">
              <a16:creationId xmlns:a16="http://schemas.microsoft.com/office/drawing/2014/main" id="{F70F46EF-5B9A-4A40-79D7-E003332FEB6E}"/>
            </a:ext>
          </a:extLst>
        </cdr:cNvPr>
        <cdr:cNvSpPr/>
      </cdr:nvSpPr>
      <cdr:spPr>
        <a:xfrm xmlns:a="http://schemas.openxmlformats.org/drawingml/2006/main">
          <a:off x="4935274" y="1427110"/>
          <a:ext cx="1959034" cy="2045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9034" h="2045063">
              <a:moveTo>
                <a:pt x="291578" y="1724720"/>
              </a:moveTo>
              <a:lnTo>
                <a:pt x="0" y="2026310"/>
              </a:lnTo>
              <a:lnTo>
                <a:pt x="18129" y="2045062"/>
              </a:lnTo>
              <a:lnTo>
                <a:pt x="307964" y="1745274"/>
              </a:lnTo>
              <a:lnTo>
                <a:pt x="660392" y="1380742"/>
              </a:lnTo>
              <a:lnTo>
                <a:pt x="1959033" y="37504"/>
              </a:lnTo>
              <a:lnTo>
                <a:pt x="1959033" y="0"/>
              </a:lnTo>
              <a:lnTo>
                <a:pt x="646125" y="13579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0.67834</cdr:x>
      <cdr:y>0.1946</cdr:y>
    </cdr:from>
    <cdr:to>
      <cdr:x>0.94246</cdr:x>
      <cdr:y>0.45686</cdr:y>
    </cdr:to>
    <cdr:sp macro="" textlink="">
      <cdr:nvSpPr>
        <cdr:cNvPr id="91" name="FracNo 174 StartRow 1242">
          <a:extLst xmlns:a="http://schemas.openxmlformats.org/drawingml/2006/main">
            <a:ext uri="{FF2B5EF4-FFF2-40B4-BE49-F238E27FC236}">
              <a16:creationId xmlns:a16="http://schemas.microsoft.com/office/drawing/2014/main" id="{7719A2B6-2690-4FCA-897D-A29D5B1E1D46}"/>
            </a:ext>
          </a:extLst>
        </cdr:cNvPr>
        <cdr:cNvSpPr/>
      </cdr:nvSpPr>
      <cdr:spPr>
        <a:xfrm xmlns:a="http://schemas.openxmlformats.org/drawingml/2006/main">
          <a:off x="4962223" y="1482859"/>
          <a:ext cx="1932085" cy="1998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2085" h="1998436">
              <a:moveTo>
                <a:pt x="256242" y="1733394"/>
              </a:moveTo>
              <a:lnTo>
                <a:pt x="0" y="1998435"/>
              </a:lnTo>
              <a:lnTo>
                <a:pt x="0" y="1998435"/>
              </a:lnTo>
              <a:lnTo>
                <a:pt x="256242" y="1733394"/>
              </a:lnTo>
              <a:lnTo>
                <a:pt x="662079" y="1313620"/>
              </a:lnTo>
              <a:lnTo>
                <a:pt x="1932084" y="0"/>
              </a:lnTo>
              <a:lnTo>
                <a:pt x="1932084" y="0"/>
              </a:lnTo>
              <a:lnTo>
                <a:pt x="662079" y="13136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0.16912</cdr:y>
    </cdr:from>
    <cdr:to>
      <cdr:x>0.35294</cdr:x>
      <cdr:y>0.43086</cdr:y>
    </cdr:to>
    <cdr:sp macro="" textlink="">
      <cdr:nvSpPr>
        <cdr:cNvPr id="92" name="FracNo 587 StartRow 1253">
          <a:extLst xmlns:a="http://schemas.openxmlformats.org/drawingml/2006/main">
            <a:ext uri="{FF2B5EF4-FFF2-40B4-BE49-F238E27FC236}">
              <a16:creationId xmlns:a16="http://schemas.microsoft.com/office/drawing/2014/main" id="{C1E0BBEA-F9DE-C6FE-FBE0-FCAAAE94FD73}"/>
            </a:ext>
          </a:extLst>
        </cdr:cNvPr>
        <cdr:cNvSpPr/>
      </cdr:nvSpPr>
      <cdr:spPr>
        <a:xfrm xmlns:a="http://schemas.openxmlformats.org/drawingml/2006/main">
          <a:off x="671676" y="1288676"/>
          <a:ext cx="1910144" cy="19944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0144" h="1994494">
              <a:moveTo>
                <a:pt x="1458710" y="485688"/>
              </a:moveTo>
              <a:lnTo>
                <a:pt x="455227" y="1523633"/>
              </a:lnTo>
              <a:lnTo>
                <a:pt x="0" y="1994493"/>
              </a:lnTo>
              <a:lnTo>
                <a:pt x="0" y="1956990"/>
              </a:lnTo>
              <a:lnTo>
                <a:pt x="449577" y="1491973"/>
              </a:lnTo>
              <a:lnTo>
                <a:pt x="1444453" y="462931"/>
              </a:lnTo>
              <a:lnTo>
                <a:pt x="1892014" y="0"/>
              </a:lnTo>
              <a:lnTo>
                <a:pt x="19101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0.46548</cdr:x>
      <cdr:y>0.42824</cdr:y>
    </cdr:from>
    <cdr:to>
      <cdr:x>0.72656</cdr:x>
      <cdr:y>0.68749</cdr:y>
    </cdr:to>
    <cdr:sp macro="" textlink="">
      <cdr:nvSpPr>
        <cdr:cNvPr id="93" name="FracNo 196 StartRow 1264">
          <a:extLst xmlns:a="http://schemas.openxmlformats.org/drawingml/2006/main">
            <a:ext uri="{FF2B5EF4-FFF2-40B4-BE49-F238E27FC236}">
              <a16:creationId xmlns:a16="http://schemas.microsoft.com/office/drawing/2014/main" id="{8BDD7C23-043E-0DA4-7780-2BF7F82A0FDC}"/>
            </a:ext>
          </a:extLst>
        </cdr:cNvPr>
        <cdr:cNvSpPr/>
      </cdr:nvSpPr>
      <cdr:spPr>
        <a:xfrm xmlns:a="http://schemas.openxmlformats.org/drawingml/2006/main">
          <a:off x="3405064" y="3263188"/>
          <a:ext cx="1909867" cy="1975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9867" h="1975455">
              <a:moveTo>
                <a:pt x="1894744" y="34393"/>
              </a:moveTo>
              <a:lnTo>
                <a:pt x="1424097" y="521202"/>
              </a:lnTo>
              <a:lnTo>
                <a:pt x="295933" y="1688110"/>
              </a:lnTo>
              <a:lnTo>
                <a:pt x="18129" y="1975454"/>
              </a:lnTo>
              <a:lnTo>
                <a:pt x="0" y="1956702"/>
              </a:lnTo>
              <a:lnTo>
                <a:pt x="277804" y="1669358"/>
              </a:lnTo>
              <a:lnTo>
                <a:pt x="1405968" y="502450"/>
              </a:lnTo>
              <a:lnTo>
                <a:pt x="1876614" y="15641"/>
              </a:lnTo>
              <a:lnTo>
                <a:pt x="1891736" y="0"/>
              </a:lnTo>
              <a:lnTo>
                <a:pt x="19098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0.68521</cdr:x>
      <cdr:y>0.59331</cdr:y>
    </cdr:from>
    <cdr:to>
      <cdr:x>0.94246</cdr:x>
      <cdr:y>0.84875</cdr:y>
    </cdr:to>
    <cdr:sp macro="" textlink="">
      <cdr:nvSpPr>
        <cdr:cNvPr id="94" name="FracNo 755 StartRow 1277">
          <a:extLst xmlns:a="http://schemas.openxmlformats.org/drawingml/2006/main">
            <a:ext uri="{FF2B5EF4-FFF2-40B4-BE49-F238E27FC236}">
              <a16:creationId xmlns:a16="http://schemas.microsoft.com/office/drawing/2014/main" id="{01A56FEC-A319-363D-F46B-2C6FE07D5ACB}"/>
            </a:ext>
          </a:extLst>
        </cdr:cNvPr>
        <cdr:cNvSpPr/>
      </cdr:nvSpPr>
      <cdr:spPr>
        <a:xfrm xmlns:a="http://schemas.openxmlformats.org/drawingml/2006/main">
          <a:off x="5012474" y="4521002"/>
          <a:ext cx="1881834" cy="1946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1834" h="1946460">
              <a:moveTo>
                <a:pt x="955618" y="958023"/>
              </a:moveTo>
              <a:lnTo>
                <a:pt x="0" y="1946459"/>
              </a:lnTo>
              <a:lnTo>
                <a:pt x="0" y="1946459"/>
              </a:lnTo>
              <a:lnTo>
                <a:pt x="955618" y="958023"/>
              </a:lnTo>
              <a:lnTo>
                <a:pt x="1474889" y="420920"/>
              </a:lnTo>
              <a:lnTo>
                <a:pt x="1881833" y="0"/>
              </a:lnTo>
              <a:lnTo>
                <a:pt x="1881833" y="0"/>
              </a:lnTo>
              <a:lnTo>
                <a:pt x="1474889" y="4209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0.68667</cdr:x>
      <cdr:y>0.67611</cdr:y>
    </cdr:from>
    <cdr:to>
      <cdr:x>0.94246</cdr:x>
      <cdr:y>0.9301</cdr:y>
    </cdr:to>
    <cdr:sp macro="" textlink="">
      <cdr:nvSpPr>
        <cdr:cNvPr id="95" name="FracNo 247 StartRow 1288">
          <a:extLst xmlns:a="http://schemas.openxmlformats.org/drawingml/2006/main">
            <a:ext uri="{FF2B5EF4-FFF2-40B4-BE49-F238E27FC236}">
              <a16:creationId xmlns:a16="http://schemas.microsoft.com/office/drawing/2014/main" id="{7843D19C-AE81-3400-5A2E-566F6A048E00}"/>
            </a:ext>
          </a:extLst>
        </cdr:cNvPr>
        <cdr:cNvSpPr/>
      </cdr:nvSpPr>
      <cdr:spPr>
        <a:xfrm xmlns:a="http://schemas.openxmlformats.org/drawingml/2006/main">
          <a:off x="5023145" y="5151944"/>
          <a:ext cx="1871163" cy="1935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1163" h="1935422">
              <a:moveTo>
                <a:pt x="1357907" y="530881"/>
              </a:moveTo>
              <a:lnTo>
                <a:pt x="0" y="1935421"/>
              </a:lnTo>
              <a:lnTo>
                <a:pt x="0" y="1935421"/>
              </a:lnTo>
              <a:lnTo>
                <a:pt x="1357907" y="530881"/>
              </a:lnTo>
              <a:lnTo>
                <a:pt x="1871162" y="0"/>
              </a:lnTo>
              <a:lnTo>
                <a:pt x="18711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0.44818</cdr:x>
      <cdr:y>0.2993</cdr:y>
    </cdr:from>
    <cdr:to>
      <cdr:x>0.70587</cdr:x>
      <cdr:y>0.55518</cdr:y>
    </cdr:to>
    <cdr:sp macro="" textlink="">
      <cdr:nvSpPr>
        <cdr:cNvPr id="96" name="FracNo 105 StartRow 1297">
          <a:extLst xmlns:a="http://schemas.openxmlformats.org/drawingml/2006/main">
            <a:ext uri="{FF2B5EF4-FFF2-40B4-BE49-F238E27FC236}">
              <a16:creationId xmlns:a16="http://schemas.microsoft.com/office/drawing/2014/main" id="{0066A350-AA22-7EE4-DFC1-7D7DA697CF2E}"/>
            </a:ext>
          </a:extLst>
        </cdr:cNvPr>
        <cdr:cNvSpPr/>
      </cdr:nvSpPr>
      <cdr:spPr>
        <a:xfrm xmlns:a="http://schemas.openxmlformats.org/drawingml/2006/main">
          <a:off x="3278524" y="2280669"/>
          <a:ext cx="1885073" cy="1949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5073" h="1949810">
              <a:moveTo>
                <a:pt x="308686" y="1649274"/>
              </a:moveTo>
              <a:lnTo>
                <a:pt x="18129" y="1949809"/>
              </a:lnTo>
              <a:lnTo>
                <a:pt x="0" y="1931057"/>
              </a:lnTo>
              <a:lnTo>
                <a:pt x="290557" y="1630522"/>
              </a:lnTo>
              <a:lnTo>
                <a:pt x="1377324" y="506434"/>
              </a:lnTo>
              <a:lnTo>
                <a:pt x="1532508" y="345920"/>
              </a:lnTo>
              <a:lnTo>
                <a:pt x="1866943" y="0"/>
              </a:lnTo>
              <a:lnTo>
                <a:pt x="1885072" y="18752"/>
              </a:lnTo>
              <a:lnTo>
                <a:pt x="1550637" y="364672"/>
              </a:lnTo>
              <a:lnTo>
                <a:pt x="1395453" y="5251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0.38463</cdr:x>
      <cdr:y>0.436</cdr:y>
    </cdr:from>
    <cdr:to>
      <cdr:x>0.63969</cdr:x>
      <cdr:y>0.68927</cdr:y>
    </cdr:to>
    <cdr:sp macro="" textlink="">
      <cdr:nvSpPr>
        <cdr:cNvPr id="97" name="FracNo 94 StartRow 1310">
          <a:extLst xmlns:a="http://schemas.openxmlformats.org/drawingml/2006/main">
            <a:ext uri="{FF2B5EF4-FFF2-40B4-BE49-F238E27FC236}">
              <a16:creationId xmlns:a16="http://schemas.microsoft.com/office/drawing/2014/main" id="{4D5E2F1E-41D0-A631-DD3C-8F742E32CE24}"/>
            </a:ext>
          </a:extLst>
        </cdr:cNvPr>
        <cdr:cNvSpPr/>
      </cdr:nvSpPr>
      <cdr:spPr>
        <a:xfrm xmlns:a="http://schemas.openxmlformats.org/drawingml/2006/main">
          <a:off x="2813624" y="3322317"/>
          <a:ext cx="1865837" cy="19299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5837" h="1929913">
              <a:moveTo>
                <a:pt x="1429475" y="451346"/>
              </a:moveTo>
              <a:lnTo>
                <a:pt x="300005" y="1619605"/>
              </a:lnTo>
              <a:lnTo>
                <a:pt x="0" y="1929912"/>
              </a:lnTo>
              <a:lnTo>
                <a:pt x="0" y="1929912"/>
              </a:lnTo>
              <a:lnTo>
                <a:pt x="300005" y="1619605"/>
              </a:lnTo>
              <a:lnTo>
                <a:pt x="1429475" y="451346"/>
              </a:lnTo>
              <a:lnTo>
                <a:pt x="1865836" y="0"/>
              </a:lnTo>
              <a:lnTo>
                <a:pt x="18658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0.38142</cdr:x>
      <cdr:y>0.43282</cdr:y>
    </cdr:from>
    <cdr:to>
      <cdr:x>0.63896</cdr:x>
      <cdr:y>0.68855</cdr:y>
    </cdr:to>
    <cdr:sp macro="" textlink="">
      <cdr:nvSpPr>
        <cdr:cNvPr id="98" name="FracNo 112 StartRow 1321">
          <a:extLst xmlns:a="http://schemas.openxmlformats.org/drawingml/2006/main">
            <a:ext uri="{FF2B5EF4-FFF2-40B4-BE49-F238E27FC236}">
              <a16:creationId xmlns:a16="http://schemas.microsoft.com/office/drawing/2014/main" id="{431C8887-7D64-4DBF-AD1F-C627ED909F74}"/>
            </a:ext>
          </a:extLst>
        </cdr:cNvPr>
        <cdr:cNvSpPr/>
      </cdr:nvSpPr>
      <cdr:spPr>
        <a:xfrm xmlns:a="http://schemas.openxmlformats.org/drawingml/2006/main">
          <a:off x="2790164" y="3298051"/>
          <a:ext cx="1883966" cy="1948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3966" h="1948665">
              <a:moveTo>
                <a:pt x="804919" y="1134854"/>
              </a:moveTo>
              <a:lnTo>
                <a:pt x="303738" y="1653247"/>
              </a:lnTo>
              <a:lnTo>
                <a:pt x="18129" y="1948664"/>
              </a:lnTo>
              <a:lnTo>
                <a:pt x="0" y="1929912"/>
              </a:lnTo>
              <a:lnTo>
                <a:pt x="285609" y="1634495"/>
              </a:lnTo>
              <a:lnTo>
                <a:pt x="786790" y="1116102"/>
              </a:lnTo>
              <a:lnTo>
                <a:pt x="1865836" y="0"/>
              </a:lnTo>
              <a:lnTo>
                <a:pt x="18839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0.68993</cdr:x>
      <cdr:y>0.50608</cdr:y>
    </cdr:from>
    <cdr:to>
      <cdr:x>0.94246</cdr:x>
      <cdr:y>0.75684</cdr:y>
    </cdr:to>
    <cdr:sp macro="" textlink="">
      <cdr:nvSpPr>
        <cdr:cNvPr id="99" name="FracNo 175 StartRow 1332">
          <a:extLst xmlns:a="http://schemas.openxmlformats.org/drawingml/2006/main">
            <a:ext uri="{FF2B5EF4-FFF2-40B4-BE49-F238E27FC236}">
              <a16:creationId xmlns:a16="http://schemas.microsoft.com/office/drawing/2014/main" id="{852EA4BC-C640-C298-7409-F3C93F59E36B}"/>
            </a:ext>
          </a:extLst>
        </cdr:cNvPr>
        <cdr:cNvSpPr/>
      </cdr:nvSpPr>
      <cdr:spPr>
        <a:xfrm xmlns:a="http://schemas.openxmlformats.org/drawingml/2006/main">
          <a:off x="5046949" y="3856337"/>
          <a:ext cx="1847359" cy="19108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7359" h="1910802">
              <a:moveTo>
                <a:pt x="916113" y="963226"/>
              </a:moveTo>
              <a:lnTo>
                <a:pt x="797817" y="1085585"/>
              </a:lnTo>
              <a:lnTo>
                <a:pt x="0" y="1910801"/>
              </a:lnTo>
              <a:lnTo>
                <a:pt x="0" y="1910801"/>
              </a:lnTo>
              <a:lnTo>
                <a:pt x="797817" y="1085585"/>
              </a:lnTo>
              <a:lnTo>
                <a:pt x="916113" y="963226"/>
              </a:lnTo>
              <a:lnTo>
                <a:pt x="1847358" y="0"/>
              </a:lnTo>
              <a:lnTo>
                <a:pt x="18473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0.18067</cdr:x>
      <cdr:y>0.67923</cdr:y>
    </cdr:from>
    <cdr:to>
      <cdr:x>0.4358</cdr:x>
      <cdr:y>0.9301</cdr:y>
    </cdr:to>
    <cdr:sp macro="" textlink="">
      <cdr:nvSpPr>
        <cdr:cNvPr id="100" name="FracNo 40 StartRow 1343">
          <a:extLst xmlns:a="http://schemas.openxmlformats.org/drawingml/2006/main">
            <a:ext uri="{FF2B5EF4-FFF2-40B4-BE49-F238E27FC236}">
              <a16:creationId xmlns:a16="http://schemas.microsoft.com/office/drawing/2014/main" id="{27CE9E7D-F7DE-793C-E5D6-73306F5A0166}"/>
            </a:ext>
          </a:extLst>
        </cdr:cNvPr>
        <cdr:cNvSpPr/>
      </cdr:nvSpPr>
      <cdr:spPr>
        <a:xfrm xmlns:a="http://schemas.openxmlformats.org/drawingml/2006/main">
          <a:off x="1321630" y="5175716"/>
          <a:ext cx="1866309" cy="1911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6309" h="1911650">
              <a:moveTo>
                <a:pt x="1012448" y="901935"/>
              </a:moveTo>
              <a:lnTo>
                <a:pt x="36258" y="1911649"/>
              </a:lnTo>
              <a:lnTo>
                <a:pt x="0" y="1911649"/>
              </a:lnTo>
              <a:lnTo>
                <a:pt x="988857" y="888832"/>
              </a:lnTo>
              <a:lnTo>
                <a:pt x="1415192" y="447857"/>
              </a:lnTo>
              <a:lnTo>
                <a:pt x="1848178" y="0"/>
              </a:lnTo>
              <a:lnTo>
                <a:pt x="1866308" y="18752"/>
              </a:lnTo>
              <a:lnTo>
                <a:pt x="1433321" y="4666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0.49245</cdr:y>
    </cdr:from>
    <cdr:to>
      <cdr:x>0.34361</cdr:x>
      <cdr:y>0.74494</cdr:y>
    </cdr:to>
    <cdr:sp macro="" textlink="">
      <cdr:nvSpPr>
        <cdr:cNvPr id="101" name="FracNo 675 StartRow 1354">
          <a:extLst xmlns:a="http://schemas.openxmlformats.org/drawingml/2006/main">
            <a:ext uri="{FF2B5EF4-FFF2-40B4-BE49-F238E27FC236}">
              <a16:creationId xmlns:a16="http://schemas.microsoft.com/office/drawing/2014/main" id="{7C63509E-6E43-8672-E166-83126277F9E3}"/>
            </a:ext>
          </a:extLst>
        </cdr:cNvPr>
        <cdr:cNvSpPr/>
      </cdr:nvSpPr>
      <cdr:spPr>
        <a:xfrm xmlns:a="http://schemas.openxmlformats.org/drawingml/2006/main">
          <a:off x="671676" y="3752489"/>
          <a:ext cx="1841935" cy="1923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1935" h="1923943">
              <a:moveTo>
                <a:pt x="866321" y="1027870"/>
              </a:moveTo>
              <a:lnTo>
                <a:pt x="699297" y="1200630"/>
              </a:lnTo>
              <a:lnTo>
                <a:pt x="0" y="1923942"/>
              </a:lnTo>
              <a:lnTo>
                <a:pt x="0" y="1886438"/>
              </a:lnTo>
              <a:lnTo>
                <a:pt x="684688" y="1178236"/>
              </a:lnTo>
              <a:lnTo>
                <a:pt x="851198" y="1006008"/>
              </a:lnTo>
              <a:lnTo>
                <a:pt x="1823805" y="0"/>
              </a:lnTo>
              <a:lnTo>
                <a:pt x="18419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0.69004</cdr:x>
      <cdr:y>0.67945</cdr:y>
    </cdr:from>
    <cdr:to>
      <cdr:x>0.94246</cdr:x>
      <cdr:y>0.9301</cdr:y>
    </cdr:to>
    <cdr:sp macro="" textlink="">
      <cdr:nvSpPr>
        <cdr:cNvPr id="102" name="FracNo 275 StartRow 1365">
          <a:extLst xmlns:a="http://schemas.openxmlformats.org/drawingml/2006/main">
            <a:ext uri="{FF2B5EF4-FFF2-40B4-BE49-F238E27FC236}">
              <a16:creationId xmlns:a16="http://schemas.microsoft.com/office/drawing/2014/main" id="{75497977-6B1D-C2BD-7EC1-CB28EC504E52}"/>
            </a:ext>
          </a:extLst>
        </cdr:cNvPr>
        <cdr:cNvSpPr/>
      </cdr:nvSpPr>
      <cdr:spPr>
        <a:xfrm xmlns:a="http://schemas.openxmlformats.org/drawingml/2006/main">
          <a:off x="5047795" y="5177439"/>
          <a:ext cx="1846513" cy="1909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6513" h="1909927">
              <a:moveTo>
                <a:pt x="1004114" y="908832"/>
              </a:moveTo>
              <a:lnTo>
                <a:pt x="36258" y="1909926"/>
              </a:lnTo>
              <a:lnTo>
                <a:pt x="0" y="1909926"/>
              </a:lnTo>
              <a:lnTo>
                <a:pt x="987242" y="888780"/>
              </a:lnTo>
              <a:lnTo>
                <a:pt x="1846512" y="0"/>
              </a:lnTo>
              <a:lnTo>
                <a:pt x="184651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0.187</cdr:x>
      <cdr:y>0.68237</cdr:y>
    </cdr:from>
    <cdr:to>
      <cdr:x>0.43896</cdr:x>
      <cdr:y>0.9301</cdr:y>
    </cdr:to>
    <cdr:sp macro="" textlink="">
      <cdr:nvSpPr>
        <cdr:cNvPr id="103" name="FracNo 31 StartRow 1374">
          <a:extLst xmlns:a="http://schemas.openxmlformats.org/drawingml/2006/main">
            <a:ext uri="{FF2B5EF4-FFF2-40B4-BE49-F238E27FC236}">
              <a16:creationId xmlns:a16="http://schemas.microsoft.com/office/drawing/2014/main" id="{CFEA33E5-AE56-FDD7-E344-3168EBDF09DE}"/>
            </a:ext>
          </a:extLst>
        </cdr:cNvPr>
        <cdr:cNvSpPr/>
      </cdr:nvSpPr>
      <cdr:spPr>
        <a:xfrm xmlns:a="http://schemas.openxmlformats.org/drawingml/2006/main">
          <a:off x="1367972" y="5199683"/>
          <a:ext cx="1843138" cy="18876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3138" h="1887683">
              <a:moveTo>
                <a:pt x="773249" y="1125382"/>
              </a:moveTo>
              <a:lnTo>
                <a:pt x="36259" y="1887682"/>
              </a:lnTo>
              <a:lnTo>
                <a:pt x="0" y="1887682"/>
              </a:lnTo>
              <a:lnTo>
                <a:pt x="746883" y="1115150"/>
              </a:lnTo>
              <a:lnTo>
                <a:pt x="1368850" y="471824"/>
              </a:lnTo>
              <a:lnTo>
                <a:pt x="1825008" y="0"/>
              </a:lnTo>
              <a:lnTo>
                <a:pt x="1843137" y="18752"/>
              </a:lnTo>
              <a:lnTo>
                <a:pt x="1386979" y="4905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0.49633</cdr:x>
      <cdr:y>0.64671</cdr:y>
    </cdr:from>
    <cdr:to>
      <cdr:x>0.74352</cdr:x>
      <cdr:y>0.89216</cdr:y>
    </cdr:to>
    <cdr:sp macro="" textlink="">
      <cdr:nvSpPr>
        <cdr:cNvPr id="104" name="FracNo 482 StartRow 1385">
          <a:extLst xmlns:a="http://schemas.openxmlformats.org/drawingml/2006/main">
            <a:ext uri="{FF2B5EF4-FFF2-40B4-BE49-F238E27FC236}">
              <a16:creationId xmlns:a16="http://schemas.microsoft.com/office/drawing/2014/main" id="{C04541FD-A670-CFAC-52DB-F8CC7D3BAC96}"/>
            </a:ext>
          </a:extLst>
        </cdr:cNvPr>
        <cdr:cNvSpPr/>
      </cdr:nvSpPr>
      <cdr:spPr>
        <a:xfrm xmlns:a="http://schemas.openxmlformats.org/drawingml/2006/main">
          <a:off x="3630739" y="4927918"/>
          <a:ext cx="1808241" cy="18703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8241" h="1870339">
              <a:moveTo>
                <a:pt x="270332" y="1590723"/>
              </a:moveTo>
              <a:lnTo>
                <a:pt x="0" y="1870338"/>
              </a:lnTo>
              <a:lnTo>
                <a:pt x="0" y="1870338"/>
              </a:lnTo>
              <a:lnTo>
                <a:pt x="270332" y="1590723"/>
              </a:lnTo>
              <a:lnTo>
                <a:pt x="1189358" y="640136"/>
              </a:lnTo>
              <a:lnTo>
                <a:pt x="1794701" y="14004"/>
              </a:lnTo>
              <a:lnTo>
                <a:pt x="1808240" y="0"/>
              </a:lnTo>
              <a:lnTo>
                <a:pt x="1808240" y="0"/>
              </a:lnTo>
              <a:lnTo>
                <a:pt x="1794701" y="14004"/>
              </a:lnTo>
              <a:lnTo>
                <a:pt x="1189358" y="6401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0.37929</cdr:y>
    </cdr:from>
    <cdr:to>
      <cdr:x>0.33995</cdr:x>
      <cdr:y>0.62814</cdr:y>
    </cdr:to>
    <cdr:sp macro="" textlink="">
      <cdr:nvSpPr>
        <cdr:cNvPr id="105" name="FracNo 664 StartRow 1398">
          <a:extLst xmlns:a="http://schemas.openxmlformats.org/drawingml/2006/main">
            <a:ext uri="{FF2B5EF4-FFF2-40B4-BE49-F238E27FC236}">
              <a16:creationId xmlns:a16="http://schemas.microsoft.com/office/drawing/2014/main" id="{FFFC4FB8-0C86-2354-D182-7B3216B2898A}"/>
            </a:ext>
          </a:extLst>
        </cdr:cNvPr>
        <cdr:cNvSpPr/>
      </cdr:nvSpPr>
      <cdr:spPr>
        <a:xfrm xmlns:a="http://schemas.openxmlformats.org/drawingml/2006/main">
          <a:off x="671676" y="2890202"/>
          <a:ext cx="1815142" cy="1896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5142" h="1896229">
              <a:moveTo>
                <a:pt x="795300" y="1036112"/>
              </a:moveTo>
              <a:lnTo>
                <a:pt x="0" y="1858724"/>
              </a:lnTo>
              <a:lnTo>
                <a:pt x="0" y="1896228"/>
              </a:lnTo>
              <a:lnTo>
                <a:pt x="803324" y="1065317"/>
              </a:lnTo>
              <a:lnTo>
                <a:pt x="1815141" y="18751"/>
              </a:lnTo>
              <a:lnTo>
                <a:pt x="17970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0.69605</cdr:x>
      <cdr:y>0.61483</cdr:y>
    </cdr:from>
    <cdr:to>
      <cdr:x>0.94246</cdr:x>
      <cdr:y>0.85951</cdr:y>
    </cdr:to>
    <cdr:sp macro="" textlink="">
      <cdr:nvSpPr>
        <cdr:cNvPr id="106" name="FracNo 259 StartRow 1407">
          <a:extLst xmlns:a="http://schemas.openxmlformats.org/drawingml/2006/main">
            <a:ext uri="{FF2B5EF4-FFF2-40B4-BE49-F238E27FC236}">
              <a16:creationId xmlns:a16="http://schemas.microsoft.com/office/drawing/2014/main" id="{CC3E9D5B-2748-BA9F-CDDC-4D940A16D810}"/>
            </a:ext>
          </a:extLst>
        </cdr:cNvPr>
        <cdr:cNvSpPr/>
      </cdr:nvSpPr>
      <cdr:spPr>
        <a:xfrm xmlns:a="http://schemas.openxmlformats.org/drawingml/2006/main">
          <a:off x="5091746" y="4684992"/>
          <a:ext cx="1802562" cy="1864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2562" h="1864466">
              <a:moveTo>
                <a:pt x="246745" y="1609246"/>
              </a:moveTo>
              <a:lnTo>
                <a:pt x="0" y="1864465"/>
              </a:lnTo>
              <a:lnTo>
                <a:pt x="0" y="1864465"/>
              </a:lnTo>
              <a:lnTo>
                <a:pt x="246745" y="1609246"/>
              </a:lnTo>
              <a:lnTo>
                <a:pt x="1554162" y="256930"/>
              </a:lnTo>
              <a:lnTo>
                <a:pt x="1802561" y="0"/>
              </a:lnTo>
              <a:lnTo>
                <a:pt x="1802561" y="0"/>
              </a:lnTo>
              <a:lnTo>
                <a:pt x="1554162" y="2569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0.13441</cdr:x>
      <cdr:y>0.68546</cdr:y>
    </cdr:from>
    <cdr:to>
      <cdr:x>0.38327</cdr:x>
      <cdr:y>0.9301</cdr:y>
    </cdr:to>
    <cdr:sp macro="" textlink="">
      <cdr:nvSpPr>
        <cdr:cNvPr id="107" name="FracNo 35 StartRow 1418">
          <a:extLst xmlns:a="http://schemas.openxmlformats.org/drawingml/2006/main">
            <a:ext uri="{FF2B5EF4-FFF2-40B4-BE49-F238E27FC236}">
              <a16:creationId xmlns:a16="http://schemas.microsoft.com/office/drawing/2014/main" id="{24D57A85-4E76-0C48-3C96-714C72EA1B73}"/>
            </a:ext>
          </a:extLst>
        </cdr:cNvPr>
        <cdr:cNvSpPr/>
      </cdr:nvSpPr>
      <cdr:spPr>
        <a:xfrm xmlns:a="http://schemas.openxmlformats.org/drawingml/2006/main">
          <a:off x="983232" y="5223171"/>
          <a:ext cx="1820429" cy="1864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0429" h="1864195">
              <a:moveTo>
                <a:pt x="1015840" y="813468"/>
              </a:moveTo>
              <a:lnTo>
                <a:pt x="0" y="1864194"/>
              </a:lnTo>
              <a:lnTo>
                <a:pt x="36258" y="1864194"/>
              </a:lnTo>
              <a:lnTo>
                <a:pt x="1041596" y="824331"/>
              </a:lnTo>
              <a:lnTo>
                <a:pt x="1771719" y="69134"/>
              </a:lnTo>
              <a:lnTo>
                <a:pt x="1820428" y="18752"/>
              </a:lnTo>
              <a:lnTo>
                <a:pt x="1802299" y="0"/>
              </a:lnTo>
              <a:lnTo>
                <a:pt x="1753590" y="503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0.16823</cdr:y>
    </cdr:from>
    <cdr:to>
      <cdr:x>0.3348</cdr:x>
      <cdr:y>0.41197</cdr:y>
    </cdr:to>
    <cdr:sp macro="" textlink="">
      <cdr:nvSpPr>
        <cdr:cNvPr id="108" name="FracNo 666 StartRow 1429">
          <a:extLst xmlns:a="http://schemas.openxmlformats.org/drawingml/2006/main">
            <a:ext uri="{FF2B5EF4-FFF2-40B4-BE49-F238E27FC236}">
              <a16:creationId xmlns:a16="http://schemas.microsoft.com/office/drawing/2014/main" id="{6D3B4DEF-C564-5500-C718-55B2CAEF7F0F}"/>
            </a:ext>
          </a:extLst>
        </cdr:cNvPr>
        <cdr:cNvSpPr/>
      </cdr:nvSpPr>
      <cdr:spPr>
        <a:xfrm xmlns:a="http://schemas.openxmlformats.org/drawingml/2006/main">
          <a:off x="671676" y="1281915"/>
          <a:ext cx="1777472" cy="18572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7472" h="1857267">
              <a:moveTo>
                <a:pt x="308035" y="1538652"/>
              </a:moveTo>
              <a:lnTo>
                <a:pt x="0" y="1857266"/>
              </a:lnTo>
              <a:lnTo>
                <a:pt x="0" y="1819762"/>
              </a:lnTo>
              <a:lnTo>
                <a:pt x="290706" y="1519073"/>
              </a:lnTo>
              <a:lnTo>
                <a:pt x="304130" y="1505188"/>
              </a:lnTo>
              <a:lnTo>
                <a:pt x="1759342" y="0"/>
              </a:lnTo>
              <a:lnTo>
                <a:pt x="1777471" y="18753"/>
              </a:lnTo>
              <a:lnTo>
                <a:pt x="322259" y="15239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0.1647</cdr:y>
    </cdr:from>
    <cdr:to>
      <cdr:x>0.33125</cdr:x>
      <cdr:y>0.4049</cdr:y>
    </cdr:to>
    <cdr:sp macro="" textlink="">
      <cdr:nvSpPr>
        <cdr:cNvPr id="109" name="FracNo 581 StartRow 1440">
          <a:extLst xmlns:a="http://schemas.openxmlformats.org/drawingml/2006/main">
            <a:ext uri="{FF2B5EF4-FFF2-40B4-BE49-F238E27FC236}">
              <a16:creationId xmlns:a16="http://schemas.microsoft.com/office/drawing/2014/main" id="{77AC1B93-3107-E403-50D6-31F96912DA3D}"/>
            </a:ext>
          </a:extLst>
        </cdr:cNvPr>
        <cdr:cNvSpPr/>
      </cdr:nvSpPr>
      <cdr:spPr>
        <a:xfrm xmlns:a="http://schemas.openxmlformats.org/drawingml/2006/main">
          <a:off x="671676" y="1255013"/>
          <a:ext cx="1751463" cy="1830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1463" h="1830363">
              <a:moveTo>
                <a:pt x="1577578" y="198607"/>
              </a:moveTo>
              <a:lnTo>
                <a:pt x="262684" y="1558658"/>
              </a:lnTo>
              <a:lnTo>
                <a:pt x="0" y="1830362"/>
              </a:lnTo>
              <a:lnTo>
                <a:pt x="0" y="1792859"/>
              </a:lnTo>
              <a:lnTo>
                <a:pt x="259667" y="1524275"/>
              </a:lnTo>
              <a:lnTo>
                <a:pt x="1561214" y="178029"/>
              </a:lnTo>
              <a:lnTo>
                <a:pt x="1733333" y="0"/>
              </a:lnTo>
              <a:lnTo>
                <a:pt x="175146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0.34807</cdr:y>
    </cdr:from>
    <cdr:to>
      <cdr:x>0.33057</cdr:x>
      <cdr:y>0.5876</cdr:y>
    </cdr:to>
    <cdr:sp macro="" textlink="">
      <cdr:nvSpPr>
        <cdr:cNvPr id="110" name="FracNo 679 StartRow 1451">
          <a:extLst xmlns:a="http://schemas.openxmlformats.org/drawingml/2006/main">
            <a:ext uri="{FF2B5EF4-FFF2-40B4-BE49-F238E27FC236}">
              <a16:creationId xmlns:a16="http://schemas.microsoft.com/office/drawing/2014/main" id="{170276A5-CFCB-200E-DB78-D0385534CBBE}"/>
            </a:ext>
          </a:extLst>
        </cdr:cNvPr>
        <cdr:cNvSpPr/>
      </cdr:nvSpPr>
      <cdr:spPr>
        <a:xfrm xmlns:a="http://schemas.openxmlformats.org/drawingml/2006/main">
          <a:off x="671676" y="2652292"/>
          <a:ext cx="1746493" cy="1825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6493" h="1825223">
              <a:moveTo>
                <a:pt x="1556464" y="177802"/>
              </a:moveTo>
              <a:lnTo>
                <a:pt x="0" y="1787718"/>
              </a:lnTo>
              <a:lnTo>
                <a:pt x="0" y="1825222"/>
              </a:lnTo>
              <a:lnTo>
                <a:pt x="1574121" y="197042"/>
              </a:lnTo>
              <a:lnTo>
                <a:pt x="1616156" y="153563"/>
              </a:lnTo>
              <a:lnTo>
                <a:pt x="1746492" y="18752"/>
              </a:lnTo>
              <a:lnTo>
                <a:pt x="1728362" y="0"/>
              </a:lnTo>
              <a:lnTo>
                <a:pt x="1598027" y="1348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0.7037</cdr:x>
      <cdr:y>0.69302</cdr:y>
    </cdr:from>
    <cdr:to>
      <cdr:x>0.94246</cdr:x>
      <cdr:y>0.9301</cdr:y>
    </cdr:to>
    <cdr:sp macro="" textlink="">
      <cdr:nvSpPr>
        <cdr:cNvPr id="111" name="FracNo 278 StartRow 1462">
          <a:extLst xmlns:a="http://schemas.openxmlformats.org/drawingml/2006/main">
            <a:ext uri="{FF2B5EF4-FFF2-40B4-BE49-F238E27FC236}">
              <a16:creationId xmlns:a16="http://schemas.microsoft.com/office/drawing/2014/main" id="{E89C8326-6A07-D572-53B5-B6376C622642}"/>
            </a:ext>
          </a:extLst>
        </cdr:cNvPr>
        <cdr:cNvSpPr/>
      </cdr:nvSpPr>
      <cdr:spPr>
        <a:xfrm xmlns:a="http://schemas.openxmlformats.org/drawingml/2006/main">
          <a:off x="5147740" y="5280817"/>
          <a:ext cx="1746568" cy="18065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6568" h="1806549">
              <a:moveTo>
                <a:pt x="473280" y="1354519"/>
              </a:moveTo>
              <a:lnTo>
                <a:pt x="36259" y="1806548"/>
              </a:lnTo>
              <a:lnTo>
                <a:pt x="0" y="1806548"/>
              </a:lnTo>
              <a:lnTo>
                <a:pt x="446286" y="1344936"/>
              </a:lnTo>
              <a:lnTo>
                <a:pt x="1746567" y="0"/>
              </a:lnTo>
              <a:lnTo>
                <a:pt x="174656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0.51954</cdr:y>
    </cdr:from>
    <cdr:to>
      <cdr:x>0.32576</cdr:x>
      <cdr:y>0.7543</cdr:y>
    </cdr:to>
    <cdr:sp macro="" textlink="">
      <cdr:nvSpPr>
        <cdr:cNvPr id="112" name="FracNo 743 StartRow 1471">
          <a:extLst xmlns:a="http://schemas.openxmlformats.org/drawingml/2006/main">
            <a:ext uri="{FF2B5EF4-FFF2-40B4-BE49-F238E27FC236}">
              <a16:creationId xmlns:a16="http://schemas.microsoft.com/office/drawing/2014/main" id="{24DD62DA-97B9-7985-1D73-7A0F9E304BCD}"/>
            </a:ext>
          </a:extLst>
        </cdr:cNvPr>
        <cdr:cNvSpPr/>
      </cdr:nvSpPr>
      <cdr:spPr>
        <a:xfrm xmlns:a="http://schemas.openxmlformats.org/drawingml/2006/main">
          <a:off x="671676" y="3958911"/>
          <a:ext cx="1711333" cy="17888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1333" h="1788856">
              <a:moveTo>
                <a:pt x="60325" y="1688954"/>
              </a:moveTo>
              <a:lnTo>
                <a:pt x="0" y="1751351"/>
              </a:lnTo>
              <a:lnTo>
                <a:pt x="0" y="1788855"/>
              </a:lnTo>
              <a:lnTo>
                <a:pt x="61780" y="1724953"/>
              </a:lnTo>
              <a:lnTo>
                <a:pt x="770024" y="992387"/>
              </a:lnTo>
              <a:lnTo>
                <a:pt x="1711332" y="18752"/>
              </a:lnTo>
              <a:lnTo>
                <a:pt x="1693203" y="0"/>
              </a:lnTo>
              <a:lnTo>
                <a:pt x="751895" y="9736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0.43197</cdr:x>
      <cdr:y>0.37306</cdr:y>
    </cdr:from>
    <cdr:to>
      <cdr:x>0.65668</cdr:x>
      <cdr:y>0.59618</cdr:y>
    </cdr:to>
    <cdr:sp macro="" textlink="">
      <cdr:nvSpPr>
        <cdr:cNvPr id="113" name="FracNo 97 StartRow 1482">
          <a:extLst xmlns:a="http://schemas.openxmlformats.org/drawingml/2006/main">
            <a:ext uri="{FF2B5EF4-FFF2-40B4-BE49-F238E27FC236}">
              <a16:creationId xmlns:a16="http://schemas.microsoft.com/office/drawing/2014/main" id="{A0660E22-28BD-65DD-CE15-6CC5F2532E49}"/>
            </a:ext>
          </a:extLst>
        </cdr:cNvPr>
        <cdr:cNvSpPr/>
      </cdr:nvSpPr>
      <cdr:spPr>
        <a:xfrm xmlns:a="http://schemas.openxmlformats.org/drawingml/2006/main">
          <a:off x="3159977" y="2842687"/>
          <a:ext cx="1643784" cy="1700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3784" h="1700235">
              <a:moveTo>
                <a:pt x="535818" y="1146015"/>
              </a:moveTo>
              <a:lnTo>
                <a:pt x="0" y="1700234"/>
              </a:lnTo>
              <a:lnTo>
                <a:pt x="0" y="1700234"/>
              </a:lnTo>
              <a:lnTo>
                <a:pt x="535818" y="1146015"/>
              </a:lnTo>
              <a:lnTo>
                <a:pt x="1643783" y="0"/>
              </a:lnTo>
              <a:lnTo>
                <a:pt x="16437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0.25082</cdr:x>
      <cdr:y>0.70701</cdr:y>
    </cdr:from>
    <cdr:to>
      <cdr:x>0.47548</cdr:x>
      <cdr:y>0.9301</cdr:y>
    </cdr:to>
    <cdr:sp macro="" textlink="">
      <cdr:nvSpPr>
        <cdr:cNvPr id="114" name="FracNo 494 StartRow 1491">
          <a:extLst xmlns:a="http://schemas.openxmlformats.org/drawingml/2006/main">
            <a:ext uri="{FF2B5EF4-FFF2-40B4-BE49-F238E27FC236}">
              <a16:creationId xmlns:a16="http://schemas.microsoft.com/office/drawing/2014/main" id="{BDA7647A-5691-6E22-8476-2141F621D7B1}"/>
            </a:ext>
          </a:extLst>
        </cdr:cNvPr>
        <cdr:cNvSpPr/>
      </cdr:nvSpPr>
      <cdr:spPr>
        <a:xfrm xmlns:a="http://schemas.openxmlformats.org/drawingml/2006/main">
          <a:off x="1834768" y="5387437"/>
          <a:ext cx="1643488" cy="1699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3488" h="1699929">
              <a:moveTo>
                <a:pt x="1643487" y="0"/>
              </a:moveTo>
              <a:lnTo>
                <a:pt x="911118" y="757520"/>
              </a:lnTo>
              <a:lnTo>
                <a:pt x="0" y="1699928"/>
              </a:lnTo>
              <a:lnTo>
                <a:pt x="0" y="1699928"/>
              </a:lnTo>
              <a:lnTo>
                <a:pt x="911118" y="757520"/>
              </a:lnTo>
              <a:lnTo>
                <a:pt x="164348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0.09414</cdr:x>
      <cdr:y>0.706</cdr:y>
    </cdr:from>
    <cdr:to>
      <cdr:x>0.32231</cdr:x>
      <cdr:y>0.9301</cdr:y>
    </cdr:to>
    <cdr:sp macro="" textlink="">
      <cdr:nvSpPr>
        <cdr:cNvPr id="115" name="FracNo 26 StartRow 1501">
          <a:extLst xmlns:a="http://schemas.openxmlformats.org/drawingml/2006/main">
            <a:ext uri="{FF2B5EF4-FFF2-40B4-BE49-F238E27FC236}">
              <a16:creationId xmlns:a16="http://schemas.microsoft.com/office/drawing/2014/main" id="{A4692724-9315-1A2A-9A28-4F162BFF4ABB}"/>
            </a:ext>
          </a:extLst>
        </cdr:cNvPr>
        <cdr:cNvSpPr/>
      </cdr:nvSpPr>
      <cdr:spPr>
        <a:xfrm xmlns:a="http://schemas.openxmlformats.org/drawingml/2006/main">
          <a:off x="688632" y="5379696"/>
          <a:ext cx="1669102" cy="1707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9102" h="1707670">
              <a:moveTo>
                <a:pt x="910935" y="802955"/>
              </a:moveTo>
              <a:lnTo>
                <a:pt x="36259" y="1707669"/>
              </a:lnTo>
              <a:lnTo>
                <a:pt x="0" y="1707669"/>
              </a:lnTo>
              <a:lnTo>
                <a:pt x="884388" y="792909"/>
              </a:lnTo>
              <a:lnTo>
                <a:pt x="1650972" y="0"/>
              </a:lnTo>
              <a:lnTo>
                <a:pt x="16691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0.24239</cdr:y>
    </cdr:from>
    <cdr:to>
      <cdr:x>0.31617</cdr:x>
      <cdr:y>0.46516</cdr:y>
    </cdr:to>
    <cdr:sp macro="" textlink="">
      <cdr:nvSpPr>
        <cdr:cNvPr id="116" name="FracNo 561 StartRow 1510">
          <a:extLst xmlns:a="http://schemas.openxmlformats.org/drawingml/2006/main">
            <a:ext uri="{FF2B5EF4-FFF2-40B4-BE49-F238E27FC236}">
              <a16:creationId xmlns:a16="http://schemas.microsoft.com/office/drawing/2014/main" id="{FF043006-E60E-A990-A45B-D3270EF84666}"/>
            </a:ext>
          </a:extLst>
        </cdr:cNvPr>
        <cdr:cNvSpPr/>
      </cdr:nvSpPr>
      <cdr:spPr>
        <a:xfrm xmlns:a="http://schemas.openxmlformats.org/drawingml/2006/main">
          <a:off x="671676" y="1846991"/>
          <a:ext cx="1641158" cy="1697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1158" h="1697518">
              <a:moveTo>
                <a:pt x="866821" y="800928"/>
              </a:moveTo>
              <a:lnTo>
                <a:pt x="723193" y="949488"/>
              </a:lnTo>
              <a:lnTo>
                <a:pt x="0" y="1697517"/>
              </a:lnTo>
              <a:lnTo>
                <a:pt x="0" y="1697517"/>
              </a:lnTo>
              <a:lnTo>
                <a:pt x="723193" y="949488"/>
              </a:lnTo>
              <a:lnTo>
                <a:pt x="866821" y="800928"/>
              </a:lnTo>
              <a:lnTo>
                <a:pt x="1641157" y="0"/>
              </a:lnTo>
              <a:lnTo>
                <a:pt x="16411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0.57061</cdr:x>
      <cdr:y>0.08544</cdr:y>
    </cdr:from>
    <cdr:to>
      <cdr:x>0.79644</cdr:x>
      <cdr:y>0.30721</cdr:y>
    </cdr:to>
    <cdr:sp macro="" textlink="">
      <cdr:nvSpPr>
        <cdr:cNvPr id="117" name="FracNo 435 StartRow 1521">
          <a:extLst xmlns:a="http://schemas.openxmlformats.org/drawingml/2006/main">
            <a:ext uri="{FF2B5EF4-FFF2-40B4-BE49-F238E27FC236}">
              <a16:creationId xmlns:a16="http://schemas.microsoft.com/office/drawing/2014/main" id="{C3129BA2-C796-6E8B-49AE-1CE41BEC456F}"/>
            </a:ext>
          </a:extLst>
        </cdr:cNvPr>
        <cdr:cNvSpPr/>
      </cdr:nvSpPr>
      <cdr:spPr>
        <a:xfrm xmlns:a="http://schemas.openxmlformats.org/drawingml/2006/main">
          <a:off x="4174148" y="651036"/>
          <a:ext cx="1651957" cy="1689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1957" h="1689936">
              <a:moveTo>
                <a:pt x="1188632" y="479236"/>
              </a:moveTo>
              <a:lnTo>
                <a:pt x="655013" y="1031179"/>
              </a:lnTo>
              <a:lnTo>
                <a:pt x="18129" y="1689935"/>
              </a:lnTo>
              <a:lnTo>
                <a:pt x="0" y="1671183"/>
              </a:lnTo>
              <a:lnTo>
                <a:pt x="636884" y="1012427"/>
              </a:lnTo>
              <a:lnTo>
                <a:pt x="1160799" y="470520"/>
              </a:lnTo>
              <a:lnTo>
                <a:pt x="1615697" y="0"/>
              </a:lnTo>
              <a:lnTo>
                <a:pt x="16519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0.72142</cdr:x>
      <cdr:y>0.20612</cdr:y>
    </cdr:from>
    <cdr:to>
      <cdr:x>0.94246</cdr:x>
      <cdr:y>0.42806</cdr:y>
    </cdr:to>
    <cdr:sp macro="" textlink="">
      <cdr:nvSpPr>
        <cdr:cNvPr id="118" name="FracNo 200 StartRow 1532">
          <a:extLst xmlns:a="http://schemas.openxmlformats.org/drawingml/2006/main">
            <a:ext uri="{FF2B5EF4-FFF2-40B4-BE49-F238E27FC236}">
              <a16:creationId xmlns:a16="http://schemas.microsoft.com/office/drawing/2014/main" id="{DF1F6C7F-565E-0F0A-EAC1-D48BA0340274}"/>
            </a:ext>
          </a:extLst>
        </cdr:cNvPr>
        <cdr:cNvSpPr/>
      </cdr:nvSpPr>
      <cdr:spPr>
        <a:xfrm xmlns:a="http://schemas.openxmlformats.org/drawingml/2006/main">
          <a:off x="5277362" y="1570609"/>
          <a:ext cx="1616946" cy="1691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6946" h="1691226">
              <a:moveTo>
                <a:pt x="230501" y="1434057"/>
              </a:moveTo>
              <a:lnTo>
                <a:pt x="0" y="1672474"/>
              </a:lnTo>
              <a:lnTo>
                <a:pt x="18130" y="1691225"/>
              </a:lnTo>
              <a:lnTo>
                <a:pt x="247183" y="1454306"/>
              </a:lnTo>
              <a:lnTo>
                <a:pt x="457582" y="1236682"/>
              </a:lnTo>
              <a:lnTo>
                <a:pt x="1616945" y="37504"/>
              </a:lnTo>
              <a:lnTo>
                <a:pt x="1616945" y="0"/>
              </a:lnTo>
              <a:lnTo>
                <a:pt x="442229" y="12150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0.63986</cdr:x>
      <cdr:y>0.50706</cdr:y>
    </cdr:from>
    <cdr:to>
      <cdr:x>0.86111</cdr:x>
      <cdr:y>0.72675</cdr:y>
    </cdr:to>
    <cdr:sp macro="" textlink="">
      <cdr:nvSpPr>
        <cdr:cNvPr id="119" name="FracNo 263 StartRow 1543">
          <a:extLst xmlns:a="http://schemas.openxmlformats.org/drawingml/2006/main">
            <a:ext uri="{FF2B5EF4-FFF2-40B4-BE49-F238E27FC236}">
              <a16:creationId xmlns:a16="http://schemas.microsoft.com/office/drawing/2014/main" id="{68977DD2-44D6-7E50-1D50-CDB349778E14}"/>
            </a:ext>
          </a:extLst>
        </cdr:cNvPr>
        <cdr:cNvSpPr/>
      </cdr:nvSpPr>
      <cdr:spPr>
        <a:xfrm xmlns:a="http://schemas.openxmlformats.org/drawingml/2006/main">
          <a:off x="4680727" y="3863770"/>
          <a:ext cx="1618450" cy="1674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450" h="1674031">
              <a:moveTo>
                <a:pt x="354913" y="1288177"/>
              </a:moveTo>
              <a:lnTo>
                <a:pt x="130305" y="1520498"/>
              </a:lnTo>
              <a:lnTo>
                <a:pt x="0" y="1655278"/>
              </a:lnTo>
              <a:lnTo>
                <a:pt x="18129" y="1674030"/>
              </a:lnTo>
              <a:lnTo>
                <a:pt x="148434" y="1539250"/>
              </a:lnTo>
              <a:lnTo>
                <a:pt x="373042" y="1306929"/>
              </a:lnTo>
              <a:lnTo>
                <a:pt x="585159" y="1087528"/>
              </a:lnTo>
              <a:lnTo>
                <a:pt x="1618449" y="18752"/>
              </a:lnTo>
              <a:lnTo>
                <a:pt x="1600320" y="0"/>
              </a:lnTo>
              <a:lnTo>
                <a:pt x="567029" y="10687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0.34973</cdr:x>
      <cdr:y>0.30218</cdr:y>
    </cdr:from>
    <cdr:to>
      <cdr:x>0.5705</cdr:x>
      <cdr:y>0.52139</cdr:y>
    </cdr:to>
    <cdr:sp macro="" textlink="">
      <cdr:nvSpPr>
        <cdr:cNvPr id="120" name="FracNo 115 StartRow 1556">
          <a:extLst xmlns:a="http://schemas.openxmlformats.org/drawingml/2006/main">
            <a:ext uri="{FF2B5EF4-FFF2-40B4-BE49-F238E27FC236}">
              <a16:creationId xmlns:a16="http://schemas.microsoft.com/office/drawing/2014/main" id="{7A40BC82-CEBC-1590-B11D-0F9E71C6879F}"/>
            </a:ext>
          </a:extLst>
        </cdr:cNvPr>
        <cdr:cNvSpPr/>
      </cdr:nvSpPr>
      <cdr:spPr>
        <a:xfrm xmlns:a="http://schemas.openxmlformats.org/drawingml/2006/main">
          <a:off x="2558361" y="2302594"/>
          <a:ext cx="1614943" cy="16704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4943" h="1670404">
              <a:moveTo>
                <a:pt x="435200" y="1201506"/>
              </a:moveTo>
              <a:lnTo>
                <a:pt x="178461" y="1467062"/>
              </a:lnTo>
              <a:lnTo>
                <a:pt x="0" y="1651651"/>
              </a:lnTo>
              <a:lnTo>
                <a:pt x="18130" y="1670403"/>
              </a:lnTo>
              <a:lnTo>
                <a:pt x="196590" y="1485814"/>
              </a:lnTo>
              <a:lnTo>
                <a:pt x="453329" y="1220258"/>
              </a:lnTo>
              <a:lnTo>
                <a:pt x="1146520" y="503261"/>
              </a:lnTo>
              <a:lnTo>
                <a:pt x="1614942" y="18752"/>
              </a:lnTo>
              <a:lnTo>
                <a:pt x="1596813" y="0"/>
              </a:lnTo>
              <a:lnTo>
                <a:pt x="1128391" y="4845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0.39232</cdr:x>
      <cdr:y>0.71333</cdr:y>
    </cdr:from>
    <cdr:to>
      <cdr:x>0.61311</cdr:x>
      <cdr:y>0.9301</cdr:y>
    </cdr:to>
    <cdr:sp macro="" textlink="">
      <cdr:nvSpPr>
        <cdr:cNvPr id="121" name="FracNo 514 StartRow 1569">
          <a:extLst xmlns:a="http://schemas.openxmlformats.org/drawingml/2006/main">
            <a:ext uri="{FF2B5EF4-FFF2-40B4-BE49-F238E27FC236}">
              <a16:creationId xmlns:a16="http://schemas.microsoft.com/office/drawing/2014/main" id="{55B0BB60-BB34-A571-1CD5-FE46AD1B67DD}"/>
            </a:ext>
          </a:extLst>
        </cdr:cNvPr>
        <cdr:cNvSpPr/>
      </cdr:nvSpPr>
      <cdr:spPr>
        <a:xfrm xmlns:a="http://schemas.openxmlformats.org/drawingml/2006/main">
          <a:off x="2869913" y="5435541"/>
          <a:ext cx="1615110" cy="1651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5110" h="1651825">
              <a:moveTo>
                <a:pt x="1423764" y="216669"/>
              </a:moveTo>
              <a:lnTo>
                <a:pt x="36259" y="1651824"/>
              </a:lnTo>
              <a:lnTo>
                <a:pt x="0" y="1651824"/>
              </a:lnTo>
              <a:lnTo>
                <a:pt x="1403437" y="200190"/>
              </a:lnTo>
              <a:lnTo>
                <a:pt x="1596980" y="0"/>
              </a:lnTo>
              <a:lnTo>
                <a:pt x="16151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0.72428</cdr:x>
      <cdr:y>0.21178</cdr:y>
    </cdr:from>
    <cdr:to>
      <cdr:x>0.94246</cdr:x>
      <cdr:y>0.43089</cdr:y>
    </cdr:to>
    <cdr:sp macro="" textlink="">
      <cdr:nvSpPr>
        <cdr:cNvPr id="122" name="FracNo 184 StartRow 1578">
          <a:extLst xmlns:a="http://schemas.openxmlformats.org/drawingml/2006/main">
            <a:ext uri="{FF2B5EF4-FFF2-40B4-BE49-F238E27FC236}">
              <a16:creationId xmlns:a16="http://schemas.microsoft.com/office/drawing/2014/main" id="{FE21DA08-9804-3A03-EC14-458031059826}"/>
            </a:ext>
          </a:extLst>
        </cdr:cNvPr>
        <cdr:cNvSpPr/>
      </cdr:nvSpPr>
      <cdr:spPr>
        <a:xfrm xmlns:a="http://schemas.openxmlformats.org/drawingml/2006/main">
          <a:off x="5298229" y="1613774"/>
          <a:ext cx="1596079" cy="1669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6079" h="1669644">
              <a:moveTo>
                <a:pt x="289378" y="1351576"/>
              </a:moveTo>
              <a:lnTo>
                <a:pt x="0" y="1650892"/>
              </a:lnTo>
              <a:lnTo>
                <a:pt x="18129" y="1669643"/>
              </a:lnTo>
              <a:lnTo>
                <a:pt x="305996" y="1371890"/>
              </a:lnTo>
              <a:lnTo>
                <a:pt x="478627" y="1193331"/>
              </a:lnTo>
              <a:lnTo>
                <a:pt x="1596078" y="37504"/>
              </a:lnTo>
              <a:lnTo>
                <a:pt x="1596078" y="0"/>
              </a:lnTo>
              <a:lnTo>
                <a:pt x="462914" y="11720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0.72678</cdr:x>
      <cdr:y>0.56623</cdr:y>
    </cdr:from>
    <cdr:to>
      <cdr:x>0.94246</cdr:x>
      <cdr:y>0.78039</cdr:y>
    </cdr:to>
    <cdr:sp macro="" textlink="">
      <cdr:nvSpPr>
        <cdr:cNvPr id="123" name="FracNo 245 StartRow 1589">
          <a:extLst xmlns:a="http://schemas.openxmlformats.org/drawingml/2006/main">
            <a:ext uri="{FF2B5EF4-FFF2-40B4-BE49-F238E27FC236}">
              <a16:creationId xmlns:a16="http://schemas.microsoft.com/office/drawing/2014/main" id="{4BEF0492-63E7-E594-F475-8D41D4C8D20A}"/>
            </a:ext>
          </a:extLst>
        </cdr:cNvPr>
        <cdr:cNvSpPr/>
      </cdr:nvSpPr>
      <cdr:spPr>
        <a:xfrm xmlns:a="http://schemas.openxmlformats.org/drawingml/2006/main">
          <a:off x="5316577" y="4314663"/>
          <a:ext cx="1577731" cy="16319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7731" h="1631913">
              <a:moveTo>
                <a:pt x="0" y="1631912"/>
              </a:moveTo>
              <a:lnTo>
                <a:pt x="0" y="1631912"/>
              </a:lnTo>
              <a:lnTo>
                <a:pt x="971297" y="627259"/>
              </a:lnTo>
              <a:lnTo>
                <a:pt x="1577730" y="0"/>
              </a:lnTo>
              <a:lnTo>
                <a:pt x="1577730" y="0"/>
              </a:lnTo>
              <a:lnTo>
                <a:pt x="971297" y="6272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0.38861</cdr:y>
    </cdr:from>
    <cdr:to>
      <cdr:x>0.30769</cdr:x>
      <cdr:y>0.60542</cdr:y>
    </cdr:to>
    <cdr:sp macro="" textlink="">
      <cdr:nvSpPr>
        <cdr:cNvPr id="124" name="FracNo 667 StartRow 1598">
          <a:extLst xmlns:a="http://schemas.openxmlformats.org/drawingml/2006/main">
            <a:ext uri="{FF2B5EF4-FFF2-40B4-BE49-F238E27FC236}">
              <a16:creationId xmlns:a16="http://schemas.microsoft.com/office/drawing/2014/main" id="{BF1C527A-FDB3-9AB5-BD8A-3C7839A9DE11}"/>
            </a:ext>
          </a:extLst>
        </cdr:cNvPr>
        <cdr:cNvSpPr/>
      </cdr:nvSpPr>
      <cdr:spPr>
        <a:xfrm xmlns:a="http://schemas.openxmlformats.org/drawingml/2006/main">
          <a:off x="671676" y="2961224"/>
          <a:ext cx="1579123" cy="16521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123" h="1652105">
              <a:moveTo>
                <a:pt x="922964" y="659940"/>
              </a:moveTo>
              <a:lnTo>
                <a:pt x="0" y="1614601"/>
              </a:lnTo>
              <a:lnTo>
                <a:pt x="0" y="1652104"/>
              </a:lnTo>
              <a:lnTo>
                <a:pt x="933683" y="686356"/>
              </a:lnTo>
              <a:lnTo>
                <a:pt x="1579122" y="18752"/>
              </a:lnTo>
              <a:lnTo>
                <a:pt x="15609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0.72602</cdr:x>
      <cdr:y>0.71518</cdr:y>
    </cdr:from>
    <cdr:to>
      <cdr:x>0.94246</cdr:x>
      <cdr:y>0.9301</cdr:y>
    </cdr:to>
    <cdr:sp macro="" textlink="">
      <cdr:nvSpPr>
        <cdr:cNvPr id="125" name="FracNo 273 StartRow 1607">
          <a:extLst xmlns:a="http://schemas.openxmlformats.org/drawingml/2006/main">
            <a:ext uri="{FF2B5EF4-FFF2-40B4-BE49-F238E27FC236}">
              <a16:creationId xmlns:a16="http://schemas.microsoft.com/office/drawing/2014/main" id="{0F3B31B7-1CF9-E9D1-C87D-D9BD4E705938}"/>
            </a:ext>
          </a:extLst>
        </cdr:cNvPr>
        <cdr:cNvSpPr/>
      </cdr:nvSpPr>
      <cdr:spPr>
        <a:xfrm xmlns:a="http://schemas.openxmlformats.org/drawingml/2006/main">
          <a:off x="5310967" y="5449650"/>
          <a:ext cx="1583341" cy="16377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3341" h="1637716">
              <a:moveTo>
                <a:pt x="1284660" y="308937"/>
              </a:moveTo>
              <a:lnTo>
                <a:pt x="0" y="1637715"/>
              </a:lnTo>
              <a:lnTo>
                <a:pt x="36259" y="1637715"/>
              </a:lnTo>
              <a:lnTo>
                <a:pt x="1291500" y="339366"/>
              </a:lnTo>
              <a:lnTo>
                <a:pt x="1583340" y="37503"/>
              </a:lnTo>
              <a:lnTo>
                <a:pt x="15833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0.30624</cdr:x>
      <cdr:y>0.29835</cdr:y>
    </cdr:to>
    <cdr:sp macro="" textlink="">
      <cdr:nvSpPr>
        <cdr:cNvPr id="126" name="FracNo 589 StartRow 1616">
          <a:extLst xmlns:a="http://schemas.openxmlformats.org/drawingml/2006/main">
            <a:ext uri="{FF2B5EF4-FFF2-40B4-BE49-F238E27FC236}">
              <a16:creationId xmlns:a16="http://schemas.microsoft.com/office/drawing/2014/main" id="{82FE2260-F4C3-9B9A-FE35-2610046D1DAD}"/>
            </a:ext>
          </a:extLst>
        </cdr:cNvPr>
        <cdr:cNvSpPr/>
      </cdr:nvSpPr>
      <cdr:spPr>
        <a:xfrm xmlns:a="http://schemas.openxmlformats.org/drawingml/2006/main">
          <a:off x="671676" y="651036"/>
          <a:ext cx="1568502" cy="1622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8502" h="1622367">
              <a:moveTo>
                <a:pt x="591916" y="1010122"/>
              </a:moveTo>
              <a:lnTo>
                <a:pt x="0" y="1622366"/>
              </a:lnTo>
              <a:lnTo>
                <a:pt x="0" y="1584863"/>
              </a:lnTo>
              <a:lnTo>
                <a:pt x="578233" y="986772"/>
              </a:lnTo>
              <a:lnTo>
                <a:pt x="1532242" y="0"/>
              </a:lnTo>
              <a:lnTo>
                <a:pt x="1568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0.14727</cdr:x>
      <cdr:y>0.65597</cdr:y>
    </cdr:from>
    <cdr:to>
      <cdr:x>0.36165</cdr:x>
      <cdr:y>0.86885</cdr:y>
    </cdr:to>
    <cdr:sp macro="" textlink="">
      <cdr:nvSpPr>
        <cdr:cNvPr id="127" name="FracNo 27 StartRow 1625">
          <a:extLst xmlns:a="http://schemas.openxmlformats.org/drawingml/2006/main">
            <a:ext uri="{FF2B5EF4-FFF2-40B4-BE49-F238E27FC236}">
              <a16:creationId xmlns:a16="http://schemas.microsoft.com/office/drawing/2014/main" id="{E72BD741-8BE8-F9C4-393F-5F0BA50BE0B4}"/>
            </a:ext>
          </a:extLst>
        </cdr:cNvPr>
        <cdr:cNvSpPr/>
      </cdr:nvSpPr>
      <cdr:spPr>
        <a:xfrm xmlns:a="http://schemas.openxmlformats.org/drawingml/2006/main">
          <a:off x="1077284" y="4998459"/>
          <a:ext cx="1568293" cy="1622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8293" h="1622151">
              <a:moveTo>
                <a:pt x="1371232" y="222579"/>
              </a:moveTo>
              <a:lnTo>
                <a:pt x="18129" y="1622150"/>
              </a:lnTo>
              <a:lnTo>
                <a:pt x="0" y="1603398"/>
              </a:lnTo>
              <a:lnTo>
                <a:pt x="1353103" y="203827"/>
              </a:lnTo>
              <a:lnTo>
                <a:pt x="1550163" y="0"/>
              </a:lnTo>
              <a:lnTo>
                <a:pt x="156829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0.38569</cdr:y>
    </cdr:from>
    <cdr:to>
      <cdr:x>0.30475</cdr:x>
      <cdr:y>0.59959</cdr:y>
    </cdr:to>
    <cdr:sp macro="" textlink="">
      <cdr:nvSpPr>
        <cdr:cNvPr id="128" name="FracNo 671 StartRow 1634">
          <a:extLst xmlns:a="http://schemas.openxmlformats.org/drawingml/2006/main">
            <a:ext uri="{FF2B5EF4-FFF2-40B4-BE49-F238E27FC236}">
              <a16:creationId xmlns:a16="http://schemas.microsoft.com/office/drawing/2014/main" id="{FC6A923A-000B-15CD-4654-91E1DC3ABA56}"/>
            </a:ext>
          </a:extLst>
        </cdr:cNvPr>
        <cdr:cNvSpPr/>
      </cdr:nvSpPr>
      <cdr:spPr>
        <a:xfrm xmlns:a="http://schemas.openxmlformats.org/drawingml/2006/main">
          <a:off x="671676" y="2938993"/>
          <a:ext cx="1557631" cy="16298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7631" h="1629875">
              <a:moveTo>
                <a:pt x="474920" y="1101140"/>
              </a:moveTo>
              <a:lnTo>
                <a:pt x="0" y="1592370"/>
              </a:lnTo>
              <a:lnTo>
                <a:pt x="0" y="1629874"/>
              </a:lnTo>
              <a:lnTo>
                <a:pt x="480513" y="1132860"/>
              </a:lnTo>
              <a:lnTo>
                <a:pt x="1557630" y="18752"/>
              </a:lnTo>
              <a:lnTo>
                <a:pt x="15395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0.38499</cdr:y>
    </cdr:from>
    <cdr:to>
      <cdr:x>0.30156</cdr:x>
      <cdr:y>0.59326</cdr:y>
    </cdr:to>
    <cdr:sp macro="" textlink="">
      <cdr:nvSpPr>
        <cdr:cNvPr id="129" name="FracNo 659 StartRow 1643">
          <a:extLst xmlns:a="http://schemas.openxmlformats.org/drawingml/2006/main">
            <a:ext uri="{FF2B5EF4-FFF2-40B4-BE49-F238E27FC236}">
              <a16:creationId xmlns:a16="http://schemas.microsoft.com/office/drawing/2014/main" id="{8F59854B-C665-E2EA-E52C-0535EE79F619}"/>
            </a:ext>
          </a:extLst>
        </cdr:cNvPr>
        <cdr:cNvSpPr/>
      </cdr:nvSpPr>
      <cdr:spPr>
        <a:xfrm xmlns:a="http://schemas.openxmlformats.org/drawingml/2006/main">
          <a:off x="671676" y="2933621"/>
          <a:ext cx="1534307" cy="1586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4307" h="1586998">
              <a:moveTo>
                <a:pt x="1092913" y="456551"/>
              </a:moveTo>
              <a:lnTo>
                <a:pt x="0" y="1586997"/>
              </a:lnTo>
              <a:lnTo>
                <a:pt x="0" y="1586997"/>
              </a:lnTo>
              <a:lnTo>
                <a:pt x="1092913" y="456551"/>
              </a:lnTo>
              <a:lnTo>
                <a:pt x="1534306" y="0"/>
              </a:lnTo>
              <a:lnTo>
                <a:pt x="15343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0.5995</cdr:x>
      <cdr:y>0.40465</cdr:y>
    </cdr:from>
    <cdr:to>
      <cdr:x>0.81161</cdr:x>
      <cdr:y>0.61527</cdr:y>
    </cdr:to>
    <cdr:sp macro="" textlink="">
      <cdr:nvSpPr>
        <cdr:cNvPr id="130" name="FracNo 192 StartRow 1652">
          <a:extLst xmlns:a="http://schemas.openxmlformats.org/drawingml/2006/main">
            <a:ext uri="{FF2B5EF4-FFF2-40B4-BE49-F238E27FC236}">
              <a16:creationId xmlns:a16="http://schemas.microsoft.com/office/drawing/2014/main" id="{466D4B6C-9180-72B7-20BC-328340993524}"/>
            </a:ext>
          </a:extLst>
        </cdr:cNvPr>
        <cdr:cNvSpPr/>
      </cdr:nvSpPr>
      <cdr:spPr>
        <a:xfrm xmlns:a="http://schemas.openxmlformats.org/drawingml/2006/main">
          <a:off x="4385495" y="3083453"/>
          <a:ext cx="1551623" cy="16049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1623" h="1604909">
              <a:moveTo>
                <a:pt x="572595" y="1031400"/>
              </a:moveTo>
              <a:lnTo>
                <a:pt x="443666" y="1164757"/>
              </a:lnTo>
              <a:lnTo>
                <a:pt x="18129" y="1604908"/>
              </a:lnTo>
              <a:lnTo>
                <a:pt x="0" y="1586156"/>
              </a:lnTo>
              <a:lnTo>
                <a:pt x="425537" y="1146005"/>
              </a:lnTo>
              <a:lnTo>
                <a:pt x="554466" y="1012648"/>
              </a:lnTo>
              <a:lnTo>
                <a:pt x="1533493" y="0"/>
              </a:lnTo>
              <a:lnTo>
                <a:pt x="15516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0.35735</cdr:x>
      <cdr:y>0.44832</cdr:y>
    </cdr:from>
    <cdr:to>
      <cdr:x>0.56712</cdr:x>
      <cdr:y>0.65662</cdr:y>
    </cdr:to>
    <cdr:sp macro="" textlink="">
      <cdr:nvSpPr>
        <cdr:cNvPr id="131" name="FracNo 102 StartRow 1663">
          <a:extLst xmlns:a="http://schemas.openxmlformats.org/drawingml/2006/main">
            <a:ext uri="{FF2B5EF4-FFF2-40B4-BE49-F238E27FC236}">
              <a16:creationId xmlns:a16="http://schemas.microsoft.com/office/drawing/2014/main" id="{863395FD-20CD-DCB4-FE52-63930F519E24}"/>
            </a:ext>
          </a:extLst>
        </cdr:cNvPr>
        <cdr:cNvSpPr/>
      </cdr:nvSpPr>
      <cdr:spPr>
        <a:xfrm xmlns:a="http://schemas.openxmlformats.org/drawingml/2006/main">
          <a:off x="2614102" y="3416207"/>
          <a:ext cx="1534503" cy="1587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4503" h="1587201">
              <a:moveTo>
                <a:pt x="212380" y="1386279"/>
              </a:moveTo>
              <a:lnTo>
                <a:pt x="140849" y="1460266"/>
              </a:lnTo>
              <a:lnTo>
                <a:pt x="68508" y="1535091"/>
              </a:lnTo>
              <a:lnTo>
                <a:pt x="18129" y="1587200"/>
              </a:lnTo>
              <a:lnTo>
                <a:pt x="0" y="1568448"/>
              </a:lnTo>
              <a:lnTo>
                <a:pt x="50379" y="1516339"/>
              </a:lnTo>
              <a:lnTo>
                <a:pt x="122720" y="1441514"/>
              </a:lnTo>
              <a:lnTo>
                <a:pt x="194250" y="1367527"/>
              </a:lnTo>
              <a:lnTo>
                <a:pt x="1516373" y="0"/>
              </a:lnTo>
              <a:lnTo>
                <a:pt x="15345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0.14045</cdr:x>
      <cdr:y>0.7244</cdr:y>
    </cdr:from>
    <cdr:to>
      <cdr:x>0.35009</cdr:x>
      <cdr:y>0.9301</cdr:y>
    </cdr:to>
    <cdr:sp macro="" textlink="">
      <cdr:nvSpPr>
        <cdr:cNvPr id="132" name="FracNo 28 StartRow 1676">
          <a:extLst xmlns:a="http://schemas.openxmlformats.org/drawingml/2006/main">
            <a:ext uri="{FF2B5EF4-FFF2-40B4-BE49-F238E27FC236}">
              <a16:creationId xmlns:a16="http://schemas.microsoft.com/office/drawing/2014/main" id="{1048ABCE-7DA4-085C-8901-0B018F4F85D4}"/>
            </a:ext>
          </a:extLst>
        </cdr:cNvPr>
        <cdr:cNvSpPr/>
      </cdr:nvSpPr>
      <cdr:spPr>
        <a:xfrm xmlns:a="http://schemas.openxmlformats.org/drawingml/2006/main">
          <a:off x="1027450" y="5519921"/>
          <a:ext cx="1533532" cy="15674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3532" h="1567445">
              <a:moveTo>
                <a:pt x="1036534" y="532817"/>
              </a:moveTo>
              <a:lnTo>
                <a:pt x="36259" y="1567444"/>
              </a:lnTo>
              <a:lnTo>
                <a:pt x="0" y="1567444"/>
              </a:lnTo>
              <a:lnTo>
                <a:pt x="1012387" y="520289"/>
              </a:lnTo>
              <a:lnTo>
                <a:pt x="1515402" y="0"/>
              </a:lnTo>
              <a:lnTo>
                <a:pt x="15335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0.47452</cdr:y>
    </cdr:from>
    <cdr:to>
      <cdr:x>0.29422</cdr:x>
      <cdr:y>0.67551</cdr:y>
    </cdr:to>
    <cdr:sp macro="" textlink="">
      <cdr:nvSpPr>
        <cdr:cNvPr id="133" name="FracNo 641 StartRow 1685">
          <a:extLst xmlns:a="http://schemas.openxmlformats.org/drawingml/2006/main">
            <a:ext uri="{FF2B5EF4-FFF2-40B4-BE49-F238E27FC236}">
              <a16:creationId xmlns:a16="http://schemas.microsoft.com/office/drawing/2014/main" id="{A6000BB2-ED86-8F4B-65F9-94CDEBE2E53E}"/>
            </a:ext>
          </a:extLst>
        </cdr:cNvPr>
        <cdr:cNvSpPr/>
      </cdr:nvSpPr>
      <cdr:spPr>
        <a:xfrm xmlns:a="http://schemas.openxmlformats.org/drawingml/2006/main">
          <a:off x="671676" y="3615863"/>
          <a:ext cx="1480638" cy="1531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638" h="1531487">
              <a:moveTo>
                <a:pt x="1047006" y="448523"/>
              </a:moveTo>
              <a:lnTo>
                <a:pt x="198606" y="1326059"/>
              </a:lnTo>
              <a:lnTo>
                <a:pt x="0" y="1531486"/>
              </a:lnTo>
              <a:lnTo>
                <a:pt x="0" y="1531486"/>
              </a:lnTo>
              <a:lnTo>
                <a:pt x="198606" y="1326059"/>
              </a:lnTo>
              <a:lnTo>
                <a:pt x="1047006" y="448523"/>
              </a:lnTo>
              <a:lnTo>
                <a:pt x="1480637" y="0"/>
              </a:lnTo>
              <a:lnTo>
                <a:pt x="14806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0.29334</cdr:x>
      <cdr:y>0.28554</cdr:y>
    </cdr:to>
    <cdr:sp macro="" textlink="">
      <cdr:nvSpPr>
        <cdr:cNvPr id="134" name="FracNo 590 StartRow 1696">
          <a:extLst xmlns:a="http://schemas.openxmlformats.org/drawingml/2006/main">
            <a:ext uri="{FF2B5EF4-FFF2-40B4-BE49-F238E27FC236}">
              <a16:creationId xmlns:a16="http://schemas.microsoft.com/office/drawing/2014/main" id="{F2F1D126-58E0-E14E-01AA-AF7F19130054}"/>
            </a:ext>
          </a:extLst>
        </cdr:cNvPr>
        <cdr:cNvSpPr/>
      </cdr:nvSpPr>
      <cdr:spPr>
        <a:xfrm xmlns:a="http://schemas.openxmlformats.org/drawingml/2006/main">
          <a:off x="671676" y="651036"/>
          <a:ext cx="1474162" cy="1524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4162" h="1524788">
              <a:moveTo>
                <a:pt x="801149" y="696125"/>
              </a:moveTo>
              <a:lnTo>
                <a:pt x="0" y="1524787"/>
              </a:lnTo>
              <a:lnTo>
                <a:pt x="0" y="1487283"/>
              </a:lnTo>
              <a:lnTo>
                <a:pt x="781444" y="679002"/>
              </a:lnTo>
              <a:lnTo>
                <a:pt x="1437903" y="0"/>
              </a:lnTo>
              <a:lnTo>
                <a:pt x="14741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0.65694</cdr:x>
      <cdr:y>0.08544</cdr:y>
    </cdr:from>
    <cdr:to>
      <cdr:x>0.85334</cdr:x>
      <cdr:y>0.28046</cdr:y>
    </cdr:to>
    <cdr:sp macro="" textlink="">
      <cdr:nvSpPr>
        <cdr:cNvPr id="135" name="FracNo 414 StartRow 1705">
          <a:extLst xmlns:a="http://schemas.openxmlformats.org/drawingml/2006/main">
            <a:ext uri="{FF2B5EF4-FFF2-40B4-BE49-F238E27FC236}">
              <a16:creationId xmlns:a16="http://schemas.microsoft.com/office/drawing/2014/main" id="{9E55382D-27E8-5609-0E61-DA5E7E88CB04}"/>
            </a:ext>
          </a:extLst>
        </cdr:cNvPr>
        <cdr:cNvSpPr/>
      </cdr:nvSpPr>
      <cdr:spPr>
        <a:xfrm xmlns:a="http://schemas.openxmlformats.org/drawingml/2006/main">
          <a:off x="4805666" y="651036"/>
          <a:ext cx="1436702" cy="14860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6702" h="1486041">
              <a:moveTo>
                <a:pt x="1179726" y="265800"/>
              </a:moveTo>
              <a:lnTo>
                <a:pt x="14431" y="1471114"/>
              </a:lnTo>
              <a:lnTo>
                <a:pt x="0" y="1486040"/>
              </a:lnTo>
              <a:lnTo>
                <a:pt x="0" y="1486040"/>
              </a:lnTo>
              <a:lnTo>
                <a:pt x="14431" y="1471114"/>
              </a:lnTo>
              <a:lnTo>
                <a:pt x="1179726" y="265800"/>
              </a:lnTo>
              <a:lnTo>
                <a:pt x="1436701" y="0"/>
              </a:lnTo>
              <a:lnTo>
                <a:pt x="14367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0.63901</cdr:x>
      <cdr:y>0.24065</cdr:y>
    </cdr:from>
    <cdr:to>
      <cdr:x>0.83755</cdr:x>
      <cdr:y>0.43779</cdr:y>
    </cdr:to>
    <cdr:sp macro="" textlink="">
      <cdr:nvSpPr>
        <cdr:cNvPr id="136" name="FracNo 734 StartRow 1716">
          <a:extLst xmlns:a="http://schemas.openxmlformats.org/drawingml/2006/main">
            <a:ext uri="{FF2B5EF4-FFF2-40B4-BE49-F238E27FC236}">
              <a16:creationId xmlns:a16="http://schemas.microsoft.com/office/drawing/2014/main" id="{BC6234D5-7D46-4384-6945-FBFB27CF6609}"/>
            </a:ext>
          </a:extLst>
        </cdr:cNvPr>
        <cdr:cNvSpPr/>
      </cdr:nvSpPr>
      <cdr:spPr>
        <a:xfrm xmlns:a="http://schemas.openxmlformats.org/drawingml/2006/main">
          <a:off x="4674514" y="1833775"/>
          <a:ext cx="1452303" cy="1502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2303" h="1502178">
              <a:moveTo>
                <a:pt x="914505" y="537514"/>
              </a:moveTo>
              <a:lnTo>
                <a:pt x="512497" y="953328"/>
              </a:lnTo>
              <a:lnTo>
                <a:pt x="136518" y="1342219"/>
              </a:lnTo>
              <a:lnTo>
                <a:pt x="0" y="1483425"/>
              </a:lnTo>
              <a:lnTo>
                <a:pt x="18129" y="1502177"/>
              </a:lnTo>
              <a:lnTo>
                <a:pt x="154647" y="1360970"/>
              </a:lnTo>
              <a:lnTo>
                <a:pt x="530626" y="972080"/>
              </a:lnTo>
              <a:lnTo>
                <a:pt x="932634" y="556266"/>
              </a:lnTo>
              <a:lnTo>
                <a:pt x="1452302" y="18752"/>
              </a:lnTo>
              <a:lnTo>
                <a:pt x="14341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0.74549</cdr:x>
      <cdr:y>0.73451</cdr:y>
    </cdr:from>
    <cdr:to>
      <cdr:x>0.94246</cdr:x>
      <cdr:y>0.9301</cdr:y>
    </cdr:to>
    <cdr:sp macro="" textlink="">
      <cdr:nvSpPr>
        <cdr:cNvPr id="137" name="FracNo 272 StartRow 1729">
          <a:extLst xmlns:a="http://schemas.openxmlformats.org/drawingml/2006/main">
            <a:ext uri="{FF2B5EF4-FFF2-40B4-BE49-F238E27FC236}">
              <a16:creationId xmlns:a16="http://schemas.microsoft.com/office/drawing/2014/main" id="{09DA5ADF-85DC-4F6B-AD04-AD2A9A8FA87A}"/>
            </a:ext>
          </a:extLst>
        </cdr:cNvPr>
        <cdr:cNvSpPr/>
      </cdr:nvSpPr>
      <cdr:spPr>
        <a:xfrm xmlns:a="http://schemas.openxmlformats.org/drawingml/2006/main">
          <a:off x="5453395" y="5596970"/>
          <a:ext cx="1440913" cy="1490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0913" h="1490396">
              <a:moveTo>
                <a:pt x="182582" y="1301544"/>
              </a:moveTo>
              <a:lnTo>
                <a:pt x="0" y="1490395"/>
              </a:lnTo>
              <a:lnTo>
                <a:pt x="36259" y="1490395"/>
              </a:lnTo>
              <a:lnTo>
                <a:pt x="214246" y="1306295"/>
              </a:lnTo>
              <a:lnTo>
                <a:pt x="1440912" y="37503"/>
              </a:lnTo>
              <a:lnTo>
                <a:pt x="14409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0.46967</cdr:x>
      <cdr:y>0.49834</cdr:y>
    </cdr:from>
    <cdr:to>
      <cdr:x>0.66187</cdr:x>
      <cdr:y>0.68919</cdr:y>
    </cdr:to>
    <cdr:sp macro="" textlink="">
      <cdr:nvSpPr>
        <cdr:cNvPr id="138" name="FracNo 93 StartRow 1738">
          <a:extLst xmlns:a="http://schemas.openxmlformats.org/drawingml/2006/main">
            <a:ext uri="{FF2B5EF4-FFF2-40B4-BE49-F238E27FC236}">
              <a16:creationId xmlns:a16="http://schemas.microsoft.com/office/drawing/2014/main" id="{C4781AE9-0D73-0D29-4424-DB7357087479}"/>
            </a:ext>
          </a:extLst>
        </cdr:cNvPr>
        <cdr:cNvSpPr/>
      </cdr:nvSpPr>
      <cdr:spPr>
        <a:xfrm xmlns:a="http://schemas.openxmlformats.org/drawingml/2006/main">
          <a:off x="3435728" y="3797355"/>
          <a:ext cx="1405969" cy="1454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5969" h="1454253">
              <a:moveTo>
                <a:pt x="1251236" y="160046"/>
              </a:moveTo>
              <a:lnTo>
                <a:pt x="299402" y="1144567"/>
              </a:lnTo>
              <a:lnTo>
                <a:pt x="0" y="1454252"/>
              </a:lnTo>
              <a:lnTo>
                <a:pt x="0" y="1454252"/>
              </a:lnTo>
              <a:lnTo>
                <a:pt x="299402" y="1144567"/>
              </a:lnTo>
              <a:lnTo>
                <a:pt x="1251236" y="160046"/>
              </a:lnTo>
              <a:lnTo>
                <a:pt x="1384369" y="22341"/>
              </a:lnTo>
              <a:lnTo>
                <a:pt x="1405968" y="0"/>
              </a:lnTo>
              <a:lnTo>
                <a:pt x="1405968" y="0"/>
              </a:lnTo>
              <a:lnTo>
                <a:pt x="1384369" y="223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0.65587</cdr:x>
      <cdr:y>0.20769</cdr:y>
    </cdr:from>
    <cdr:to>
      <cdr:x>0.84656</cdr:x>
      <cdr:y>0.39705</cdr:y>
    </cdr:to>
    <cdr:sp macro="" textlink="">
      <cdr:nvSpPr>
        <cdr:cNvPr id="139" name="FracNo 406 StartRow 1751">
          <a:extLst xmlns:a="http://schemas.openxmlformats.org/drawingml/2006/main">
            <a:ext uri="{FF2B5EF4-FFF2-40B4-BE49-F238E27FC236}">
              <a16:creationId xmlns:a16="http://schemas.microsoft.com/office/drawing/2014/main" id="{EF5AB5C7-96CC-45F4-D341-4769C41CE4AD}"/>
            </a:ext>
          </a:extLst>
        </cdr:cNvPr>
        <cdr:cNvSpPr/>
      </cdr:nvSpPr>
      <cdr:spPr>
        <a:xfrm xmlns:a="http://schemas.openxmlformats.org/drawingml/2006/main">
          <a:off x="4797793" y="1582628"/>
          <a:ext cx="1394969" cy="14428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4969" h="1442875">
              <a:moveTo>
                <a:pt x="467905" y="958900"/>
              </a:moveTo>
              <a:lnTo>
                <a:pt x="221418" y="1213851"/>
              </a:lnTo>
              <a:lnTo>
                <a:pt x="22304" y="1419803"/>
              </a:lnTo>
              <a:lnTo>
                <a:pt x="0" y="1442874"/>
              </a:lnTo>
              <a:lnTo>
                <a:pt x="0" y="1442874"/>
              </a:lnTo>
              <a:lnTo>
                <a:pt x="22304" y="1419803"/>
              </a:lnTo>
              <a:lnTo>
                <a:pt x="221418" y="1213851"/>
              </a:lnTo>
              <a:lnTo>
                <a:pt x="467905" y="958900"/>
              </a:lnTo>
              <a:lnTo>
                <a:pt x="1394968" y="0"/>
              </a:lnTo>
              <a:lnTo>
                <a:pt x="13949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0.75233</cdr:x>
      <cdr:y>0.16221</cdr:y>
    </cdr:from>
    <cdr:to>
      <cdr:x>0.94246</cdr:x>
      <cdr:y>0.35101</cdr:y>
    </cdr:to>
    <cdr:sp macro="" textlink="">
      <cdr:nvSpPr>
        <cdr:cNvPr id="140" name="FracNo 407 StartRow 1764">
          <a:extLst xmlns:a="http://schemas.openxmlformats.org/drawingml/2006/main">
            <a:ext uri="{FF2B5EF4-FFF2-40B4-BE49-F238E27FC236}">
              <a16:creationId xmlns:a16="http://schemas.microsoft.com/office/drawing/2014/main" id="{89720EBA-73CD-808F-EF95-69B5F2068788}"/>
            </a:ext>
          </a:extLst>
        </cdr:cNvPr>
        <cdr:cNvSpPr/>
      </cdr:nvSpPr>
      <cdr:spPr>
        <a:xfrm xmlns:a="http://schemas.openxmlformats.org/drawingml/2006/main">
          <a:off x="5503465" y="1236073"/>
          <a:ext cx="1390843" cy="14386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0843" h="1438608">
              <a:moveTo>
                <a:pt x="903958" y="503605"/>
              </a:moveTo>
              <a:lnTo>
                <a:pt x="0" y="1438607"/>
              </a:lnTo>
              <a:lnTo>
                <a:pt x="0" y="1438607"/>
              </a:lnTo>
              <a:lnTo>
                <a:pt x="903958" y="503605"/>
              </a:lnTo>
              <a:lnTo>
                <a:pt x="1390842" y="0"/>
              </a:lnTo>
              <a:lnTo>
                <a:pt x="13908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0.14684</cdr:x>
      <cdr:y>0.17213</cdr:y>
    </cdr:from>
    <cdr:to>
      <cdr:x>0.33625</cdr:x>
      <cdr:y>0.36022</cdr:y>
    </cdr:to>
    <cdr:sp macro="" textlink="">
      <cdr:nvSpPr>
        <cdr:cNvPr id="141" name="FracNo 566 StartRow 1773">
          <a:extLst xmlns:a="http://schemas.openxmlformats.org/drawingml/2006/main">
            <a:ext uri="{FF2B5EF4-FFF2-40B4-BE49-F238E27FC236}">
              <a16:creationId xmlns:a16="http://schemas.microsoft.com/office/drawing/2014/main" id="{2711904D-9CDC-9F24-7660-7DD79AF52C7D}"/>
            </a:ext>
          </a:extLst>
        </cdr:cNvPr>
        <cdr:cNvSpPr/>
      </cdr:nvSpPr>
      <cdr:spPr>
        <a:xfrm xmlns:a="http://schemas.openxmlformats.org/drawingml/2006/main">
          <a:off x="1074161" y="1311655"/>
          <a:ext cx="1385610" cy="1433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5610" h="1433194">
              <a:moveTo>
                <a:pt x="613079" y="799059"/>
              </a:moveTo>
              <a:lnTo>
                <a:pt x="0" y="1433193"/>
              </a:lnTo>
              <a:lnTo>
                <a:pt x="0" y="1433193"/>
              </a:lnTo>
              <a:lnTo>
                <a:pt x="613079" y="799059"/>
              </a:lnTo>
              <a:lnTo>
                <a:pt x="1385609" y="0"/>
              </a:lnTo>
              <a:lnTo>
                <a:pt x="13856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0.56267</cdr:x>
      <cdr:y>0.26003</cdr:y>
    </cdr:from>
    <cdr:to>
      <cdr:x>0.7528</cdr:x>
      <cdr:y>0.44883</cdr:y>
    </cdr:to>
    <cdr:sp macro="" textlink="">
      <cdr:nvSpPr>
        <cdr:cNvPr id="142" name="FracNo 437 StartRow 1782">
          <a:extLst xmlns:a="http://schemas.openxmlformats.org/drawingml/2006/main">
            <a:ext uri="{FF2B5EF4-FFF2-40B4-BE49-F238E27FC236}">
              <a16:creationId xmlns:a16="http://schemas.microsoft.com/office/drawing/2014/main" id="{5E8A8BB3-E82A-5FA1-D458-980005283607}"/>
            </a:ext>
          </a:extLst>
        </cdr:cNvPr>
        <cdr:cNvSpPr/>
      </cdr:nvSpPr>
      <cdr:spPr>
        <a:xfrm xmlns:a="http://schemas.openxmlformats.org/drawingml/2006/main">
          <a:off x="4116076" y="1981461"/>
          <a:ext cx="1390842" cy="14386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0842" h="1438606">
              <a:moveTo>
                <a:pt x="1314677" y="97531"/>
              </a:moveTo>
              <a:lnTo>
                <a:pt x="713085" y="719782"/>
              </a:lnTo>
              <a:lnTo>
                <a:pt x="611947" y="824394"/>
              </a:lnTo>
              <a:lnTo>
                <a:pt x="18129" y="1438605"/>
              </a:lnTo>
              <a:lnTo>
                <a:pt x="0" y="1419853"/>
              </a:lnTo>
              <a:lnTo>
                <a:pt x="593818" y="805642"/>
              </a:lnTo>
              <a:lnTo>
                <a:pt x="694956" y="701031"/>
              </a:lnTo>
              <a:lnTo>
                <a:pt x="1296548" y="78779"/>
              </a:lnTo>
              <a:lnTo>
                <a:pt x="1372711" y="0"/>
              </a:lnTo>
              <a:lnTo>
                <a:pt x="13908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0.62638</cdr:x>
      <cdr:y>0.08544</cdr:y>
    </cdr:from>
    <cdr:to>
      <cdr:x>0.81532</cdr:x>
      <cdr:y>0.27059</cdr:y>
    </cdr:to>
    <cdr:sp macro="" textlink="">
      <cdr:nvSpPr>
        <cdr:cNvPr id="143" name="FracNo 430 StartRow 1795">
          <a:extLst xmlns:a="http://schemas.openxmlformats.org/drawingml/2006/main">
            <a:ext uri="{FF2B5EF4-FFF2-40B4-BE49-F238E27FC236}">
              <a16:creationId xmlns:a16="http://schemas.microsoft.com/office/drawing/2014/main" id="{C7911270-17E7-8AFE-8170-793602390B36}"/>
            </a:ext>
          </a:extLst>
        </cdr:cNvPr>
        <cdr:cNvSpPr/>
      </cdr:nvSpPr>
      <cdr:spPr>
        <a:xfrm xmlns:a="http://schemas.openxmlformats.org/drawingml/2006/main">
          <a:off x="4582063" y="651036"/>
          <a:ext cx="1382135" cy="14108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2135" h="1410848">
              <a:moveTo>
                <a:pt x="1291516" y="56227"/>
              </a:moveTo>
              <a:lnTo>
                <a:pt x="228969" y="1155263"/>
              </a:lnTo>
              <a:lnTo>
                <a:pt x="0" y="1392095"/>
              </a:lnTo>
              <a:lnTo>
                <a:pt x="18130" y="1410847"/>
              </a:lnTo>
              <a:lnTo>
                <a:pt x="247098" y="1174015"/>
              </a:lnTo>
              <a:lnTo>
                <a:pt x="1326892" y="57140"/>
              </a:lnTo>
              <a:lnTo>
                <a:pt x="1382134" y="0"/>
              </a:lnTo>
              <a:lnTo>
                <a:pt x="13458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0.75726</cdr:x>
      <cdr:y>0.17201</cdr:y>
    </cdr:from>
    <cdr:to>
      <cdr:x>0.94246</cdr:x>
      <cdr:y>0.35836</cdr:y>
    </cdr:to>
    <cdr:sp macro="" textlink="">
      <cdr:nvSpPr>
        <cdr:cNvPr id="144" name="FracNo 426 StartRow 1806">
          <a:extLst xmlns:a="http://schemas.openxmlformats.org/drawingml/2006/main">
            <a:ext uri="{FF2B5EF4-FFF2-40B4-BE49-F238E27FC236}">
              <a16:creationId xmlns:a16="http://schemas.microsoft.com/office/drawing/2014/main" id="{733EBE0D-F629-1FE9-804F-EA61F44CDD6E}"/>
            </a:ext>
          </a:extLst>
        </cdr:cNvPr>
        <cdr:cNvSpPr/>
      </cdr:nvSpPr>
      <cdr:spPr>
        <a:xfrm xmlns:a="http://schemas.openxmlformats.org/drawingml/2006/main">
          <a:off x="5539535" y="1310690"/>
          <a:ext cx="1354773" cy="1420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4773" h="1420051">
              <a:moveTo>
                <a:pt x="787917" y="586323"/>
              </a:moveTo>
              <a:lnTo>
                <a:pt x="0" y="1401299"/>
              </a:lnTo>
              <a:lnTo>
                <a:pt x="18129" y="1420050"/>
              </a:lnTo>
              <a:lnTo>
                <a:pt x="795503" y="615980"/>
              </a:lnTo>
              <a:lnTo>
                <a:pt x="1354772" y="37504"/>
              </a:lnTo>
              <a:lnTo>
                <a:pt x="13547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0.34353</cdr:x>
      <cdr:y>0.313</cdr:y>
    </cdr:from>
    <cdr:to>
      <cdr:x>0.52912</cdr:x>
      <cdr:y>0.49729</cdr:y>
    </cdr:to>
    <cdr:sp macro="" textlink="">
      <cdr:nvSpPr>
        <cdr:cNvPr id="145" name="FracNo 356 StartRow 1815">
          <a:extLst xmlns:a="http://schemas.openxmlformats.org/drawingml/2006/main">
            <a:ext uri="{FF2B5EF4-FFF2-40B4-BE49-F238E27FC236}">
              <a16:creationId xmlns:a16="http://schemas.microsoft.com/office/drawing/2014/main" id="{3804C183-1F42-86B8-C2A1-9482AF788CA4}"/>
            </a:ext>
          </a:extLst>
        </cdr:cNvPr>
        <cdr:cNvSpPr/>
      </cdr:nvSpPr>
      <cdr:spPr>
        <a:xfrm xmlns:a="http://schemas.openxmlformats.org/drawingml/2006/main">
          <a:off x="2512960" y="2385023"/>
          <a:ext cx="1357673" cy="1404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7673" h="1404298">
              <a:moveTo>
                <a:pt x="987085" y="402066"/>
              </a:moveTo>
              <a:lnTo>
                <a:pt x="968942" y="420832"/>
              </a:lnTo>
              <a:lnTo>
                <a:pt x="241991" y="1172748"/>
              </a:lnTo>
              <a:lnTo>
                <a:pt x="18130" y="1404297"/>
              </a:lnTo>
              <a:lnTo>
                <a:pt x="0" y="1385545"/>
              </a:lnTo>
              <a:lnTo>
                <a:pt x="223862" y="1153996"/>
              </a:lnTo>
              <a:lnTo>
                <a:pt x="950813" y="402080"/>
              </a:lnTo>
              <a:lnTo>
                <a:pt x="968955" y="383314"/>
              </a:lnTo>
              <a:lnTo>
                <a:pt x="1339543" y="0"/>
              </a:lnTo>
              <a:lnTo>
                <a:pt x="13576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0.57885</cdr:x>
      <cdr:y>0.65854</cdr:y>
    </cdr:from>
    <cdr:to>
      <cdr:x>0.76364</cdr:x>
      <cdr:y>0.84203</cdr:y>
    </cdr:to>
    <cdr:sp macro="" textlink="">
      <cdr:nvSpPr>
        <cdr:cNvPr id="146" name="FracNo 510 StartRow 1828">
          <a:extLst xmlns:a="http://schemas.openxmlformats.org/drawingml/2006/main">
            <a:ext uri="{FF2B5EF4-FFF2-40B4-BE49-F238E27FC236}">
              <a16:creationId xmlns:a16="http://schemas.microsoft.com/office/drawing/2014/main" id="{2E79B4A2-49B0-088B-1B59-9F594ABB7A0B}"/>
            </a:ext>
          </a:extLst>
        </cdr:cNvPr>
        <cdr:cNvSpPr/>
      </cdr:nvSpPr>
      <cdr:spPr>
        <a:xfrm xmlns:a="http://schemas.openxmlformats.org/drawingml/2006/main">
          <a:off x="4234398" y="5018037"/>
          <a:ext cx="1351778" cy="1398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1778" h="1398200">
              <a:moveTo>
                <a:pt x="461698" y="901894"/>
              </a:moveTo>
              <a:lnTo>
                <a:pt x="0" y="1379447"/>
              </a:lnTo>
              <a:lnTo>
                <a:pt x="18130" y="1398199"/>
              </a:lnTo>
              <a:lnTo>
                <a:pt x="479827" y="920645"/>
              </a:lnTo>
              <a:lnTo>
                <a:pt x="594763" y="801762"/>
              </a:lnTo>
              <a:lnTo>
                <a:pt x="1351777" y="18752"/>
              </a:lnTo>
              <a:lnTo>
                <a:pt x="1333648" y="0"/>
              </a:lnTo>
              <a:lnTo>
                <a:pt x="576634" y="7830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0.7603</cdr:x>
      <cdr:y>0.17804</cdr:y>
    </cdr:from>
    <cdr:to>
      <cdr:x>0.94246</cdr:x>
      <cdr:y>0.35892</cdr:y>
    </cdr:to>
    <cdr:sp macro="" textlink="">
      <cdr:nvSpPr>
        <cdr:cNvPr id="147" name="FracNo 405 StartRow 1839">
          <a:extLst xmlns:a="http://schemas.openxmlformats.org/drawingml/2006/main">
            <a:ext uri="{FF2B5EF4-FFF2-40B4-BE49-F238E27FC236}">
              <a16:creationId xmlns:a16="http://schemas.microsoft.com/office/drawing/2014/main" id="{054B1258-56E2-5344-85F9-D7940C37EB93}"/>
            </a:ext>
          </a:extLst>
        </cdr:cNvPr>
        <cdr:cNvSpPr/>
      </cdr:nvSpPr>
      <cdr:spPr>
        <a:xfrm xmlns:a="http://schemas.openxmlformats.org/drawingml/2006/main">
          <a:off x="5561777" y="1356702"/>
          <a:ext cx="1332531" cy="1378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531" h="1378293">
              <a:moveTo>
                <a:pt x="842818" y="506530"/>
              </a:moveTo>
              <a:lnTo>
                <a:pt x="0" y="1378292"/>
              </a:lnTo>
              <a:lnTo>
                <a:pt x="0" y="1378292"/>
              </a:lnTo>
              <a:lnTo>
                <a:pt x="842818" y="506530"/>
              </a:lnTo>
              <a:lnTo>
                <a:pt x="1332530" y="0"/>
              </a:lnTo>
              <a:lnTo>
                <a:pt x="13325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0.62032</cdr:y>
    </cdr:from>
    <cdr:to>
      <cdr:x>0.27408</cdr:x>
      <cdr:y>0.80376</cdr:y>
    </cdr:to>
    <cdr:sp macro="" textlink="">
      <cdr:nvSpPr>
        <cdr:cNvPr id="148" name="FracNo 34 StartRow 1848">
          <a:extLst xmlns:a="http://schemas.openxmlformats.org/drawingml/2006/main">
            <a:ext uri="{FF2B5EF4-FFF2-40B4-BE49-F238E27FC236}">
              <a16:creationId xmlns:a16="http://schemas.microsoft.com/office/drawing/2014/main" id="{73CB5542-066E-AEAE-7F39-3059F8792306}"/>
            </a:ext>
          </a:extLst>
        </cdr:cNvPr>
        <cdr:cNvSpPr/>
      </cdr:nvSpPr>
      <cdr:spPr>
        <a:xfrm xmlns:a="http://schemas.openxmlformats.org/drawingml/2006/main">
          <a:off x="671676" y="4726821"/>
          <a:ext cx="1333271" cy="1397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3271" h="1397810">
              <a:moveTo>
                <a:pt x="742357" y="629958"/>
              </a:moveTo>
              <a:lnTo>
                <a:pt x="0" y="1397809"/>
              </a:lnTo>
              <a:lnTo>
                <a:pt x="0" y="1360306"/>
              </a:lnTo>
              <a:lnTo>
                <a:pt x="730493" y="604726"/>
              </a:lnTo>
              <a:lnTo>
                <a:pt x="1116246" y="205725"/>
              </a:lnTo>
              <a:lnTo>
                <a:pt x="1315141" y="0"/>
              </a:lnTo>
              <a:lnTo>
                <a:pt x="1333270" y="18752"/>
              </a:lnTo>
              <a:lnTo>
                <a:pt x="1134375" y="2244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0.2751</cdr:x>
      <cdr:y>0.26743</cdr:y>
    </cdr:to>
    <cdr:sp macro="" textlink="">
      <cdr:nvSpPr>
        <cdr:cNvPr id="149" name="FracNo 584 StartRow 1859">
          <a:extLst xmlns:a="http://schemas.openxmlformats.org/drawingml/2006/main">
            <a:ext uri="{FF2B5EF4-FFF2-40B4-BE49-F238E27FC236}">
              <a16:creationId xmlns:a16="http://schemas.microsoft.com/office/drawing/2014/main" id="{361EF94C-FBEC-E1D2-9048-AFDCAB6AEE66}"/>
            </a:ext>
          </a:extLst>
        </cdr:cNvPr>
        <cdr:cNvSpPr/>
      </cdr:nvSpPr>
      <cdr:spPr>
        <a:xfrm xmlns:a="http://schemas.openxmlformats.org/drawingml/2006/main">
          <a:off x="671676" y="651036"/>
          <a:ext cx="1340718" cy="1386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0718" h="1386761">
              <a:moveTo>
                <a:pt x="956140" y="360280"/>
              </a:moveTo>
              <a:lnTo>
                <a:pt x="0" y="1349256"/>
              </a:lnTo>
              <a:lnTo>
                <a:pt x="0" y="1386760"/>
              </a:lnTo>
              <a:lnTo>
                <a:pt x="982717" y="370294"/>
              </a:lnTo>
              <a:lnTo>
                <a:pt x="1340717" y="0"/>
              </a:lnTo>
              <a:lnTo>
                <a:pt x="13044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0.76086</cdr:x>
      <cdr:y>0.47791</cdr:y>
    </cdr:from>
    <cdr:to>
      <cdr:x>0.94246</cdr:x>
      <cdr:y>0.6607</cdr:y>
    </cdr:to>
    <cdr:sp macro="" textlink="">
      <cdr:nvSpPr>
        <cdr:cNvPr id="150" name="FracNo 189 StartRow 1868">
          <a:extLst xmlns:a="http://schemas.openxmlformats.org/drawingml/2006/main">
            <a:ext uri="{FF2B5EF4-FFF2-40B4-BE49-F238E27FC236}">
              <a16:creationId xmlns:a16="http://schemas.microsoft.com/office/drawing/2014/main" id="{0077E1D6-1453-32A5-64C3-BF851380D23C}"/>
            </a:ext>
          </a:extLst>
        </cdr:cNvPr>
        <cdr:cNvSpPr/>
      </cdr:nvSpPr>
      <cdr:spPr>
        <a:xfrm xmlns:a="http://schemas.openxmlformats.org/drawingml/2006/main">
          <a:off x="5565828" y="3641641"/>
          <a:ext cx="1328480" cy="13928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8480" h="1392855">
              <a:moveTo>
                <a:pt x="871884" y="509779"/>
              </a:moveTo>
              <a:lnTo>
                <a:pt x="98563" y="1309657"/>
              </a:lnTo>
              <a:lnTo>
                <a:pt x="18129" y="1392854"/>
              </a:lnTo>
              <a:lnTo>
                <a:pt x="0" y="1374102"/>
              </a:lnTo>
              <a:lnTo>
                <a:pt x="80434" y="1290905"/>
              </a:lnTo>
              <a:lnTo>
                <a:pt x="865153" y="479237"/>
              </a:lnTo>
              <a:lnTo>
                <a:pt x="1328479" y="0"/>
              </a:lnTo>
              <a:lnTo>
                <a:pt x="132847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0.73804</cdr:x>
      <cdr:y>0.08544</cdr:y>
    </cdr:from>
    <cdr:to>
      <cdr:x>0.92187</cdr:x>
      <cdr:y>0.26551</cdr:y>
    </cdr:to>
    <cdr:sp macro="" textlink="">
      <cdr:nvSpPr>
        <cdr:cNvPr id="151" name="FracNo 434 StartRow 1879">
          <a:extLst xmlns:a="http://schemas.openxmlformats.org/drawingml/2006/main">
            <a:ext uri="{FF2B5EF4-FFF2-40B4-BE49-F238E27FC236}">
              <a16:creationId xmlns:a16="http://schemas.microsoft.com/office/drawing/2014/main" id="{52D25128-BEF4-8689-5419-E595895D231E}"/>
            </a:ext>
          </a:extLst>
        </cdr:cNvPr>
        <cdr:cNvSpPr/>
      </cdr:nvSpPr>
      <cdr:spPr>
        <a:xfrm xmlns:a="http://schemas.openxmlformats.org/drawingml/2006/main">
          <a:off x="5398901" y="651036"/>
          <a:ext cx="1344750" cy="1372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4750" h="1372180">
              <a:moveTo>
                <a:pt x="51302" y="1337866"/>
              </a:moveTo>
              <a:lnTo>
                <a:pt x="18130" y="1372179"/>
              </a:lnTo>
              <a:lnTo>
                <a:pt x="0" y="1353427"/>
              </a:lnTo>
              <a:lnTo>
                <a:pt x="32720" y="1319584"/>
              </a:lnTo>
              <a:lnTo>
                <a:pt x="1308490" y="0"/>
              </a:lnTo>
              <a:lnTo>
                <a:pt x="1344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0.56607</cdr:x>
      <cdr:y>0.08544</cdr:y>
    </cdr:from>
    <cdr:to>
      <cdr:x>0.74972</cdr:x>
      <cdr:y>0.26534</cdr:y>
    </cdr:to>
    <cdr:sp macro="" textlink="">
      <cdr:nvSpPr>
        <cdr:cNvPr id="152" name="FracNo 343 StartRow 1888">
          <a:extLst xmlns:a="http://schemas.openxmlformats.org/drawingml/2006/main">
            <a:ext uri="{FF2B5EF4-FFF2-40B4-BE49-F238E27FC236}">
              <a16:creationId xmlns:a16="http://schemas.microsoft.com/office/drawing/2014/main" id="{85B800A5-5AC6-AF0A-7633-A75874264FE0}"/>
            </a:ext>
          </a:extLst>
        </cdr:cNvPr>
        <cdr:cNvSpPr/>
      </cdr:nvSpPr>
      <cdr:spPr>
        <a:xfrm xmlns:a="http://schemas.openxmlformats.org/drawingml/2006/main">
          <a:off x="4140918" y="651036"/>
          <a:ext cx="1343463" cy="13708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3463" h="1370848">
              <a:moveTo>
                <a:pt x="84847" y="1301839"/>
              </a:moveTo>
              <a:lnTo>
                <a:pt x="18129" y="1370847"/>
              </a:lnTo>
              <a:lnTo>
                <a:pt x="0" y="1352095"/>
              </a:lnTo>
              <a:lnTo>
                <a:pt x="65851" y="1283983"/>
              </a:lnTo>
              <a:lnTo>
                <a:pt x="665735" y="663497"/>
              </a:lnTo>
              <a:lnTo>
                <a:pt x="1307203" y="0"/>
              </a:lnTo>
              <a:lnTo>
                <a:pt x="1343462" y="0"/>
              </a:lnTo>
              <a:lnTo>
                <a:pt x="692622" y="6731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0.32492</cdr:y>
    </cdr:from>
    <cdr:to>
      <cdr:x>0.27045</cdr:x>
      <cdr:y>0.5023</cdr:y>
    </cdr:to>
    <cdr:sp macro="" textlink="">
      <cdr:nvSpPr>
        <cdr:cNvPr id="153" name="FracNo 650 StartRow 1899">
          <a:extLst xmlns:a="http://schemas.openxmlformats.org/drawingml/2006/main">
            <a:ext uri="{FF2B5EF4-FFF2-40B4-BE49-F238E27FC236}">
              <a16:creationId xmlns:a16="http://schemas.microsoft.com/office/drawing/2014/main" id="{460FF39A-1388-F506-E010-CCD140583F5B}"/>
            </a:ext>
          </a:extLst>
        </cdr:cNvPr>
        <cdr:cNvSpPr/>
      </cdr:nvSpPr>
      <cdr:spPr>
        <a:xfrm xmlns:a="http://schemas.openxmlformats.org/drawingml/2006/main">
          <a:off x="671676" y="2475891"/>
          <a:ext cx="1306746" cy="13516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6746" h="1351622">
              <a:moveTo>
                <a:pt x="873114" y="448523"/>
              </a:moveTo>
              <a:lnTo>
                <a:pt x="0" y="1351621"/>
              </a:lnTo>
              <a:lnTo>
                <a:pt x="0" y="1351621"/>
              </a:lnTo>
              <a:lnTo>
                <a:pt x="873114" y="448523"/>
              </a:lnTo>
              <a:lnTo>
                <a:pt x="996801" y="320588"/>
              </a:lnTo>
              <a:lnTo>
                <a:pt x="1306745" y="0"/>
              </a:lnTo>
              <a:lnTo>
                <a:pt x="1306745" y="0"/>
              </a:lnTo>
              <a:lnTo>
                <a:pt x="996801" y="3205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0.53344</cdr:y>
    </cdr:from>
    <cdr:to>
      <cdr:x>0.27117</cdr:x>
      <cdr:y>0.71399</cdr:y>
    </cdr:to>
    <cdr:sp macro="" textlink="">
      <cdr:nvSpPr>
        <cdr:cNvPr id="154" name="FracNo 736 StartRow 1910">
          <a:extLst xmlns:a="http://schemas.openxmlformats.org/drawingml/2006/main">
            <a:ext uri="{FF2B5EF4-FFF2-40B4-BE49-F238E27FC236}">
              <a16:creationId xmlns:a16="http://schemas.microsoft.com/office/drawing/2014/main" id="{795E0800-F50B-C512-5890-7A13AEBD7B02}"/>
            </a:ext>
          </a:extLst>
        </cdr:cNvPr>
        <cdr:cNvSpPr/>
      </cdr:nvSpPr>
      <cdr:spPr>
        <a:xfrm xmlns:a="http://schemas.openxmlformats.org/drawingml/2006/main">
          <a:off x="671676" y="4064808"/>
          <a:ext cx="1311989" cy="1375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1989" h="1375797">
              <a:moveTo>
                <a:pt x="125793" y="1245683"/>
              </a:moveTo>
              <a:lnTo>
                <a:pt x="0" y="1375796"/>
              </a:lnTo>
              <a:lnTo>
                <a:pt x="0" y="1338292"/>
              </a:lnTo>
              <a:lnTo>
                <a:pt x="120972" y="1213166"/>
              </a:lnTo>
              <a:lnTo>
                <a:pt x="454931" y="867738"/>
              </a:lnTo>
              <a:lnTo>
                <a:pt x="1293859" y="0"/>
              </a:lnTo>
              <a:lnTo>
                <a:pt x="1311988" y="18752"/>
              </a:lnTo>
              <a:lnTo>
                <a:pt x="473060" y="8864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0.66514</cdr:x>
      <cdr:y>0.24806</cdr:y>
    </cdr:from>
    <cdr:to>
      <cdr:x>0.84253</cdr:x>
      <cdr:y>0.4242</cdr:y>
    </cdr:to>
    <cdr:sp macro="" textlink="">
      <cdr:nvSpPr>
        <cdr:cNvPr id="155" name="FracNo 415 StartRow 1921">
          <a:extLst xmlns:a="http://schemas.openxmlformats.org/drawingml/2006/main">
            <a:ext uri="{FF2B5EF4-FFF2-40B4-BE49-F238E27FC236}">
              <a16:creationId xmlns:a16="http://schemas.microsoft.com/office/drawing/2014/main" id="{6AAF59C5-E909-D075-7F4C-68EAC7A57F53}"/>
            </a:ext>
          </a:extLst>
        </cdr:cNvPr>
        <cdr:cNvSpPr/>
      </cdr:nvSpPr>
      <cdr:spPr>
        <a:xfrm xmlns:a="http://schemas.openxmlformats.org/drawingml/2006/main">
          <a:off x="4865596" y="1890212"/>
          <a:ext cx="1297655" cy="13422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7655" h="1342220">
              <a:moveTo>
                <a:pt x="1040627" y="265854"/>
              </a:moveTo>
              <a:lnTo>
                <a:pt x="421477" y="906267"/>
              </a:lnTo>
              <a:lnTo>
                <a:pt x="0" y="1342219"/>
              </a:lnTo>
              <a:lnTo>
                <a:pt x="0" y="1342219"/>
              </a:lnTo>
              <a:lnTo>
                <a:pt x="421477" y="906267"/>
              </a:lnTo>
              <a:lnTo>
                <a:pt x="1040627" y="265854"/>
              </a:lnTo>
              <a:lnTo>
                <a:pt x="1297654" y="0"/>
              </a:lnTo>
              <a:lnTo>
                <a:pt x="12976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0.43409</cdr:x>
      <cdr:y>0.50402</cdr:y>
    </cdr:from>
    <cdr:to>
      <cdr:x>0.61379</cdr:x>
      <cdr:y>0.68245</cdr:y>
    </cdr:to>
    <cdr:sp macro="" textlink="">
      <cdr:nvSpPr>
        <cdr:cNvPr id="156" name="FracNo 103 StartRow 1932">
          <a:extLst xmlns:a="http://schemas.openxmlformats.org/drawingml/2006/main">
            <a:ext uri="{FF2B5EF4-FFF2-40B4-BE49-F238E27FC236}">
              <a16:creationId xmlns:a16="http://schemas.microsoft.com/office/drawing/2014/main" id="{BEE385FF-16F8-9291-2DC2-91D763600874}"/>
            </a:ext>
          </a:extLst>
        </cdr:cNvPr>
        <cdr:cNvSpPr/>
      </cdr:nvSpPr>
      <cdr:spPr>
        <a:xfrm xmlns:a="http://schemas.openxmlformats.org/drawingml/2006/main">
          <a:off x="3175437" y="3840621"/>
          <a:ext cx="1314527" cy="1359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4527" h="1359670">
              <a:moveTo>
                <a:pt x="848948" y="462814"/>
              </a:moveTo>
              <a:lnTo>
                <a:pt x="240725" y="1091925"/>
              </a:lnTo>
              <a:lnTo>
                <a:pt x="0" y="1340917"/>
              </a:lnTo>
              <a:lnTo>
                <a:pt x="18129" y="1359669"/>
              </a:lnTo>
              <a:lnTo>
                <a:pt x="258854" y="1110677"/>
              </a:lnTo>
              <a:lnTo>
                <a:pt x="867077" y="481566"/>
              </a:lnTo>
              <a:lnTo>
                <a:pt x="1314526" y="18752"/>
              </a:lnTo>
              <a:lnTo>
                <a:pt x="12963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0.7657</cdr:x>
      <cdr:y>0.25258</cdr:y>
    </cdr:from>
    <cdr:to>
      <cdr:x>0.94246</cdr:x>
      <cdr:y>0.42809</cdr:y>
    </cdr:to>
    <cdr:sp macro="" textlink="">
      <cdr:nvSpPr>
        <cdr:cNvPr id="157" name="FracNo 164 StartRow 1943">
          <a:extLst xmlns:a="http://schemas.openxmlformats.org/drawingml/2006/main">
            <a:ext uri="{FF2B5EF4-FFF2-40B4-BE49-F238E27FC236}">
              <a16:creationId xmlns:a16="http://schemas.microsoft.com/office/drawing/2014/main" id="{1B6BEA71-AF55-6FFF-7553-78D411628C46}"/>
            </a:ext>
          </a:extLst>
        </cdr:cNvPr>
        <cdr:cNvSpPr/>
      </cdr:nvSpPr>
      <cdr:spPr>
        <a:xfrm xmlns:a="http://schemas.openxmlformats.org/drawingml/2006/main">
          <a:off x="5601273" y="1924627"/>
          <a:ext cx="1293035" cy="1337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3035" h="1337441">
              <a:moveTo>
                <a:pt x="81779" y="1252852"/>
              </a:moveTo>
              <a:lnTo>
                <a:pt x="0" y="1337440"/>
              </a:lnTo>
              <a:lnTo>
                <a:pt x="0" y="1337440"/>
              </a:lnTo>
              <a:lnTo>
                <a:pt x="81779" y="1252852"/>
              </a:lnTo>
              <a:lnTo>
                <a:pt x="450129" y="871852"/>
              </a:lnTo>
              <a:lnTo>
                <a:pt x="1293034" y="0"/>
              </a:lnTo>
              <a:lnTo>
                <a:pt x="1293034" y="0"/>
              </a:lnTo>
              <a:lnTo>
                <a:pt x="450129" y="8718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0.75119</cdr:x>
      <cdr:y>0.08544</cdr:y>
    </cdr:from>
    <cdr:to>
      <cdr:x>0.92788</cdr:x>
      <cdr:y>0.26089</cdr:y>
    </cdr:to>
    <cdr:sp macro="" textlink="">
      <cdr:nvSpPr>
        <cdr:cNvPr id="158" name="FracNo 408 StartRow 1954">
          <a:extLst xmlns:a="http://schemas.openxmlformats.org/drawingml/2006/main">
            <a:ext uri="{FF2B5EF4-FFF2-40B4-BE49-F238E27FC236}">
              <a16:creationId xmlns:a16="http://schemas.microsoft.com/office/drawing/2014/main" id="{7905D54F-EA37-CD0D-EDD8-DEF3366B75BC}"/>
            </a:ext>
          </a:extLst>
        </cdr:cNvPr>
        <cdr:cNvSpPr/>
      </cdr:nvSpPr>
      <cdr:spPr>
        <a:xfrm xmlns:a="http://schemas.openxmlformats.org/drawingml/2006/main">
          <a:off x="5495099" y="651036"/>
          <a:ext cx="1292565" cy="13369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2565" h="1336955">
              <a:moveTo>
                <a:pt x="0" y="1336954"/>
              </a:moveTo>
              <a:lnTo>
                <a:pt x="0" y="1336954"/>
              </a:lnTo>
              <a:lnTo>
                <a:pt x="1292564" y="0"/>
              </a:lnTo>
              <a:lnTo>
                <a:pt x="12925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0.52974</cdr:y>
    </cdr:from>
    <cdr:to>
      <cdr:x>0.26744</cdr:x>
      <cdr:y>0.70658</cdr:y>
    </cdr:to>
    <cdr:sp macro="" textlink="">
      <cdr:nvSpPr>
        <cdr:cNvPr id="159" name="FracNo 674 StartRow 1961">
          <a:extLst xmlns:a="http://schemas.openxmlformats.org/drawingml/2006/main">
            <a:ext uri="{FF2B5EF4-FFF2-40B4-BE49-F238E27FC236}">
              <a16:creationId xmlns:a16="http://schemas.microsoft.com/office/drawing/2014/main" id="{C4B0528F-92F9-84BA-1C6D-2F06144CFE08}"/>
            </a:ext>
          </a:extLst>
        </cdr:cNvPr>
        <cdr:cNvSpPr/>
      </cdr:nvSpPr>
      <cdr:spPr>
        <a:xfrm xmlns:a="http://schemas.openxmlformats.org/drawingml/2006/main">
          <a:off x="671676" y="4036593"/>
          <a:ext cx="1284711" cy="13475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711" h="1347582">
              <a:moveTo>
                <a:pt x="695792" y="627894"/>
              </a:moveTo>
              <a:lnTo>
                <a:pt x="414824" y="918511"/>
              </a:lnTo>
              <a:lnTo>
                <a:pt x="0" y="1347581"/>
              </a:lnTo>
              <a:lnTo>
                <a:pt x="0" y="1310077"/>
              </a:lnTo>
              <a:lnTo>
                <a:pt x="404054" y="892147"/>
              </a:lnTo>
              <a:lnTo>
                <a:pt x="682645" y="603989"/>
              </a:lnTo>
              <a:lnTo>
                <a:pt x="1266581" y="0"/>
              </a:lnTo>
              <a:lnTo>
                <a:pt x="128471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0.54678</cdr:x>
      <cdr:y>0.4245</cdr:y>
    </cdr:from>
    <cdr:to>
      <cdr:x>0.7228</cdr:x>
      <cdr:y>0.59928</cdr:y>
    </cdr:to>
    <cdr:sp macro="" textlink="">
      <cdr:nvSpPr>
        <cdr:cNvPr id="160" name="FracNo 737 StartRow 1972">
          <a:extLst xmlns:a="http://schemas.openxmlformats.org/drawingml/2006/main">
            <a:ext uri="{FF2B5EF4-FFF2-40B4-BE49-F238E27FC236}">
              <a16:creationId xmlns:a16="http://schemas.microsoft.com/office/drawing/2014/main" id="{62005BDF-0E3F-74BC-E4FA-63D369ACD5DF}"/>
            </a:ext>
          </a:extLst>
        </cdr:cNvPr>
        <cdr:cNvSpPr/>
      </cdr:nvSpPr>
      <cdr:spPr>
        <a:xfrm xmlns:a="http://schemas.openxmlformats.org/drawingml/2006/main">
          <a:off x="3999837" y="3234723"/>
          <a:ext cx="1287573" cy="1331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7573" h="1331791">
              <a:moveTo>
                <a:pt x="163624" y="1181297"/>
              </a:moveTo>
              <a:lnTo>
                <a:pt x="18129" y="1331790"/>
              </a:lnTo>
              <a:lnTo>
                <a:pt x="0" y="1313038"/>
              </a:lnTo>
              <a:lnTo>
                <a:pt x="145495" y="1162545"/>
              </a:lnTo>
              <a:lnTo>
                <a:pt x="811195" y="473984"/>
              </a:lnTo>
              <a:lnTo>
                <a:pt x="1269443" y="0"/>
              </a:lnTo>
              <a:lnTo>
                <a:pt x="1287572" y="18751"/>
              </a:lnTo>
              <a:lnTo>
                <a:pt x="829324" y="4927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0.76895</cdr:x>
      <cdr:y>0.12643</cdr:y>
    </cdr:from>
    <cdr:to>
      <cdr:x>0.94246</cdr:x>
      <cdr:y>0.29873</cdr:y>
    </cdr:to>
    <cdr:sp macro="" textlink="">
      <cdr:nvSpPr>
        <cdr:cNvPr id="161" name="FracNo 404 StartRow 1983">
          <a:extLst xmlns:a="http://schemas.openxmlformats.org/drawingml/2006/main">
            <a:ext uri="{FF2B5EF4-FFF2-40B4-BE49-F238E27FC236}">
              <a16:creationId xmlns:a16="http://schemas.microsoft.com/office/drawing/2014/main" id="{EF674D80-A0BB-4AA8-78ED-924FDABA25C2}"/>
            </a:ext>
          </a:extLst>
        </cdr:cNvPr>
        <cdr:cNvSpPr/>
      </cdr:nvSpPr>
      <cdr:spPr>
        <a:xfrm xmlns:a="http://schemas.openxmlformats.org/drawingml/2006/main">
          <a:off x="5625036" y="963433"/>
          <a:ext cx="1269272" cy="1312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9272" h="1312862">
              <a:moveTo>
                <a:pt x="1214585" y="56565"/>
              </a:moveTo>
              <a:lnTo>
                <a:pt x="0" y="1312861"/>
              </a:lnTo>
              <a:lnTo>
                <a:pt x="0" y="1312861"/>
              </a:lnTo>
              <a:lnTo>
                <a:pt x="1214585" y="56565"/>
              </a:lnTo>
              <a:lnTo>
                <a:pt x="1269271" y="0"/>
              </a:lnTo>
              <a:lnTo>
                <a:pt x="12692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0.76787</cdr:x>
      <cdr:y>0.0864</cdr:y>
    </cdr:from>
    <cdr:to>
      <cdr:x>0.94246</cdr:x>
      <cdr:y>0.261</cdr:y>
    </cdr:to>
    <cdr:sp macro="" textlink="">
      <cdr:nvSpPr>
        <cdr:cNvPr id="162" name="FracNo 722 StartRow 1992">
          <a:extLst xmlns:a="http://schemas.openxmlformats.org/drawingml/2006/main">
            <a:ext uri="{FF2B5EF4-FFF2-40B4-BE49-F238E27FC236}">
              <a16:creationId xmlns:a16="http://schemas.microsoft.com/office/drawing/2014/main" id="{670F3C4A-B852-75FE-7A42-0E7EFB299B24}"/>
            </a:ext>
          </a:extLst>
        </cdr:cNvPr>
        <cdr:cNvSpPr/>
      </cdr:nvSpPr>
      <cdr:spPr>
        <a:xfrm xmlns:a="http://schemas.openxmlformats.org/drawingml/2006/main">
          <a:off x="5617113" y="658378"/>
          <a:ext cx="1277195" cy="1330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7195" h="1330433">
              <a:moveTo>
                <a:pt x="186382" y="1156401"/>
              </a:moveTo>
              <a:lnTo>
                <a:pt x="18129" y="1330432"/>
              </a:lnTo>
              <a:lnTo>
                <a:pt x="0" y="1311680"/>
              </a:lnTo>
              <a:lnTo>
                <a:pt x="169464" y="1136397"/>
              </a:lnTo>
              <a:lnTo>
                <a:pt x="1268130" y="0"/>
              </a:lnTo>
              <a:lnTo>
                <a:pt x="1277194" y="281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0.76808</cdr:x>
      <cdr:y>0.2573</cdr:y>
    </cdr:from>
    <cdr:to>
      <cdr:x>0.94246</cdr:x>
      <cdr:y>0.43292</cdr:y>
    </cdr:to>
    <cdr:sp macro="" textlink="">
      <cdr:nvSpPr>
        <cdr:cNvPr id="163" name="FracNo 181 StartRow 2001">
          <a:extLst xmlns:a="http://schemas.openxmlformats.org/drawingml/2006/main">
            <a:ext uri="{FF2B5EF4-FFF2-40B4-BE49-F238E27FC236}">
              <a16:creationId xmlns:a16="http://schemas.microsoft.com/office/drawing/2014/main" id="{38FF595D-A191-2FFC-003C-8AC221B336FF}"/>
            </a:ext>
          </a:extLst>
        </cdr:cNvPr>
        <cdr:cNvSpPr/>
      </cdr:nvSpPr>
      <cdr:spPr>
        <a:xfrm xmlns:a="http://schemas.openxmlformats.org/drawingml/2006/main">
          <a:off x="5618692" y="1960660"/>
          <a:ext cx="1275616" cy="1338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5616" h="1338176">
              <a:moveTo>
                <a:pt x="277921" y="1069460"/>
              </a:moveTo>
              <a:lnTo>
                <a:pt x="18129" y="1338175"/>
              </a:lnTo>
              <a:lnTo>
                <a:pt x="0" y="1319423"/>
              </a:lnTo>
              <a:lnTo>
                <a:pt x="261921" y="1048507"/>
              </a:lnTo>
              <a:lnTo>
                <a:pt x="478556" y="824431"/>
              </a:lnTo>
              <a:lnTo>
                <a:pt x="1275615" y="0"/>
              </a:lnTo>
              <a:lnTo>
                <a:pt x="1275615" y="37504"/>
              </a:lnTo>
              <a:lnTo>
                <a:pt x="492796" y="8472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0.10921</cdr:y>
    </cdr:from>
    <cdr:to>
      <cdr:x>0.26369</cdr:x>
      <cdr:y>0.27987</cdr:y>
    </cdr:to>
    <cdr:sp macro="" textlink="">
      <cdr:nvSpPr>
        <cdr:cNvPr id="164" name="FracNo 562 StartRow 2012">
          <a:extLst xmlns:a="http://schemas.openxmlformats.org/drawingml/2006/main">
            <a:ext uri="{FF2B5EF4-FFF2-40B4-BE49-F238E27FC236}">
              <a16:creationId xmlns:a16="http://schemas.microsoft.com/office/drawing/2014/main" id="{009EF95F-9151-223E-52C0-AC73A46CCA30}"/>
            </a:ext>
          </a:extLst>
        </cdr:cNvPr>
        <cdr:cNvSpPr/>
      </cdr:nvSpPr>
      <cdr:spPr>
        <a:xfrm xmlns:a="http://schemas.openxmlformats.org/drawingml/2006/main">
          <a:off x="671676" y="832148"/>
          <a:ext cx="1257263" cy="13004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7263" h="1300440">
              <a:moveTo>
                <a:pt x="1234953" y="23075"/>
              </a:moveTo>
              <a:lnTo>
                <a:pt x="0" y="1300439"/>
              </a:lnTo>
              <a:lnTo>
                <a:pt x="0" y="1300439"/>
              </a:lnTo>
              <a:lnTo>
                <a:pt x="1234953" y="23075"/>
              </a:lnTo>
              <a:lnTo>
                <a:pt x="1257262" y="0"/>
              </a:lnTo>
              <a:lnTo>
                <a:pt x="12572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0.20781</cdr:x>
      <cdr:y>0.201</cdr:y>
    </cdr:from>
    <cdr:to>
      <cdr:x>0.37928</cdr:x>
      <cdr:y>0.37126</cdr:y>
    </cdr:to>
    <cdr:sp macro="" textlink="">
      <cdr:nvSpPr>
        <cdr:cNvPr id="165" name="FracNo 575 StartRow 2021">
          <a:extLst xmlns:a="http://schemas.openxmlformats.org/drawingml/2006/main">
            <a:ext uri="{FF2B5EF4-FFF2-40B4-BE49-F238E27FC236}">
              <a16:creationId xmlns:a16="http://schemas.microsoft.com/office/drawing/2014/main" id="{949CB6B0-4247-1C83-DFD9-4AC8409A6BFD}"/>
            </a:ext>
          </a:extLst>
        </cdr:cNvPr>
        <cdr:cNvSpPr/>
      </cdr:nvSpPr>
      <cdr:spPr>
        <a:xfrm xmlns:a="http://schemas.openxmlformats.org/drawingml/2006/main">
          <a:off x="1520174" y="1531609"/>
          <a:ext cx="1254315" cy="1297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315" h="1297391">
              <a:moveTo>
                <a:pt x="419549" y="863433"/>
              </a:moveTo>
              <a:lnTo>
                <a:pt x="31440" y="1264870"/>
              </a:lnTo>
              <a:lnTo>
                <a:pt x="0" y="1297390"/>
              </a:lnTo>
              <a:lnTo>
                <a:pt x="0" y="1297390"/>
              </a:lnTo>
              <a:lnTo>
                <a:pt x="31440" y="1264870"/>
              </a:lnTo>
              <a:lnTo>
                <a:pt x="419549" y="863433"/>
              </a:lnTo>
              <a:lnTo>
                <a:pt x="1225712" y="29584"/>
              </a:lnTo>
              <a:lnTo>
                <a:pt x="1254314" y="0"/>
              </a:lnTo>
              <a:lnTo>
                <a:pt x="1254314" y="0"/>
              </a:lnTo>
              <a:lnTo>
                <a:pt x="1225712" y="295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0.32949</cdr:x>
      <cdr:y>0.17949</cdr:y>
    </cdr:from>
    <cdr:to>
      <cdr:x>0.50314</cdr:x>
      <cdr:y>0.35192</cdr:y>
    </cdr:to>
    <cdr:sp macro="" textlink="">
      <cdr:nvSpPr>
        <cdr:cNvPr id="166" name="FracNo 725 StartRow 2034">
          <a:extLst xmlns:a="http://schemas.openxmlformats.org/drawingml/2006/main">
            <a:ext uri="{FF2B5EF4-FFF2-40B4-BE49-F238E27FC236}">
              <a16:creationId xmlns:a16="http://schemas.microsoft.com/office/drawing/2014/main" id="{FD57CC1A-C80A-8917-BE01-8F86EB3C77FB}"/>
            </a:ext>
          </a:extLst>
        </cdr:cNvPr>
        <cdr:cNvSpPr/>
      </cdr:nvSpPr>
      <cdr:spPr>
        <a:xfrm xmlns:a="http://schemas.openxmlformats.org/drawingml/2006/main">
          <a:off x="2410273" y="1367741"/>
          <a:ext cx="1270267" cy="1313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267" h="1313890">
              <a:moveTo>
                <a:pt x="170899" y="1118369"/>
              </a:moveTo>
              <a:lnTo>
                <a:pt x="0" y="1295137"/>
              </a:lnTo>
              <a:lnTo>
                <a:pt x="18129" y="1313889"/>
              </a:lnTo>
              <a:lnTo>
                <a:pt x="189028" y="1137121"/>
              </a:lnTo>
              <a:lnTo>
                <a:pt x="344678" y="976126"/>
              </a:lnTo>
              <a:lnTo>
                <a:pt x="1270266" y="18752"/>
              </a:lnTo>
              <a:lnTo>
                <a:pt x="1252136" y="0"/>
              </a:lnTo>
              <a:lnTo>
                <a:pt x="326549" y="9573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0.33347</cdr:x>
      <cdr:y>0.18345</cdr:y>
    </cdr:from>
    <cdr:to>
      <cdr:x>0.50464</cdr:x>
      <cdr:y>0.35342</cdr:y>
    </cdr:to>
    <cdr:sp macro="" textlink="">
      <cdr:nvSpPr>
        <cdr:cNvPr id="167" name="FracNo 338 StartRow 2045">
          <a:extLst xmlns:a="http://schemas.openxmlformats.org/drawingml/2006/main">
            <a:ext uri="{FF2B5EF4-FFF2-40B4-BE49-F238E27FC236}">
              <a16:creationId xmlns:a16="http://schemas.microsoft.com/office/drawing/2014/main" id="{902692FA-F2F0-B080-A306-2A8CFB27A43C}"/>
            </a:ext>
          </a:extLst>
        </cdr:cNvPr>
        <cdr:cNvSpPr/>
      </cdr:nvSpPr>
      <cdr:spPr>
        <a:xfrm xmlns:a="http://schemas.openxmlformats.org/drawingml/2006/main">
          <a:off x="2439418" y="1397887"/>
          <a:ext cx="1252137" cy="12951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2137" h="1295138">
              <a:moveTo>
                <a:pt x="635389" y="637927"/>
              </a:moveTo>
              <a:lnTo>
                <a:pt x="306468" y="978144"/>
              </a:lnTo>
              <a:lnTo>
                <a:pt x="0" y="1295137"/>
              </a:lnTo>
              <a:lnTo>
                <a:pt x="0" y="1295137"/>
              </a:lnTo>
              <a:lnTo>
                <a:pt x="306468" y="978144"/>
              </a:lnTo>
              <a:lnTo>
                <a:pt x="635389" y="637927"/>
              </a:lnTo>
              <a:lnTo>
                <a:pt x="1252136" y="0"/>
              </a:lnTo>
              <a:lnTo>
                <a:pt x="12521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0.64892</cdr:x>
      <cdr:y>0.48181</cdr:y>
    </cdr:from>
    <cdr:to>
      <cdr:x>0.8194</cdr:x>
      <cdr:y>0.6511</cdr:y>
    </cdr:to>
    <cdr:sp macro="" textlink="">
      <cdr:nvSpPr>
        <cdr:cNvPr id="168" name="FracNo 176 StartRow 2056">
          <a:extLst xmlns:a="http://schemas.openxmlformats.org/drawingml/2006/main">
            <a:ext uri="{FF2B5EF4-FFF2-40B4-BE49-F238E27FC236}">
              <a16:creationId xmlns:a16="http://schemas.microsoft.com/office/drawing/2014/main" id="{21F3D0AD-E8DB-A588-2EE5-A025AC313A2D}"/>
            </a:ext>
          </a:extLst>
        </cdr:cNvPr>
        <cdr:cNvSpPr/>
      </cdr:nvSpPr>
      <cdr:spPr>
        <a:xfrm xmlns:a="http://schemas.openxmlformats.org/drawingml/2006/main">
          <a:off x="4746957" y="3671428"/>
          <a:ext cx="1247107" cy="1289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7107" h="1289936">
              <a:moveTo>
                <a:pt x="585094" y="684747"/>
              </a:moveTo>
              <a:lnTo>
                <a:pt x="73140" y="1214283"/>
              </a:lnTo>
              <a:lnTo>
                <a:pt x="18795" y="1270494"/>
              </a:lnTo>
              <a:lnTo>
                <a:pt x="0" y="1289935"/>
              </a:lnTo>
              <a:lnTo>
                <a:pt x="0" y="1289935"/>
              </a:lnTo>
              <a:lnTo>
                <a:pt x="18795" y="1270494"/>
              </a:lnTo>
              <a:lnTo>
                <a:pt x="73140" y="1214283"/>
              </a:lnTo>
              <a:lnTo>
                <a:pt x="585094" y="684747"/>
              </a:lnTo>
              <a:lnTo>
                <a:pt x="1247106" y="0"/>
              </a:lnTo>
              <a:lnTo>
                <a:pt x="12471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0.73244</cdr:x>
      <cdr:y>0.7607</cdr:y>
    </cdr:from>
    <cdr:to>
      <cdr:x>0.90552</cdr:x>
      <cdr:y>0.9301</cdr:y>
    </cdr:to>
    <cdr:sp macro="" textlink="">
      <cdr:nvSpPr>
        <cdr:cNvPr id="169" name="FracNo 280 StartRow 2069">
          <a:extLst xmlns:a="http://schemas.openxmlformats.org/drawingml/2006/main">
            <a:ext uri="{FF2B5EF4-FFF2-40B4-BE49-F238E27FC236}">
              <a16:creationId xmlns:a16="http://schemas.microsoft.com/office/drawing/2014/main" id="{360D74EC-EC80-6E43-DE0E-E778FD2A39B8}"/>
            </a:ext>
          </a:extLst>
        </cdr:cNvPr>
        <cdr:cNvSpPr/>
      </cdr:nvSpPr>
      <cdr:spPr>
        <a:xfrm xmlns:a="http://schemas.openxmlformats.org/drawingml/2006/main">
          <a:off x="5357912" y="5796514"/>
          <a:ext cx="1266123" cy="12908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123" h="1290852">
              <a:moveTo>
                <a:pt x="542879" y="729329"/>
              </a:moveTo>
              <a:lnTo>
                <a:pt x="0" y="1290851"/>
              </a:lnTo>
              <a:lnTo>
                <a:pt x="36259" y="1290851"/>
              </a:lnTo>
              <a:lnTo>
                <a:pt x="571252" y="737486"/>
              </a:lnTo>
              <a:lnTo>
                <a:pt x="1266122" y="18752"/>
              </a:lnTo>
              <a:lnTo>
                <a:pt x="12479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0.58922</cdr:x>
      <cdr:y>0.18958</cdr:y>
    </cdr:from>
    <cdr:to>
      <cdr:x>0.75842</cdr:x>
      <cdr:y>0.35759</cdr:y>
    </cdr:to>
    <cdr:sp macro="" textlink="">
      <cdr:nvSpPr>
        <cdr:cNvPr id="170" name="FracNo 431 StartRow 2078">
          <a:extLst xmlns:a="http://schemas.openxmlformats.org/drawingml/2006/main">
            <a:ext uri="{FF2B5EF4-FFF2-40B4-BE49-F238E27FC236}">
              <a16:creationId xmlns:a16="http://schemas.microsoft.com/office/drawing/2014/main" id="{485B4E9E-1AAA-7298-E353-EC1BE942C45E}"/>
            </a:ext>
          </a:extLst>
        </cdr:cNvPr>
        <cdr:cNvSpPr/>
      </cdr:nvSpPr>
      <cdr:spPr>
        <a:xfrm xmlns:a="http://schemas.openxmlformats.org/drawingml/2006/main">
          <a:off x="4310290" y="1444586"/>
          <a:ext cx="1237726" cy="1280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7726" h="1280233">
              <a:moveTo>
                <a:pt x="519645" y="723989"/>
              </a:moveTo>
              <a:lnTo>
                <a:pt x="500742" y="743541"/>
              </a:lnTo>
              <a:lnTo>
                <a:pt x="0" y="1261480"/>
              </a:lnTo>
              <a:lnTo>
                <a:pt x="18129" y="1280232"/>
              </a:lnTo>
              <a:lnTo>
                <a:pt x="518871" y="762293"/>
              </a:lnTo>
              <a:lnTo>
                <a:pt x="537774" y="742741"/>
              </a:lnTo>
              <a:lnTo>
                <a:pt x="1237725" y="18752"/>
              </a:lnTo>
              <a:lnTo>
                <a:pt x="12195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0.72296</cdr:x>
      <cdr:y>0.08544</cdr:y>
    </cdr:from>
    <cdr:to>
      <cdr:x>0.89198</cdr:x>
      <cdr:y>0.25081</cdr:y>
    </cdr:to>
    <cdr:sp macro="" textlink="">
      <cdr:nvSpPr>
        <cdr:cNvPr id="171" name="FracNo 436 StartRow 2089">
          <a:extLst xmlns:a="http://schemas.openxmlformats.org/drawingml/2006/main">
            <a:ext uri="{FF2B5EF4-FFF2-40B4-BE49-F238E27FC236}">
              <a16:creationId xmlns:a16="http://schemas.microsoft.com/office/drawing/2014/main" id="{092C42C3-9699-E331-E45D-CE2B2F092192}"/>
            </a:ext>
          </a:extLst>
        </cdr:cNvPr>
        <cdr:cNvSpPr/>
      </cdr:nvSpPr>
      <cdr:spPr>
        <a:xfrm xmlns:a="http://schemas.openxmlformats.org/drawingml/2006/main">
          <a:off x="5288614" y="651036"/>
          <a:ext cx="1236424" cy="12601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6424" h="1260133">
              <a:moveTo>
                <a:pt x="1121951" y="118402"/>
              </a:moveTo>
              <a:lnTo>
                <a:pt x="18130" y="1260132"/>
              </a:lnTo>
              <a:lnTo>
                <a:pt x="0" y="1241380"/>
              </a:lnTo>
              <a:lnTo>
                <a:pt x="1087396" y="116640"/>
              </a:lnTo>
              <a:lnTo>
                <a:pt x="1200164" y="0"/>
              </a:lnTo>
              <a:lnTo>
                <a:pt x="12364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0.47997</cdr:x>
      <cdr:y>0.72534</cdr:y>
    </cdr:from>
    <cdr:to>
      <cdr:x>0.6434</cdr:x>
      <cdr:y>0.88763</cdr:y>
    </cdr:to>
    <cdr:sp macro="" textlink="">
      <cdr:nvSpPr>
        <cdr:cNvPr id="172" name="FracNo 501 StartRow 2098">
          <a:extLst xmlns:a="http://schemas.openxmlformats.org/drawingml/2006/main">
            <a:ext uri="{FF2B5EF4-FFF2-40B4-BE49-F238E27FC236}">
              <a16:creationId xmlns:a16="http://schemas.microsoft.com/office/drawing/2014/main" id="{956A7D24-CDC0-9837-9F3A-10A0828A3473}"/>
            </a:ext>
          </a:extLst>
        </cdr:cNvPr>
        <cdr:cNvSpPr/>
      </cdr:nvSpPr>
      <cdr:spPr>
        <a:xfrm xmlns:a="http://schemas.openxmlformats.org/drawingml/2006/main">
          <a:off x="3511049" y="5527085"/>
          <a:ext cx="1195578" cy="12366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5578" h="1236636">
              <a:moveTo>
                <a:pt x="69389" y="1146112"/>
              </a:moveTo>
              <a:lnTo>
                <a:pt x="0" y="1217883"/>
              </a:lnTo>
              <a:lnTo>
                <a:pt x="18129" y="1236635"/>
              </a:lnTo>
              <a:lnTo>
                <a:pt x="87518" y="1164863"/>
              </a:lnTo>
              <a:lnTo>
                <a:pt x="1195577" y="18752"/>
              </a:lnTo>
              <a:lnTo>
                <a:pt x="11774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0.21704</cdr:x>
      <cdr:y>0.77049</cdr:y>
    </cdr:from>
    <cdr:to>
      <cdr:x>0.37778</cdr:x>
      <cdr:y>0.9301</cdr:y>
    </cdr:to>
    <cdr:sp macro="" textlink="">
      <cdr:nvSpPr>
        <cdr:cNvPr id="173" name="FracNo 14 StartRow 2107">
          <a:extLst xmlns:a="http://schemas.openxmlformats.org/drawingml/2006/main">
            <a:ext uri="{FF2B5EF4-FFF2-40B4-BE49-F238E27FC236}">
              <a16:creationId xmlns:a16="http://schemas.microsoft.com/office/drawing/2014/main" id="{7E0743E2-ACA0-4532-46C9-B856AB98FAFF}"/>
            </a:ext>
          </a:extLst>
        </cdr:cNvPr>
        <cdr:cNvSpPr/>
      </cdr:nvSpPr>
      <cdr:spPr>
        <a:xfrm xmlns:a="http://schemas.openxmlformats.org/drawingml/2006/main">
          <a:off x="1587668" y="5871153"/>
          <a:ext cx="1175833" cy="12162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5833" h="1216213">
              <a:moveTo>
                <a:pt x="742200" y="448523"/>
              </a:moveTo>
              <a:lnTo>
                <a:pt x="0" y="1216212"/>
              </a:lnTo>
              <a:lnTo>
                <a:pt x="0" y="1216212"/>
              </a:lnTo>
              <a:lnTo>
                <a:pt x="742200" y="448523"/>
              </a:lnTo>
              <a:lnTo>
                <a:pt x="1158218" y="18218"/>
              </a:lnTo>
              <a:lnTo>
                <a:pt x="1175832" y="0"/>
              </a:lnTo>
              <a:lnTo>
                <a:pt x="1175832" y="0"/>
              </a:lnTo>
              <a:lnTo>
                <a:pt x="1158218" y="182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0.40694</cdr:x>
      <cdr:y>0.26274</cdr:y>
    </cdr:from>
    <cdr:to>
      <cdr:x>0.56841</cdr:x>
      <cdr:y>0.42307</cdr:y>
    </cdr:to>
    <cdr:sp macro="" textlink="">
      <cdr:nvSpPr>
        <cdr:cNvPr id="174" name="FracNo 726 StartRow 2118">
          <a:extLst xmlns:a="http://schemas.openxmlformats.org/drawingml/2006/main">
            <a:ext uri="{FF2B5EF4-FFF2-40B4-BE49-F238E27FC236}">
              <a16:creationId xmlns:a16="http://schemas.microsoft.com/office/drawing/2014/main" id="{BCAB2662-FEC4-B415-A8E8-28C6366D4C94}"/>
            </a:ext>
          </a:extLst>
        </cdr:cNvPr>
        <cdr:cNvSpPr/>
      </cdr:nvSpPr>
      <cdr:spPr>
        <a:xfrm xmlns:a="http://schemas.openxmlformats.org/drawingml/2006/main">
          <a:off x="2976833" y="2002052"/>
          <a:ext cx="1181172" cy="1221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172" h="1221735">
              <a:moveTo>
                <a:pt x="1108385" y="56533"/>
              </a:moveTo>
              <a:lnTo>
                <a:pt x="404056" y="785051"/>
              </a:lnTo>
              <a:lnTo>
                <a:pt x="0" y="1202983"/>
              </a:lnTo>
              <a:lnTo>
                <a:pt x="18129" y="1221734"/>
              </a:lnTo>
              <a:lnTo>
                <a:pt x="422185" y="803803"/>
              </a:lnTo>
              <a:lnTo>
                <a:pt x="1126515" y="75285"/>
              </a:lnTo>
              <a:lnTo>
                <a:pt x="1181171" y="18752"/>
              </a:lnTo>
              <a:lnTo>
                <a:pt x="11630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0.27775</cdr:y>
    </cdr:from>
    <cdr:to>
      <cdr:x>0.25181</cdr:x>
      <cdr:y>0.43908</cdr:y>
    </cdr:to>
    <cdr:sp macro="" textlink="">
      <cdr:nvSpPr>
        <cdr:cNvPr id="175" name="FracNo 585 StartRow 2129">
          <a:extLst xmlns:a="http://schemas.openxmlformats.org/drawingml/2006/main">
            <a:ext uri="{FF2B5EF4-FFF2-40B4-BE49-F238E27FC236}">
              <a16:creationId xmlns:a16="http://schemas.microsoft.com/office/drawing/2014/main" id="{1A3BA07C-91D8-8B03-BF30-6A68778E9595}"/>
            </a:ext>
          </a:extLst>
        </cdr:cNvPr>
        <cdr:cNvSpPr/>
      </cdr:nvSpPr>
      <cdr:spPr>
        <a:xfrm xmlns:a="http://schemas.openxmlformats.org/drawingml/2006/main">
          <a:off x="671676" y="2116490"/>
          <a:ext cx="1170381" cy="1229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0381" h="1229326">
              <a:moveTo>
                <a:pt x="859246" y="303067"/>
              </a:moveTo>
              <a:lnTo>
                <a:pt x="507603" y="666787"/>
              </a:lnTo>
              <a:lnTo>
                <a:pt x="0" y="1191822"/>
              </a:lnTo>
              <a:lnTo>
                <a:pt x="0" y="1229325"/>
              </a:lnTo>
              <a:lnTo>
                <a:pt x="518334" y="693191"/>
              </a:lnTo>
              <a:lnTo>
                <a:pt x="874013" y="325297"/>
              </a:lnTo>
              <a:lnTo>
                <a:pt x="1170380" y="18752"/>
              </a:lnTo>
              <a:lnTo>
                <a:pt x="11522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0.47886</cdr:x>
      <cdr:y>0.08544</cdr:y>
    </cdr:from>
    <cdr:to>
      <cdr:x>0.63661</cdr:x>
      <cdr:y>0.24208</cdr:y>
    </cdr:to>
    <cdr:sp macro="" textlink="">
      <cdr:nvSpPr>
        <cdr:cNvPr id="176" name="FracNo 321 StartRow 2140">
          <a:extLst xmlns:a="http://schemas.openxmlformats.org/drawingml/2006/main">
            <a:ext uri="{FF2B5EF4-FFF2-40B4-BE49-F238E27FC236}">
              <a16:creationId xmlns:a16="http://schemas.microsoft.com/office/drawing/2014/main" id="{6FF16A03-5FB2-FDC1-778D-A9D20232BA82}"/>
            </a:ext>
          </a:extLst>
        </cdr:cNvPr>
        <cdr:cNvSpPr/>
      </cdr:nvSpPr>
      <cdr:spPr>
        <a:xfrm xmlns:a="http://schemas.openxmlformats.org/drawingml/2006/main">
          <a:off x="3502955" y="651036"/>
          <a:ext cx="1153971" cy="1193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3971" h="1193600">
              <a:moveTo>
                <a:pt x="709997" y="459220"/>
              </a:moveTo>
              <a:lnTo>
                <a:pt x="0" y="1193599"/>
              </a:lnTo>
              <a:lnTo>
                <a:pt x="0" y="1193599"/>
              </a:lnTo>
              <a:lnTo>
                <a:pt x="709997" y="459220"/>
              </a:lnTo>
              <a:lnTo>
                <a:pt x="1153970" y="0"/>
              </a:lnTo>
              <a:lnTo>
                <a:pt x="11539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0.16841</cdr:x>
      <cdr:y>0.71163</cdr:y>
    </cdr:from>
    <cdr:to>
      <cdr:x>0.3255</cdr:x>
      <cdr:y>0.86761</cdr:y>
    </cdr:to>
    <cdr:sp macro="" textlink="">
      <cdr:nvSpPr>
        <cdr:cNvPr id="177" name="FracNo 4 StartRow 2149">
          <a:extLst xmlns:a="http://schemas.openxmlformats.org/drawingml/2006/main">
            <a:ext uri="{FF2B5EF4-FFF2-40B4-BE49-F238E27FC236}">
              <a16:creationId xmlns:a16="http://schemas.microsoft.com/office/drawing/2014/main" id="{EE0B1A17-BBF5-1C43-0D69-25C1228FB252}"/>
            </a:ext>
          </a:extLst>
        </cdr:cNvPr>
        <cdr:cNvSpPr/>
      </cdr:nvSpPr>
      <cdr:spPr>
        <a:xfrm xmlns:a="http://schemas.openxmlformats.org/drawingml/2006/main">
          <a:off x="1231958" y="5422614"/>
          <a:ext cx="1149139" cy="1188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9139" h="1188602">
              <a:moveTo>
                <a:pt x="623161" y="544040"/>
              </a:moveTo>
              <a:lnTo>
                <a:pt x="0" y="1188601"/>
              </a:lnTo>
              <a:lnTo>
                <a:pt x="0" y="1188601"/>
              </a:lnTo>
              <a:lnTo>
                <a:pt x="623161" y="544040"/>
              </a:lnTo>
              <a:lnTo>
                <a:pt x="1149138" y="0"/>
              </a:lnTo>
              <a:lnTo>
                <a:pt x="11491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0.7848</cdr:x>
      <cdr:y>0.54187</cdr:y>
    </cdr:from>
    <cdr:to>
      <cdr:x>0.94246</cdr:x>
      <cdr:y>0.70089</cdr:y>
    </cdr:to>
    <cdr:sp macro="" textlink="">
      <cdr:nvSpPr>
        <cdr:cNvPr id="178" name="FracNo 746 StartRow 2158">
          <a:extLst xmlns:a="http://schemas.openxmlformats.org/drawingml/2006/main">
            <a:ext uri="{FF2B5EF4-FFF2-40B4-BE49-F238E27FC236}">
              <a16:creationId xmlns:a16="http://schemas.microsoft.com/office/drawing/2014/main" id="{B71029F9-4EFA-BE3C-CF94-0B93643A3813}"/>
            </a:ext>
          </a:extLst>
        </cdr:cNvPr>
        <cdr:cNvSpPr/>
      </cdr:nvSpPr>
      <cdr:spPr>
        <a:xfrm xmlns:a="http://schemas.openxmlformats.org/drawingml/2006/main">
          <a:off x="5740936" y="4129073"/>
          <a:ext cx="1153372" cy="1211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3372" h="1211734">
              <a:moveTo>
                <a:pt x="558450" y="652856"/>
              </a:moveTo>
              <a:lnTo>
                <a:pt x="394705" y="822225"/>
              </a:lnTo>
              <a:lnTo>
                <a:pt x="18129" y="1211733"/>
              </a:lnTo>
              <a:lnTo>
                <a:pt x="0" y="1192981"/>
              </a:lnTo>
              <a:lnTo>
                <a:pt x="376575" y="803473"/>
              </a:lnTo>
              <a:lnTo>
                <a:pt x="544233" y="630057"/>
              </a:lnTo>
              <a:lnTo>
                <a:pt x="1153371" y="0"/>
              </a:lnTo>
              <a:lnTo>
                <a:pt x="115337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0.78507</cdr:x>
      <cdr:y>0.77382</cdr:y>
    </cdr:from>
    <cdr:to>
      <cdr:x>0.94246</cdr:x>
      <cdr:y>0.9301</cdr:y>
    </cdr:to>
    <cdr:sp macro="" textlink="">
      <cdr:nvSpPr>
        <cdr:cNvPr id="179" name="FracNo 261 StartRow 2169">
          <a:extLst xmlns:a="http://schemas.openxmlformats.org/drawingml/2006/main">
            <a:ext uri="{FF2B5EF4-FFF2-40B4-BE49-F238E27FC236}">
              <a16:creationId xmlns:a16="http://schemas.microsoft.com/office/drawing/2014/main" id="{686A244E-9B49-FEDD-3798-5907B0CF4BCD}"/>
            </a:ext>
          </a:extLst>
        </cdr:cNvPr>
        <cdr:cNvSpPr/>
      </cdr:nvSpPr>
      <cdr:spPr>
        <a:xfrm xmlns:a="http://schemas.openxmlformats.org/drawingml/2006/main">
          <a:off x="5742979" y="5896498"/>
          <a:ext cx="1151329" cy="11908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1329" h="1190868">
              <a:moveTo>
                <a:pt x="496586" y="677228"/>
              </a:moveTo>
              <a:lnTo>
                <a:pt x="0" y="1190867"/>
              </a:lnTo>
              <a:lnTo>
                <a:pt x="36259" y="1190867"/>
              </a:lnTo>
              <a:lnTo>
                <a:pt x="517205" y="693404"/>
              </a:lnTo>
              <a:lnTo>
                <a:pt x="1151328" y="37504"/>
              </a:lnTo>
              <a:lnTo>
                <a:pt x="11513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0.32592</cdr:x>
      <cdr:y>0.18793</cdr:y>
    </cdr:from>
    <cdr:to>
      <cdr:x>0.48244</cdr:x>
      <cdr:y>0.34335</cdr:y>
    </cdr:to>
    <cdr:sp macro="" textlink="">
      <cdr:nvSpPr>
        <cdr:cNvPr id="180" name="FracNo 596 StartRow 2178">
          <a:extLst xmlns:a="http://schemas.openxmlformats.org/drawingml/2006/main">
            <a:ext uri="{FF2B5EF4-FFF2-40B4-BE49-F238E27FC236}">
              <a16:creationId xmlns:a16="http://schemas.microsoft.com/office/drawing/2014/main" id="{117101E0-2EDD-AFF6-E32F-AEA0A674A480}"/>
            </a:ext>
          </a:extLst>
        </cdr:cNvPr>
        <cdr:cNvSpPr/>
      </cdr:nvSpPr>
      <cdr:spPr>
        <a:xfrm xmlns:a="http://schemas.openxmlformats.org/drawingml/2006/main">
          <a:off x="2384149" y="1432033"/>
          <a:ext cx="1145006" cy="1184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5006" h="1184327">
              <a:moveTo>
                <a:pt x="21993" y="1142826"/>
              </a:moveTo>
              <a:lnTo>
                <a:pt x="0" y="1165574"/>
              </a:lnTo>
              <a:lnTo>
                <a:pt x="18129" y="1184326"/>
              </a:lnTo>
              <a:lnTo>
                <a:pt x="40122" y="1161578"/>
              </a:lnTo>
              <a:lnTo>
                <a:pt x="370802" y="819541"/>
              </a:lnTo>
              <a:lnTo>
                <a:pt x="1145005" y="18751"/>
              </a:lnTo>
              <a:lnTo>
                <a:pt x="1126875" y="0"/>
              </a:lnTo>
              <a:lnTo>
                <a:pt x="352673" y="8007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0.78931</cdr:x>
      <cdr:y>0.55084</cdr:y>
    </cdr:from>
    <cdr:to>
      <cdr:x>0.94246</cdr:x>
      <cdr:y>0.70538</cdr:y>
    </cdr:to>
    <cdr:sp macro="" textlink="">
      <cdr:nvSpPr>
        <cdr:cNvPr id="181" name="FracNo 185 StartRow 2189">
          <a:extLst xmlns:a="http://schemas.openxmlformats.org/drawingml/2006/main">
            <a:ext uri="{FF2B5EF4-FFF2-40B4-BE49-F238E27FC236}">
              <a16:creationId xmlns:a16="http://schemas.microsoft.com/office/drawing/2014/main" id="{F39569D8-3EFD-107B-C2A3-68E4DB1EABA6}"/>
            </a:ext>
          </a:extLst>
        </cdr:cNvPr>
        <cdr:cNvSpPr/>
      </cdr:nvSpPr>
      <cdr:spPr>
        <a:xfrm xmlns:a="http://schemas.openxmlformats.org/drawingml/2006/main">
          <a:off x="5773969" y="4197409"/>
          <a:ext cx="1120339" cy="1177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0339" h="1177566">
              <a:moveTo>
                <a:pt x="638362" y="536033"/>
              </a:moveTo>
              <a:lnTo>
                <a:pt x="427738" y="753889"/>
              </a:lnTo>
              <a:lnTo>
                <a:pt x="18129" y="1177565"/>
              </a:lnTo>
              <a:lnTo>
                <a:pt x="0" y="1158813"/>
              </a:lnTo>
              <a:lnTo>
                <a:pt x="409609" y="735137"/>
              </a:lnTo>
              <a:lnTo>
                <a:pt x="625745" y="511578"/>
              </a:lnTo>
              <a:lnTo>
                <a:pt x="1120338" y="0"/>
              </a:lnTo>
              <a:lnTo>
                <a:pt x="112033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0.38196</cdr:x>
      <cdr:y>0.21922</cdr:y>
    </cdr:from>
    <cdr:to>
      <cdr:x>0.53307</cdr:x>
      <cdr:y>0.36927</cdr:y>
    </cdr:to>
    <cdr:sp macro="" textlink="">
      <cdr:nvSpPr>
        <cdr:cNvPr id="182" name="FracNo 333 StartRow 2200">
          <a:extLst xmlns:a="http://schemas.openxmlformats.org/drawingml/2006/main">
            <a:ext uri="{FF2B5EF4-FFF2-40B4-BE49-F238E27FC236}">
              <a16:creationId xmlns:a16="http://schemas.microsoft.com/office/drawing/2014/main" id="{74A0F11A-B8F4-7EC0-FA24-793B7339DD81}"/>
            </a:ext>
          </a:extLst>
        </cdr:cNvPr>
        <cdr:cNvSpPr/>
      </cdr:nvSpPr>
      <cdr:spPr>
        <a:xfrm xmlns:a="http://schemas.openxmlformats.org/drawingml/2006/main">
          <a:off x="2794085" y="1670423"/>
          <a:ext cx="1105434" cy="1143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5434" h="1143397">
              <a:moveTo>
                <a:pt x="1105433" y="0"/>
              </a:moveTo>
              <a:lnTo>
                <a:pt x="16764" y="1126056"/>
              </a:lnTo>
              <a:lnTo>
                <a:pt x="0" y="1143396"/>
              </a:lnTo>
              <a:lnTo>
                <a:pt x="0" y="1143396"/>
              </a:lnTo>
              <a:lnTo>
                <a:pt x="16764" y="1126056"/>
              </a:lnTo>
              <a:lnTo>
                <a:pt x="110543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0.79065</cdr:x>
      <cdr:y>0.77936</cdr:y>
    </cdr:from>
    <cdr:to>
      <cdr:x>0.94246</cdr:x>
      <cdr:y>0.9301</cdr:y>
    </cdr:to>
    <cdr:sp macro="" textlink="">
      <cdr:nvSpPr>
        <cdr:cNvPr id="183" name="FracNo 727 StartRow 2210">
          <a:extLst xmlns:a="http://schemas.openxmlformats.org/drawingml/2006/main">
            <a:ext uri="{FF2B5EF4-FFF2-40B4-BE49-F238E27FC236}">
              <a16:creationId xmlns:a16="http://schemas.microsoft.com/office/drawing/2014/main" id="{934518DE-BFD3-F3ED-D4B9-45F01BE8C399}"/>
            </a:ext>
          </a:extLst>
        </cdr:cNvPr>
        <cdr:cNvSpPr/>
      </cdr:nvSpPr>
      <cdr:spPr>
        <a:xfrm xmlns:a="http://schemas.openxmlformats.org/drawingml/2006/main">
          <a:off x="5783798" y="5938719"/>
          <a:ext cx="1110510" cy="11486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0510" h="1148647">
              <a:moveTo>
                <a:pt x="387492" y="785350"/>
              </a:moveTo>
              <a:lnTo>
                <a:pt x="36258" y="1148646"/>
              </a:lnTo>
              <a:lnTo>
                <a:pt x="0" y="1148646"/>
              </a:lnTo>
              <a:lnTo>
                <a:pt x="363089" y="773088"/>
              </a:lnTo>
              <a:lnTo>
                <a:pt x="1110509" y="0"/>
              </a:lnTo>
              <a:lnTo>
                <a:pt x="111050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0.61123</cdr:x>
      <cdr:y>0.35742</cdr:y>
    </cdr:from>
    <cdr:to>
      <cdr:x>0.75879</cdr:x>
      <cdr:y>0.50394</cdr:y>
    </cdr:to>
    <cdr:sp macro="" textlink="">
      <cdr:nvSpPr>
        <cdr:cNvPr id="184" name="FracNo 90 StartRow 2219">
          <a:extLst xmlns:a="http://schemas.openxmlformats.org/drawingml/2006/main">
            <a:ext uri="{FF2B5EF4-FFF2-40B4-BE49-F238E27FC236}">
              <a16:creationId xmlns:a16="http://schemas.microsoft.com/office/drawing/2014/main" id="{9713DB2B-BDA1-3655-DAF9-611219328655}"/>
            </a:ext>
          </a:extLst>
        </cdr:cNvPr>
        <cdr:cNvSpPr/>
      </cdr:nvSpPr>
      <cdr:spPr>
        <a:xfrm xmlns:a="http://schemas.openxmlformats.org/drawingml/2006/main">
          <a:off x="4471273" y="2723541"/>
          <a:ext cx="1079432" cy="1116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9432" h="1116501">
              <a:moveTo>
                <a:pt x="0" y="1116500"/>
              </a:moveTo>
              <a:lnTo>
                <a:pt x="0" y="1116500"/>
              </a:lnTo>
              <a:lnTo>
                <a:pt x="348824" y="755697"/>
              </a:lnTo>
              <a:lnTo>
                <a:pt x="1008914" y="72938"/>
              </a:lnTo>
              <a:lnTo>
                <a:pt x="1079431" y="0"/>
              </a:lnTo>
              <a:lnTo>
                <a:pt x="1079431" y="0"/>
              </a:lnTo>
              <a:lnTo>
                <a:pt x="1008914" y="72938"/>
              </a:lnTo>
              <a:lnTo>
                <a:pt x="348824" y="7556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0.3664</cdr:y>
    </cdr:from>
    <cdr:to>
      <cdr:x>0.24044</cdr:x>
      <cdr:y>0.51644</cdr:y>
    </cdr:to>
    <cdr:sp macro="" textlink="">
      <cdr:nvSpPr>
        <cdr:cNvPr id="185" name="FracNo 661 StartRow 2230">
          <a:extLst xmlns:a="http://schemas.openxmlformats.org/drawingml/2006/main">
            <a:ext uri="{FF2B5EF4-FFF2-40B4-BE49-F238E27FC236}">
              <a16:creationId xmlns:a16="http://schemas.microsoft.com/office/drawing/2014/main" id="{04D33AFF-F242-6B39-0BB9-D8162D0CD1F7}"/>
            </a:ext>
          </a:extLst>
        </cdr:cNvPr>
        <cdr:cNvSpPr/>
      </cdr:nvSpPr>
      <cdr:spPr>
        <a:xfrm xmlns:a="http://schemas.openxmlformats.org/drawingml/2006/main">
          <a:off x="671676" y="2791944"/>
          <a:ext cx="1087211" cy="1143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7211" h="1143300">
              <a:moveTo>
                <a:pt x="440081" y="688104"/>
              </a:moveTo>
              <a:lnTo>
                <a:pt x="0" y="1143299"/>
              </a:lnTo>
              <a:lnTo>
                <a:pt x="0" y="1105795"/>
              </a:lnTo>
              <a:lnTo>
                <a:pt x="432742" y="658191"/>
              </a:lnTo>
              <a:lnTo>
                <a:pt x="1069081" y="0"/>
              </a:lnTo>
              <a:lnTo>
                <a:pt x="10872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0.43026</cdr:x>
      <cdr:y>0.36994</cdr:y>
    </cdr:from>
    <cdr:to>
      <cdr:x>0.57671</cdr:x>
      <cdr:y>0.51536</cdr:y>
    </cdr:to>
    <cdr:sp macro="" textlink="">
      <cdr:nvSpPr>
        <cdr:cNvPr id="186" name="FracNo 748 StartRow 2239">
          <a:extLst xmlns:a="http://schemas.openxmlformats.org/drawingml/2006/main">
            <a:ext uri="{FF2B5EF4-FFF2-40B4-BE49-F238E27FC236}">
              <a16:creationId xmlns:a16="http://schemas.microsoft.com/office/drawing/2014/main" id="{BA27C8C5-A765-EA6C-FB94-B0D4E744A6AD}"/>
            </a:ext>
          </a:extLst>
        </cdr:cNvPr>
        <cdr:cNvSpPr/>
      </cdr:nvSpPr>
      <cdr:spPr>
        <a:xfrm xmlns:a="http://schemas.openxmlformats.org/drawingml/2006/main">
          <a:off x="3147448" y="2818942"/>
          <a:ext cx="1071288" cy="1108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1288" h="1108079">
              <a:moveTo>
                <a:pt x="822334" y="257503"/>
              </a:moveTo>
              <a:lnTo>
                <a:pt x="0" y="1108078"/>
              </a:lnTo>
              <a:lnTo>
                <a:pt x="0" y="1108078"/>
              </a:lnTo>
              <a:lnTo>
                <a:pt x="822334" y="257503"/>
              </a:lnTo>
              <a:lnTo>
                <a:pt x="1071287" y="0"/>
              </a:lnTo>
              <a:lnTo>
                <a:pt x="1071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0.43547</cdr:x>
      <cdr:y>0.77527</cdr:y>
    </cdr:from>
    <cdr:to>
      <cdr:x>0.5833</cdr:x>
      <cdr:y>0.92206</cdr:y>
    </cdr:to>
    <cdr:sp macro="" textlink="">
      <cdr:nvSpPr>
        <cdr:cNvPr id="187" name="FracNo 509 StartRow 2248">
          <a:extLst xmlns:a="http://schemas.openxmlformats.org/drawingml/2006/main">
            <a:ext uri="{FF2B5EF4-FFF2-40B4-BE49-F238E27FC236}">
              <a16:creationId xmlns:a16="http://schemas.microsoft.com/office/drawing/2014/main" id="{9F9C1302-3B46-ED8A-5082-92061E6BB08D}"/>
            </a:ext>
          </a:extLst>
        </cdr:cNvPr>
        <cdr:cNvSpPr/>
      </cdr:nvSpPr>
      <cdr:spPr>
        <a:xfrm xmlns:a="http://schemas.openxmlformats.org/drawingml/2006/main">
          <a:off x="3185556" y="5907544"/>
          <a:ext cx="1081380" cy="1118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1380" h="1118516">
              <a:moveTo>
                <a:pt x="1029392" y="35020"/>
              </a:moveTo>
              <a:lnTo>
                <a:pt x="0" y="1099763"/>
              </a:lnTo>
              <a:lnTo>
                <a:pt x="18129" y="1118515"/>
              </a:lnTo>
              <a:lnTo>
                <a:pt x="1047521" y="53772"/>
              </a:lnTo>
              <a:lnTo>
                <a:pt x="1081379" y="18752"/>
              </a:lnTo>
              <a:lnTo>
                <a:pt x="10632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0.65726</cdr:x>
      <cdr:y>0.08544</cdr:y>
    </cdr:from>
    <cdr:to>
      <cdr:x>0.79941</cdr:x>
      <cdr:y>0.22658</cdr:y>
    </cdr:to>
    <cdr:sp macro="" textlink="">
      <cdr:nvSpPr>
        <cdr:cNvPr id="188" name="FracNo 413 StartRow 2257">
          <a:extLst xmlns:a="http://schemas.openxmlformats.org/drawingml/2006/main">
            <a:ext uri="{FF2B5EF4-FFF2-40B4-BE49-F238E27FC236}">
              <a16:creationId xmlns:a16="http://schemas.microsoft.com/office/drawing/2014/main" id="{8FC04624-E1C1-9DEA-E76B-597E43B1FDCF}"/>
            </a:ext>
          </a:extLst>
        </cdr:cNvPr>
        <cdr:cNvSpPr/>
      </cdr:nvSpPr>
      <cdr:spPr>
        <a:xfrm xmlns:a="http://schemas.openxmlformats.org/drawingml/2006/main">
          <a:off x="4807988" y="651036"/>
          <a:ext cx="1039831" cy="1075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9831" h="1075541">
              <a:moveTo>
                <a:pt x="963115" y="79349"/>
              </a:moveTo>
              <a:lnTo>
                <a:pt x="12109" y="1063015"/>
              </a:lnTo>
              <a:lnTo>
                <a:pt x="0" y="1075540"/>
              </a:lnTo>
              <a:lnTo>
                <a:pt x="0" y="1075540"/>
              </a:lnTo>
              <a:lnTo>
                <a:pt x="12109" y="1063015"/>
              </a:lnTo>
              <a:lnTo>
                <a:pt x="963115" y="79349"/>
              </a:lnTo>
              <a:lnTo>
                <a:pt x="1039830" y="0"/>
              </a:lnTo>
              <a:lnTo>
                <a:pt x="10398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0.34968</cdr:x>
      <cdr:y>0.40257</cdr:y>
    </cdr:from>
    <cdr:to>
      <cdr:x>0.49143</cdr:x>
      <cdr:y>0.54332</cdr:y>
    </cdr:to>
    <cdr:sp macro="" textlink="">
      <cdr:nvSpPr>
        <cdr:cNvPr id="189" name="FracNo 92 StartRow 2268">
          <a:extLst xmlns:a="http://schemas.openxmlformats.org/drawingml/2006/main">
            <a:ext uri="{FF2B5EF4-FFF2-40B4-BE49-F238E27FC236}">
              <a16:creationId xmlns:a16="http://schemas.microsoft.com/office/drawing/2014/main" id="{677E79D0-9FB1-D5CA-439E-7D76E5330944}"/>
            </a:ext>
          </a:extLst>
        </cdr:cNvPr>
        <cdr:cNvSpPr/>
      </cdr:nvSpPr>
      <cdr:spPr>
        <a:xfrm xmlns:a="http://schemas.openxmlformats.org/drawingml/2006/main">
          <a:off x="2557988" y="3067601"/>
          <a:ext cx="1036900" cy="10725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900" h="1072509">
              <a:moveTo>
                <a:pt x="793555" y="251700"/>
              </a:moveTo>
              <a:lnTo>
                <a:pt x="187898" y="878157"/>
              </a:lnTo>
              <a:lnTo>
                <a:pt x="0" y="1072508"/>
              </a:lnTo>
              <a:lnTo>
                <a:pt x="0" y="1072508"/>
              </a:lnTo>
              <a:lnTo>
                <a:pt x="187898" y="878157"/>
              </a:lnTo>
              <a:lnTo>
                <a:pt x="793555" y="251700"/>
              </a:lnTo>
              <a:lnTo>
                <a:pt x="1036899" y="0"/>
              </a:lnTo>
              <a:lnTo>
                <a:pt x="10368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0.69541</cdr:x>
      <cdr:y>0.62212</cdr:y>
    </cdr:from>
    <cdr:to>
      <cdr:x>0.83905</cdr:x>
      <cdr:y>0.76475</cdr:y>
    </cdr:to>
    <cdr:sp macro="" textlink="">
      <cdr:nvSpPr>
        <cdr:cNvPr id="190" name="FracNo 741 StartRow 2279">
          <a:extLst xmlns:a="http://schemas.openxmlformats.org/drawingml/2006/main">
            <a:ext uri="{FF2B5EF4-FFF2-40B4-BE49-F238E27FC236}">
              <a16:creationId xmlns:a16="http://schemas.microsoft.com/office/drawing/2014/main" id="{B6733F5B-A5C5-82D8-333B-01035C0B333F}"/>
            </a:ext>
          </a:extLst>
        </cdr:cNvPr>
        <cdr:cNvSpPr/>
      </cdr:nvSpPr>
      <cdr:spPr>
        <a:xfrm xmlns:a="http://schemas.openxmlformats.org/drawingml/2006/main">
          <a:off x="5087059" y="4740524"/>
          <a:ext cx="1050769" cy="1086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0769" h="1086854">
              <a:moveTo>
                <a:pt x="646809" y="399080"/>
              </a:moveTo>
              <a:lnTo>
                <a:pt x="0" y="1068101"/>
              </a:lnTo>
              <a:lnTo>
                <a:pt x="18130" y="1086853"/>
              </a:lnTo>
              <a:lnTo>
                <a:pt x="664938" y="417832"/>
              </a:lnTo>
              <a:lnTo>
                <a:pt x="865121" y="210774"/>
              </a:lnTo>
              <a:lnTo>
                <a:pt x="1050768" y="18752"/>
              </a:lnTo>
              <a:lnTo>
                <a:pt x="1032639" y="0"/>
              </a:lnTo>
              <a:lnTo>
                <a:pt x="846992" y="1920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0.7706</cdr:y>
    </cdr:from>
    <cdr:to>
      <cdr:x>0.23355</cdr:x>
      <cdr:y>0.91379</cdr:y>
    </cdr:to>
    <cdr:sp macro="" textlink="">
      <cdr:nvSpPr>
        <cdr:cNvPr id="191" name="FracNo 21 StartRow 2290">
          <a:extLst xmlns:a="http://schemas.openxmlformats.org/drawingml/2006/main">
            <a:ext uri="{FF2B5EF4-FFF2-40B4-BE49-F238E27FC236}">
              <a16:creationId xmlns:a16="http://schemas.microsoft.com/office/drawing/2014/main" id="{2AC77A1F-E0D3-F18C-F68D-C218A690FF27}"/>
            </a:ext>
          </a:extLst>
        </cdr:cNvPr>
        <cdr:cNvSpPr/>
      </cdr:nvSpPr>
      <cdr:spPr>
        <a:xfrm xmlns:a="http://schemas.openxmlformats.org/drawingml/2006/main">
          <a:off x="671676" y="5871959"/>
          <a:ext cx="1036792" cy="1091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792" h="1091150">
              <a:moveTo>
                <a:pt x="848949" y="175541"/>
              </a:moveTo>
              <a:lnTo>
                <a:pt x="0" y="1053645"/>
              </a:lnTo>
              <a:lnTo>
                <a:pt x="0" y="1091149"/>
              </a:lnTo>
              <a:lnTo>
                <a:pt x="864058" y="197417"/>
              </a:lnTo>
              <a:lnTo>
                <a:pt x="1036791" y="18751"/>
              </a:lnTo>
              <a:lnTo>
                <a:pt x="10186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0.20963</cdr:x>
      <cdr:y>0.5187</cdr:y>
    </cdr:from>
    <cdr:to>
      <cdr:x>0.35198</cdr:x>
      <cdr:y>0.66004</cdr:y>
    </cdr:to>
    <cdr:sp macro="" textlink="">
      <cdr:nvSpPr>
        <cdr:cNvPr id="192" name="FracNo 678 StartRow 2299">
          <a:extLst xmlns:a="http://schemas.openxmlformats.org/drawingml/2006/main">
            <a:ext uri="{FF2B5EF4-FFF2-40B4-BE49-F238E27FC236}">
              <a16:creationId xmlns:a16="http://schemas.microsoft.com/office/drawing/2014/main" id="{2451E2E9-2421-5F3A-53D3-E5026F88AB73}"/>
            </a:ext>
          </a:extLst>
        </cdr:cNvPr>
        <cdr:cNvSpPr/>
      </cdr:nvSpPr>
      <cdr:spPr>
        <a:xfrm xmlns:a="http://schemas.openxmlformats.org/drawingml/2006/main">
          <a:off x="1533466" y="3952468"/>
          <a:ext cx="1041308" cy="1077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1308" h="1077069">
              <a:moveTo>
                <a:pt x="605849" y="469164"/>
              </a:moveTo>
              <a:lnTo>
                <a:pt x="93769" y="998830"/>
              </a:lnTo>
              <a:lnTo>
                <a:pt x="18129" y="1077068"/>
              </a:lnTo>
              <a:lnTo>
                <a:pt x="0" y="1058316"/>
              </a:lnTo>
              <a:lnTo>
                <a:pt x="75640" y="980078"/>
              </a:lnTo>
              <a:lnTo>
                <a:pt x="587720" y="450413"/>
              </a:lnTo>
              <a:lnTo>
                <a:pt x="1023178" y="0"/>
              </a:lnTo>
              <a:lnTo>
                <a:pt x="10413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0.3079</cdr:x>
      <cdr:y>0.08544</cdr:y>
    </cdr:from>
    <cdr:to>
      <cdr:x>0.45081</cdr:x>
      <cdr:y>0.22488</cdr:y>
    </cdr:to>
    <cdr:sp macro="" textlink="">
      <cdr:nvSpPr>
        <cdr:cNvPr id="193" name="FracNo 592 StartRow 2310">
          <a:extLst xmlns:a="http://schemas.openxmlformats.org/drawingml/2006/main">
            <a:ext uri="{FF2B5EF4-FFF2-40B4-BE49-F238E27FC236}">
              <a16:creationId xmlns:a16="http://schemas.microsoft.com/office/drawing/2014/main" id="{C1C1F68C-7FE4-7462-67B6-E55E1053EBEB}"/>
            </a:ext>
          </a:extLst>
        </cdr:cNvPr>
        <cdr:cNvSpPr/>
      </cdr:nvSpPr>
      <cdr:spPr>
        <a:xfrm xmlns:a="http://schemas.openxmlformats.org/drawingml/2006/main">
          <a:off x="2252314" y="651036"/>
          <a:ext cx="1045419" cy="1062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5419" h="1062569">
              <a:moveTo>
                <a:pt x="131132" y="945684"/>
              </a:moveTo>
              <a:lnTo>
                <a:pt x="18129" y="1062568"/>
              </a:lnTo>
              <a:lnTo>
                <a:pt x="0" y="1043817"/>
              </a:lnTo>
              <a:lnTo>
                <a:pt x="111279" y="928716"/>
              </a:lnTo>
              <a:lnTo>
                <a:pt x="480783" y="546522"/>
              </a:lnTo>
              <a:lnTo>
                <a:pt x="1009159" y="0"/>
              </a:lnTo>
              <a:lnTo>
                <a:pt x="1045418" y="0"/>
              </a:lnTo>
              <a:lnTo>
                <a:pt x="506362" y="5575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0.40643</cdr:x>
      <cdr:y>0.08544</cdr:y>
    </cdr:from>
    <cdr:to>
      <cdr:x>0.54379</cdr:x>
      <cdr:y>0.22184</cdr:y>
    </cdr:to>
    <cdr:sp macro="" textlink="">
      <cdr:nvSpPr>
        <cdr:cNvPr id="194" name="FracNo 340 StartRow 2321">
          <a:extLst xmlns:a="http://schemas.openxmlformats.org/drawingml/2006/main">
            <a:ext uri="{FF2B5EF4-FFF2-40B4-BE49-F238E27FC236}">
              <a16:creationId xmlns:a16="http://schemas.microsoft.com/office/drawing/2014/main" id="{41DCE222-C431-2396-52A6-B8534A62BAB5}"/>
            </a:ext>
          </a:extLst>
        </cdr:cNvPr>
        <cdr:cNvSpPr/>
      </cdr:nvSpPr>
      <cdr:spPr>
        <a:xfrm xmlns:a="http://schemas.openxmlformats.org/drawingml/2006/main">
          <a:off x="2973090" y="651036"/>
          <a:ext cx="1004845" cy="10393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4845" h="1039352">
              <a:moveTo>
                <a:pt x="825655" y="185342"/>
              </a:moveTo>
              <a:lnTo>
                <a:pt x="0" y="1039351"/>
              </a:lnTo>
              <a:lnTo>
                <a:pt x="0" y="1039351"/>
              </a:lnTo>
              <a:lnTo>
                <a:pt x="825655" y="185342"/>
              </a:lnTo>
              <a:lnTo>
                <a:pt x="1004844" y="0"/>
              </a:lnTo>
              <a:lnTo>
                <a:pt x="10048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0.19197</cdr:x>
      <cdr:y>0.42695</cdr:y>
    </cdr:from>
    <cdr:to>
      <cdr:x>0.3314</cdr:x>
      <cdr:y>0.5654</cdr:y>
    </cdr:to>
    <cdr:sp macro="" textlink="">
      <cdr:nvSpPr>
        <cdr:cNvPr id="195" name="FracNo 677 StartRow 2330">
          <a:extLst xmlns:a="http://schemas.openxmlformats.org/drawingml/2006/main">
            <a:ext uri="{FF2B5EF4-FFF2-40B4-BE49-F238E27FC236}">
              <a16:creationId xmlns:a16="http://schemas.microsoft.com/office/drawing/2014/main" id="{17E2DEBD-A49C-E0C1-3027-C97530B28769}"/>
            </a:ext>
          </a:extLst>
        </cdr:cNvPr>
        <cdr:cNvSpPr/>
      </cdr:nvSpPr>
      <cdr:spPr>
        <a:xfrm xmlns:a="http://schemas.openxmlformats.org/drawingml/2006/main">
          <a:off x="1404303" y="3253331"/>
          <a:ext cx="1019984" cy="1055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9984" h="1055012">
              <a:moveTo>
                <a:pt x="253663" y="811389"/>
              </a:moveTo>
              <a:lnTo>
                <a:pt x="18129" y="1055011"/>
              </a:lnTo>
              <a:lnTo>
                <a:pt x="0" y="1036259"/>
              </a:lnTo>
              <a:lnTo>
                <a:pt x="235533" y="792638"/>
              </a:lnTo>
              <a:lnTo>
                <a:pt x="1001854" y="0"/>
              </a:lnTo>
              <a:lnTo>
                <a:pt x="10199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0.26681</cdr:x>
      <cdr:y>0.08544</cdr:y>
    </cdr:from>
    <cdr:to>
      <cdr:x>0.40371</cdr:x>
      <cdr:y>0.22137</cdr:y>
    </cdr:to>
    <cdr:sp macro="" textlink="">
      <cdr:nvSpPr>
        <cdr:cNvPr id="196" name="FracNo 571 StartRow 2339">
          <a:extLst xmlns:a="http://schemas.openxmlformats.org/drawingml/2006/main">
            <a:ext uri="{FF2B5EF4-FFF2-40B4-BE49-F238E27FC236}">
              <a16:creationId xmlns:a16="http://schemas.microsoft.com/office/drawing/2014/main" id="{85A629DB-D6F7-B91D-25AF-034CF3913468}"/>
            </a:ext>
          </a:extLst>
        </cdr:cNvPr>
        <cdr:cNvSpPr/>
      </cdr:nvSpPr>
      <cdr:spPr>
        <a:xfrm xmlns:a="http://schemas.openxmlformats.org/drawingml/2006/main">
          <a:off x="1951786" y="651036"/>
          <a:ext cx="1001437" cy="10358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1437" h="1035828">
              <a:moveTo>
                <a:pt x="433631" y="587304"/>
              </a:moveTo>
              <a:lnTo>
                <a:pt x="0" y="1035827"/>
              </a:lnTo>
              <a:lnTo>
                <a:pt x="0" y="1035827"/>
              </a:lnTo>
              <a:lnTo>
                <a:pt x="433631" y="587304"/>
              </a:lnTo>
              <a:lnTo>
                <a:pt x="794100" y="214456"/>
              </a:lnTo>
              <a:lnTo>
                <a:pt x="1001436" y="0"/>
              </a:lnTo>
              <a:lnTo>
                <a:pt x="1001436" y="0"/>
              </a:lnTo>
              <a:lnTo>
                <a:pt x="794100" y="2144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0.52457</cdr:x>
      <cdr:y>0.17554</cdr:y>
    </cdr:from>
    <cdr:to>
      <cdr:x>0.66341</cdr:x>
      <cdr:y>0.3134</cdr:y>
    </cdr:to>
    <cdr:sp macro="" textlink="">
      <cdr:nvSpPr>
        <cdr:cNvPr id="197" name="FracNo 360 StartRow 2350">
          <a:extLst xmlns:a="http://schemas.openxmlformats.org/drawingml/2006/main">
            <a:ext uri="{FF2B5EF4-FFF2-40B4-BE49-F238E27FC236}">
              <a16:creationId xmlns:a16="http://schemas.microsoft.com/office/drawing/2014/main" id="{0A8C3BD6-B843-ADE0-5791-F022B3C3141D}"/>
            </a:ext>
          </a:extLst>
        </cdr:cNvPr>
        <cdr:cNvSpPr/>
      </cdr:nvSpPr>
      <cdr:spPr>
        <a:xfrm xmlns:a="http://schemas.openxmlformats.org/drawingml/2006/main">
          <a:off x="3837346" y="1337593"/>
          <a:ext cx="1015627" cy="10505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5627" h="1050506">
              <a:moveTo>
                <a:pt x="392637" y="663135"/>
              </a:moveTo>
              <a:lnTo>
                <a:pt x="18130" y="1050505"/>
              </a:lnTo>
              <a:lnTo>
                <a:pt x="0" y="1031753"/>
              </a:lnTo>
              <a:lnTo>
                <a:pt x="374508" y="644384"/>
              </a:lnTo>
              <a:lnTo>
                <a:pt x="973686" y="24628"/>
              </a:lnTo>
              <a:lnTo>
                <a:pt x="997497" y="0"/>
              </a:lnTo>
              <a:lnTo>
                <a:pt x="1015626" y="18752"/>
              </a:lnTo>
              <a:lnTo>
                <a:pt x="991815" y="433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0.5275</cdr:x>
      <cdr:y>0.17845</cdr:y>
    </cdr:from>
    <cdr:to>
      <cdr:x>0.66386</cdr:x>
      <cdr:y>0.31385</cdr:y>
    </cdr:to>
    <cdr:sp macro="" textlink="">
      <cdr:nvSpPr>
        <cdr:cNvPr id="198" name="FracNo 412 StartRow 2361">
          <a:extLst xmlns:a="http://schemas.openxmlformats.org/drawingml/2006/main">
            <a:ext uri="{FF2B5EF4-FFF2-40B4-BE49-F238E27FC236}">
              <a16:creationId xmlns:a16="http://schemas.microsoft.com/office/drawing/2014/main" id="{F05B5217-3CE5-66A0-DB1A-5314D4A07B13}"/>
            </a:ext>
          </a:extLst>
        </cdr:cNvPr>
        <cdr:cNvSpPr/>
      </cdr:nvSpPr>
      <cdr:spPr>
        <a:xfrm xmlns:a="http://schemas.openxmlformats.org/drawingml/2006/main">
          <a:off x="3858782" y="1359765"/>
          <a:ext cx="997498" cy="1031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7498" h="1031754">
              <a:moveTo>
                <a:pt x="997497" y="0"/>
              </a:moveTo>
              <a:lnTo>
                <a:pt x="961315" y="37425"/>
              </a:lnTo>
              <a:lnTo>
                <a:pt x="0" y="1031753"/>
              </a:lnTo>
              <a:lnTo>
                <a:pt x="0" y="1031753"/>
              </a:lnTo>
              <a:lnTo>
                <a:pt x="961315" y="37425"/>
              </a:lnTo>
              <a:lnTo>
                <a:pt x="997497" y="0"/>
              </a:lnTo>
              <a:lnTo>
                <a:pt x="99749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0.29641</cdr:x>
      <cdr:y>0.51598</cdr:y>
    </cdr:from>
    <cdr:to>
      <cdr:x>0.43089</cdr:x>
      <cdr:y>0.64952</cdr:y>
    </cdr:to>
    <cdr:sp macro="" textlink="">
      <cdr:nvSpPr>
        <cdr:cNvPr id="199" name="FracNo 655 StartRow 2372">
          <a:extLst xmlns:a="http://schemas.openxmlformats.org/drawingml/2006/main">
            <a:ext uri="{FF2B5EF4-FFF2-40B4-BE49-F238E27FC236}">
              <a16:creationId xmlns:a16="http://schemas.microsoft.com/office/drawing/2014/main" id="{3C2A7E64-B810-99FA-238C-7549BDDF26D0}"/>
            </a:ext>
          </a:extLst>
        </cdr:cNvPr>
        <cdr:cNvSpPr/>
      </cdr:nvSpPr>
      <cdr:spPr>
        <a:xfrm xmlns:a="http://schemas.openxmlformats.org/drawingml/2006/main">
          <a:off x="2168289" y="3931786"/>
          <a:ext cx="983768" cy="1017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3768" h="1017554">
              <a:moveTo>
                <a:pt x="235421" y="774046"/>
              </a:moveTo>
              <a:lnTo>
                <a:pt x="7170" y="1010136"/>
              </a:lnTo>
              <a:lnTo>
                <a:pt x="0" y="1017553"/>
              </a:lnTo>
              <a:lnTo>
                <a:pt x="0" y="1017553"/>
              </a:lnTo>
              <a:lnTo>
                <a:pt x="7170" y="1010136"/>
              </a:lnTo>
              <a:lnTo>
                <a:pt x="235421" y="774046"/>
              </a:lnTo>
              <a:lnTo>
                <a:pt x="577597" y="420119"/>
              </a:lnTo>
              <a:lnTo>
                <a:pt x="983767" y="0"/>
              </a:lnTo>
              <a:lnTo>
                <a:pt x="983767" y="0"/>
              </a:lnTo>
              <a:lnTo>
                <a:pt x="577597" y="4201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0.5311</cdr:x>
      <cdr:y>0.08544</cdr:y>
    </cdr:from>
    <cdr:to>
      <cdr:x>0.66881</cdr:x>
      <cdr:y>0.21972</cdr:y>
    </cdr:to>
    <cdr:sp macro="" textlink="">
      <cdr:nvSpPr>
        <cdr:cNvPr id="200" name="FracNo 357 StartRow 2385">
          <a:extLst xmlns:a="http://schemas.openxmlformats.org/drawingml/2006/main">
            <a:ext uri="{FF2B5EF4-FFF2-40B4-BE49-F238E27FC236}">
              <a16:creationId xmlns:a16="http://schemas.microsoft.com/office/drawing/2014/main" id="{E62B0F1A-3A84-9442-A94C-7D51559F4A4E}"/>
            </a:ext>
          </a:extLst>
        </cdr:cNvPr>
        <cdr:cNvSpPr/>
      </cdr:nvSpPr>
      <cdr:spPr>
        <a:xfrm xmlns:a="http://schemas.openxmlformats.org/drawingml/2006/main">
          <a:off x="3885105" y="651036"/>
          <a:ext cx="1007388" cy="1023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7388" h="1023232">
              <a:moveTo>
                <a:pt x="21240" y="982510"/>
              </a:moveTo>
              <a:lnTo>
                <a:pt x="0" y="1004479"/>
              </a:lnTo>
              <a:lnTo>
                <a:pt x="18130" y="1023231"/>
              </a:lnTo>
              <a:lnTo>
                <a:pt x="39766" y="1000852"/>
              </a:lnTo>
              <a:lnTo>
                <a:pt x="952608" y="56660"/>
              </a:lnTo>
              <a:lnTo>
                <a:pt x="1007387" y="0"/>
              </a:lnTo>
              <a:lnTo>
                <a:pt x="971128" y="0"/>
              </a:lnTo>
              <a:lnTo>
                <a:pt x="917376" y="555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0.80734</cdr:x>
      <cdr:y>0.26869</cdr:y>
    </cdr:from>
    <cdr:to>
      <cdr:x>0.94246</cdr:x>
      <cdr:y>0.40533</cdr:y>
    </cdr:to>
    <cdr:sp macro="" textlink="">
      <cdr:nvSpPr>
        <cdr:cNvPr id="201" name="FracNo 440 StartRow 2396">
          <a:extLst xmlns:a="http://schemas.openxmlformats.org/drawingml/2006/main">
            <a:ext uri="{FF2B5EF4-FFF2-40B4-BE49-F238E27FC236}">
              <a16:creationId xmlns:a16="http://schemas.microsoft.com/office/drawing/2014/main" id="{6A97F4A7-4797-7119-C736-7F9BD0751DC5}"/>
            </a:ext>
          </a:extLst>
        </cdr:cNvPr>
        <cdr:cNvSpPr/>
      </cdr:nvSpPr>
      <cdr:spPr>
        <a:xfrm xmlns:a="http://schemas.openxmlformats.org/drawingml/2006/main">
          <a:off x="5905834" y="2047428"/>
          <a:ext cx="988474" cy="1041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8474" h="1041172">
              <a:moveTo>
                <a:pt x="978154" y="48177"/>
              </a:moveTo>
              <a:lnTo>
                <a:pt x="291485" y="758427"/>
              </a:lnTo>
              <a:lnTo>
                <a:pt x="18129" y="1041171"/>
              </a:lnTo>
              <a:lnTo>
                <a:pt x="0" y="1022419"/>
              </a:lnTo>
              <a:lnTo>
                <a:pt x="273356" y="739675"/>
              </a:lnTo>
              <a:lnTo>
                <a:pt x="977885" y="10951"/>
              </a:lnTo>
              <a:lnTo>
                <a:pt x="988473" y="0"/>
              </a:lnTo>
              <a:lnTo>
                <a:pt x="98847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0.13449</cdr:x>
      <cdr:y>0.22241</cdr:y>
    </cdr:from>
    <cdr:to>
      <cdr:x>0.26786</cdr:x>
      <cdr:y>0.35485</cdr:y>
    </cdr:to>
    <cdr:sp macro="" textlink="">
      <cdr:nvSpPr>
        <cdr:cNvPr id="202" name="FracNo 573 StartRow 2407">
          <a:extLst xmlns:a="http://schemas.openxmlformats.org/drawingml/2006/main">
            <a:ext uri="{FF2B5EF4-FFF2-40B4-BE49-F238E27FC236}">
              <a16:creationId xmlns:a16="http://schemas.microsoft.com/office/drawing/2014/main" id="{8683E46D-127A-74B1-708C-06DAF3F5A368}"/>
            </a:ext>
          </a:extLst>
        </cdr:cNvPr>
        <cdr:cNvSpPr/>
      </cdr:nvSpPr>
      <cdr:spPr>
        <a:xfrm xmlns:a="http://schemas.openxmlformats.org/drawingml/2006/main">
          <a:off x="983789" y="1694786"/>
          <a:ext cx="975658" cy="1009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5658" h="1009164">
              <a:moveTo>
                <a:pt x="545685" y="444738"/>
              </a:moveTo>
              <a:lnTo>
                <a:pt x="0" y="1009163"/>
              </a:lnTo>
              <a:lnTo>
                <a:pt x="0" y="1009163"/>
              </a:lnTo>
              <a:lnTo>
                <a:pt x="545685" y="444738"/>
              </a:lnTo>
              <a:lnTo>
                <a:pt x="975657" y="0"/>
              </a:lnTo>
              <a:lnTo>
                <a:pt x="9756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0.48028</cdr:x>
      <cdr:y>0.58073</cdr:y>
    </cdr:from>
    <cdr:to>
      <cdr:x>0.61225</cdr:x>
      <cdr:y>0.71177</cdr:y>
    </cdr:to>
    <cdr:sp macro="" textlink="">
      <cdr:nvSpPr>
        <cdr:cNvPr id="203" name="FracNo 493 StartRow 2416">
          <a:extLst xmlns:a="http://schemas.openxmlformats.org/drawingml/2006/main">
            <a:ext uri="{FF2B5EF4-FFF2-40B4-BE49-F238E27FC236}">
              <a16:creationId xmlns:a16="http://schemas.microsoft.com/office/drawing/2014/main" id="{DA7B0E5B-97F6-5274-1B9F-22631AEA9C15}"/>
            </a:ext>
          </a:extLst>
        </cdr:cNvPr>
        <cdr:cNvSpPr/>
      </cdr:nvSpPr>
      <cdr:spPr>
        <a:xfrm xmlns:a="http://schemas.openxmlformats.org/drawingml/2006/main">
          <a:off x="3513312" y="4425131"/>
          <a:ext cx="965414" cy="99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5414" h="998568">
              <a:moveTo>
                <a:pt x="454781" y="528169"/>
              </a:moveTo>
              <a:lnTo>
                <a:pt x="0" y="998567"/>
              </a:lnTo>
              <a:lnTo>
                <a:pt x="0" y="998567"/>
              </a:lnTo>
              <a:lnTo>
                <a:pt x="454781" y="528169"/>
              </a:lnTo>
              <a:lnTo>
                <a:pt x="465781" y="516791"/>
              </a:lnTo>
              <a:lnTo>
                <a:pt x="965413" y="0"/>
              </a:lnTo>
              <a:lnTo>
                <a:pt x="965413" y="0"/>
              </a:lnTo>
              <a:lnTo>
                <a:pt x="465781" y="5167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0.52089</cdr:x>
      <cdr:y>0.79923</cdr:y>
    </cdr:from>
    <cdr:to>
      <cdr:x>0.65269</cdr:x>
      <cdr:y>0.9301</cdr:y>
    </cdr:to>
    <cdr:sp macro="" textlink="">
      <cdr:nvSpPr>
        <cdr:cNvPr id="204" name="FracNo 499 StartRow 2427">
          <a:extLst xmlns:a="http://schemas.openxmlformats.org/drawingml/2006/main">
            <a:ext uri="{FF2B5EF4-FFF2-40B4-BE49-F238E27FC236}">
              <a16:creationId xmlns:a16="http://schemas.microsoft.com/office/drawing/2014/main" id="{316BA206-ED92-C98F-F100-11B0E318BF41}"/>
            </a:ext>
          </a:extLst>
        </cdr:cNvPr>
        <cdr:cNvSpPr/>
      </cdr:nvSpPr>
      <cdr:spPr>
        <a:xfrm xmlns:a="http://schemas.openxmlformats.org/drawingml/2006/main">
          <a:off x="3810379" y="6090105"/>
          <a:ext cx="964150" cy="997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4150" h="997261">
              <a:moveTo>
                <a:pt x="618213" y="357816"/>
              </a:moveTo>
              <a:lnTo>
                <a:pt x="0" y="997260"/>
              </a:lnTo>
              <a:lnTo>
                <a:pt x="0" y="997260"/>
              </a:lnTo>
              <a:lnTo>
                <a:pt x="618213" y="357816"/>
              </a:lnTo>
              <a:lnTo>
                <a:pt x="964149" y="0"/>
              </a:lnTo>
              <a:lnTo>
                <a:pt x="9641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0.78762</cdr:x>
      <cdr:y>0.35209</cdr:y>
    </cdr:from>
    <cdr:to>
      <cdr:x>0.92189</cdr:x>
      <cdr:y>0.48542</cdr:y>
    </cdr:to>
    <cdr:sp macro="" textlink="">
      <cdr:nvSpPr>
        <cdr:cNvPr id="205" name="FracNo 183 StartRow 2436">
          <a:extLst xmlns:a="http://schemas.openxmlformats.org/drawingml/2006/main">
            <a:ext uri="{FF2B5EF4-FFF2-40B4-BE49-F238E27FC236}">
              <a16:creationId xmlns:a16="http://schemas.microsoft.com/office/drawing/2014/main" id="{FAB9A9CE-9D43-FBD3-E1FC-6FE53672269E}"/>
            </a:ext>
          </a:extLst>
        </cdr:cNvPr>
        <cdr:cNvSpPr/>
      </cdr:nvSpPr>
      <cdr:spPr>
        <a:xfrm xmlns:a="http://schemas.openxmlformats.org/drawingml/2006/main">
          <a:off x="5761587" y="2682963"/>
          <a:ext cx="982215" cy="10159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2215" h="1015946">
              <a:moveTo>
                <a:pt x="32947" y="963116"/>
              </a:moveTo>
              <a:lnTo>
                <a:pt x="0" y="997194"/>
              </a:lnTo>
              <a:lnTo>
                <a:pt x="18129" y="1015945"/>
              </a:lnTo>
              <a:lnTo>
                <a:pt x="51076" y="981868"/>
              </a:lnTo>
              <a:lnTo>
                <a:pt x="881532" y="122892"/>
              </a:lnTo>
              <a:lnTo>
                <a:pt x="982214" y="18752"/>
              </a:lnTo>
              <a:lnTo>
                <a:pt x="964085" y="0"/>
              </a:lnTo>
              <a:lnTo>
                <a:pt x="863402" y="1041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0.22434</cdr:x>
      <cdr:y>0.21703</cdr:y>
    </cdr:to>
    <cdr:sp macro="" textlink="">
      <cdr:nvSpPr>
        <cdr:cNvPr id="206" name="FracNo 591 StartRow 2447">
          <a:extLst xmlns:a="http://schemas.openxmlformats.org/drawingml/2006/main">
            <a:ext uri="{FF2B5EF4-FFF2-40B4-BE49-F238E27FC236}">
              <a16:creationId xmlns:a16="http://schemas.microsoft.com/office/drawing/2014/main" id="{B2C5CC99-17F8-7C09-0441-2B133005F5B5}"/>
            </a:ext>
          </a:extLst>
        </cdr:cNvPr>
        <cdr:cNvSpPr/>
      </cdr:nvSpPr>
      <cdr:spPr>
        <a:xfrm xmlns:a="http://schemas.openxmlformats.org/drawingml/2006/main">
          <a:off x="671676" y="651036"/>
          <a:ext cx="969444" cy="1002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9444" h="1002737">
              <a:moveTo>
                <a:pt x="81825" y="880597"/>
              </a:moveTo>
              <a:lnTo>
                <a:pt x="0" y="965232"/>
              </a:lnTo>
              <a:lnTo>
                <a:pt x="0" y="1002736"/>
              </a:lnTo>
              <a:lnTo>
                <a:pt x="85004" y="914813"/>
              </a:lnTo>
              <a:lnTo>
                <a:pt x="969443" y="0"/>
              </a:lnTo>
              <a:lnTo>
                <a:pt x="9331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0.66913</cdr:y>
    </cdr:from>
    <cdr:to>
      <cdr:x>0.22126</cdr:x>
      <cdr:y>0.79766</cdr:y>
    </cdr:to>
    <cdr:sp macro="" textlink="">
      <cdr:nvSpPr>
        <cdr:cNvPr id="207" name="FracNo 8 StartRow 2456">
          <a:extLst xmlns:a="http://schemas.openxmlformats.org/drawingml/2006/main">
            <a:ext uri="{FF2B5EF4-FFF2-40B4-BE49-F238E27FC236}">
              <a16:creationId xmlns:a16="http://schemas.microsoft.com/office/drawing/2014/main" id="{DB03B097-61E8-ACC6-6FEF-9289468F3FC2}"/>
            </a:ext>
          </a:extLst>
        </cdr:cNvPr>
        <cdr:cNvSpPr/>
      </cdr:nvSpPr>
      <cdr:spPr>
        <a:xfrm xmlns:a="http://schemas.openxmlformats.org/drawingml/2006/main">
          <a:off x="671676" y="5098797"/>
          <a:ext cx="946883" cy="979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6883" h="979401">
              <a:moveTo>
                <a:pt x="127626" y="847390"/>
              </a:moveTo>
              <a:lnTo>
                <a:pt x="0" y="979400"/>
              </a:lnTo>
              <a:lnTo>
                <a:pt x="0" y="979400"/>
              </a:lnTo>
              <a:lnTo>
                <a:pt x="127626" y="847390"/>
              </a:lnTo>
              <a:lnTo>
                <a:pt x="946882" y="0"/>
              </a:lnTo>
              <a:lnTo>
                <a:pt x="9468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0.45018</cdr:y>
    </cdr:from>
    <cdr:to>
      <cdr:x>0.22229</cdr:x>
      <cdr:y>0.58219</cdr:y>
    </cdr:to>
    <cdr:sp macro="" textlink="">
      <cdr:nvSpPr>
        <cdr:cNvPr id="208" name="FracNo 663 StartRow 2465">
          <a:extLst xmlns:a="http://schemas.openxmlformats.org/drawingml/2006/main">
            <a:ext uri="{FF2B5EF4-FFF2-40B4-BE49-F238E27FC236}">
              <a16:creationId xmlns:a16="http://schemas.microsoft.com/office/drawing/2014/main" id="{F20CCC59-E8D7-43C8-D871-D4A57CD39989}"/>
            </a:ext>
          </a:extLst>
        </cdr:cNvPr>
        <cdr:cNvSpPr/>
      </cdr:nvSpPr>
      <cdr:spPr>
        <a:xfrm xmlns:a="http://schemas.openxmlformats.org/drawingml/2006/main">
          <a:off x="671676" y="3430365"/>
          <a:ext cx="954389" cy="1005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4389" h="1005917">
              <a:moveTo>
                <a:pt x="179893" y="819845"/>
              </a:moveTo>
              <a:lnTo>
                <a:pt x="0" y="1005916"/>
              </a:lnTo>
              <a:lnTo>
                <a:pt x="0" y="968412"/>
              </a:lnTo>
              <a:lnTo>
                <a:pt x="176476" y="785876"/>
              </a:lnTo>
              <a:lnTo>
                <a:pt x="936259" y="0"/>
              </a:lnTo>
              <a:lnTo>
                <a:pt x="9543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0.24984</cdr:x>
      <cdr:y>0.7314</cdr:y>
    </cdr:from>
    <cdr:to>
      <cdr:x>0.37842</cdr:x>
      <cdr:y>0.85907</cdr:y>
    </cdr:to>
    <cdr:sp macro="" textlink="">
      <cdr:nvSpPr>
        <cdr:cNvPr id="209" name="FracNo 11 StartRow 2474">
          <a:extLst xmlns:a="http://schemas.openxmlformats.org/drawingml/2006/main">
            <a:ext uri="{FF2B5EF4-FFF2-40B4-BE49-F238E27FC236}">
              <a16:creationId xmlns:a16="http://schemas.microsoft.com/office/drawing/2014/main" id="{81C113B0-47AF-57D8-08EE-07BB3FFF6C7D}"/>
            </a:ext>
          </a:extLst>
        </cdr:cNvPr>
        <cdr:cNvSpPr/>
      </cdr:nvSpPr>
      <cdr:spPr>
        <a:xfrm xmlns:a="http://schemas.openxmlformats.org/drawingml/2006/main">
          <a:off x="1827631" y="5573252"/>
          <a:ext cx="940568" cy="9728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0568" h="972868">
              <a:moveTo>
                <a:pt x="0" y="972867"/>
              </a:moveTo>
              <a:lnTo>
                <a:pt x="0" y="972867"/>
              </a:lnTo>
              <a:lnTo>
                <a:pt x="918255" y="23078"/>
              </a:lnTo>
              <a:lnTo>
                <a:pt x="940567" y="0"/>
              </a:lnTo>
              <a:lnTo>
                <a:pt x="940567" y="0"/>
              </a:lnTo>
              <a:lnTo>
                <a:pt x="918255" y="230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0.81414</cdr:x>
      <cdr:y>0.34918</cdr:y>
    </cdr:from>
    <cdr:to>
      <cdr:x>0.94246</cdr:x>
      <cdr:y>0.4766</cdr:y>
    </cdr:to>
    <cdr:sp macro="" textlink="">
      <cdr:nvSpPr>
        <cdr:cNvPr id="210" name="FracNo 162 StartRow 2483">
          <a:extLst xmlns:a="http://schemas.openxmlformats.org/drawingml/2006/main">
            <a:ext uri="{FF2B5EF4-FFF2-40B4-BE49-F238E27FC236}">
              <a16:creationId xmlns:a16="http://schemas.microsoft.com/office/drawing/2014/main" id="{D7B8490A-7C98-71A6-DA5F-2A1C1C6C4FEC}"/>
            </a:ext>
          </a:extLst>
        </cdr:cNvPr>
        <cdr:cNvSpPr/>
      </cdr:nvSpPr>
      <cdr:spPr>
        <a:xfrm xmlns:a="http://schemas.openxmlformats.org/drawingml/2006/main">
          <a:off x="5955631" y="2660764"/>
          <a:ext cx="938677" cy="9709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8677" h="970913">
              <a:moveTo>
                <a:pt x="0" y="970912"/>
              </a:moveTo>
              <a:lnTo>
                <a:pt x="0" y="970912"/>
              </a:lnTo>
              <a:lnTo>
                <a:pt x="807468" y="135715"/>
              </a:lnTo>
              <a:lnTo>
                <a:pt x="938676" y="0"/>
              </a:lnTo>
              <a:lnTo>
                <a:pt x="938676" y="0"/>
              </a:lnTo>
              <a:lnTo>
                <a:pt x="807468" y="1357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0.45692</cdr:x>
      <cdr:y>0.64672</cdr:y>
    </cdr:from>
    <cdr:to>
      <cdr:x>0.58519</cdr:x>
      <cdr:y>0.7741</cdr:y>
    </cdr:to>
    <cdr:sp macro="" textlink="">
      <cdr:nvSpPr>
        <cdr:cNvPr id="211" name="FracNo 485 StartRow 2492">
          <a:extLst xmlns:a="http://schemas.openxmlformats.org/drawingml/2006/main">
            <a:ext uri="{FF2B5EF4-FFF2-40B4-BE49-F238E27FC236}">
              <a16:creationId xmlns:a16="http://schemas.microsoft.com/office/drawing/2014/main" id="{F9A2FFC6-AB22-F4F4-704E-FA531FFF9EA1}"/>
            </a:ext>
          </a:extLst>
        </cdr:cNvPr>
        <cdr:cNvSpPr/>
      </cdr:nvSpPr>
      <cdr:spPr>
        <a:xfrm xmlns:a="http://schemas.openxmlformats.org/drawingml/2006/main">
          <a:off x="3342426" y="4928031"/>
          <a:ext cx="938378" cy="9706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8378" h="970604">
              <a:moveTo>
                <a:pt x="452575" y="502486"/>
              </a:moveTo>
              <a:lnTo>
                <a:pt x="0" y="970603"/>
              </a:lnTo>
              <a:lnTo>
                <a:pt x="0" y="970603"/>
              </a:lnTo>
              <a:lnTo>
                <a:pt x="452575" y="502486"/>
              </a:lnTo>
              <a:lnTo>
                <a:pt x="924947" y="13891"/>
              </a:lnTo>
              <a:lnTo>
                <a:pt x="938377" y="0"/>
              </a:lnTo>
              <a:lnTo>
                <a:pt x="938377" y="0"/>
              </a:lnTo>
              <a:lnTo>
                <a:pt x="924947" y="138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0.7363</cdr:x>
      <cdr:y>0.49563</cdr:y>
    </cdr:from>
    <cdr:to>
      <cdr:x>0.86678</cdr:x>
      <cdr:y>0.62519</cdr:y>
    </cdr:to>
    <cdr:sp macro="" textlink="">
      <cdr:nvSpPr>
        <cdr:cNvPr id="212" name="FracNo 190 StartRow 2503">
          <a:extLst xmlns:a="http://schemas.openxmlformats.org/drawingml/2006/main">
            <a:ext uri="{FF2B5EF4-FFF2-40B4-BE49-F238E27FC236}">
              <a16:creationId xmlns:a16="http://schemas.microsoft.com/office/drawing/2014/main" id="{A9989ADB-EF85-C2C8-3E32-C4B8DF8E5D06}"/>
            </a:ext>
          </a:extLst>
        </cdr:cNvPr>
        <cdr:cNvSpPr/>
      </cdr:nvSpPr>
      <cdr:spPr>
        <a:xfrm xmlns:a="http://schemas.openxmlformats.org/drawingml/2006/main">
          <a:off x="5386209" y="3776721"/>
          <a:ext cx="954430" cy="987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4430" h="987206">
              <a:moveTo>
                <a:pt x="119215" y="882648"/>
              </a:moveTo>
              <a:lnTo>
                <a:pt x="18129" y="987205"/>
              </a:lnTo>
              <a:lnTo>
                <a:pt x="0" y="968453"/>
              </a:lnTo>
              <a:lnTo>
                <a:pt x="101086" y="863896"/>
              </a:lnTo>
              <a:lnTo>
                <a:pt x="936300" y="0"/>
              </a:lnTo>
              <a:lnTo>
                <a:pt x="9544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0.52661</cdr:x>
      <cdr:y>0.43701</cdr:y>
    </cdr:from>
    <cdr:to>
      <cdr:x>0.65437</cdr:x>
      <cdr:y>0.56386</cdr:y>
    </cdr:to>
    <cdr:sp macro="" textlink="">
      <cdr:nvSpPr>
        <cdr:cNvPr id="213" name="FracNo 98 StartRow 2512">
          <a:extLst xmlns:a="http://schemas.openxmlformats.org/drawingml/2006/main">
            <a:ext uri="{FF2B5EF4-FFF2-40B4-BE49-F238E27FC236}">
              <a16:creationId xmlns:a16="http://schemas.microsoft.com/office/drawing/2014/main" id="{887691B7-B29C-EC49-880B-68611B674EBC}"/>
            </a:ext>
          </a:extLst>
        </cdr:cNvPr>
        <cdr:cNvSpPr/>
      </cdr:nvSpPr>
      <cdr:spPr>
        <a:xfrm xmlns:a="http://schemas.openxmlformats.org/drawingml/2006/main">
          <a:off x="3852277" y="3329990"/>
          <a:ext cx="934550" cy="966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550" h="966644">
              <a:moveTo>
                <a:pt x="310360" y="645625"/>
              </a:moveTo>
              <a:lnTo>
                <a:pt x="0" y="966643"/>
              </a:lnTo>
              <a:lnTo>
                <a:pt x="0" y="966643"/>
              </a:lnTo>
              <a:lnTo>
                <a:pt x="310360" y="645625"/>
              </a:lnTo>
              <a:lnTo>
                <a:pt x="934549" y="0"/>
              </a:lnTo>
              <a:lnTo>
                <a:pt x="9345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0.52389</cdr:x>
      <cdr:y>0.4343</cdr:y>
    </cdr:from>
    <cdr:to>
      <cdr:x>0.65412</cdr:x>
      <cdr:y>0.56362</cdr:y>
    </cdr:to>
    <cdr:sp macro="" textlink="">
      <cdr:nvSpPr>
        <cdr:cNvPr id="214" name="FracNo 740 StartRow 2521">
          <a:extLst xmlns:a="http://schemas.openxmlformats.org/drawingml/2006/main">
            <a:ext uri="{FF2B5EF4-FFF2-40B4-BE49-F238E27FC236}">
              <a16:creationId xmlns:a16="http://schemas.microsoft.com/office/drawing/2014/main" id="{F89267C6-4AEC-F61C-1E50-0A3F2196C963}"/>
            </a:ext>
          </a:extLst>
        </cdr:cNvPr>
        <cdr:cNvSpPr/>
      </cdr:nvSpPr>
      <cdr:spPr>
        <a:xfrm xmlns:a="http://schemas.openxmlformats.org/drawingml/2006/main">
          <a:off x="3832371" y="3309400"/>
          <a:ext cx="952679" cy="985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2679" h="985396">
              <a:moveTo>
                <a:pt x="741554" y="199622"/>
              </a:moveTo>
              <a:lnTo>
                <a:pt x="0" y="966643"/>
              </a:lnTo>
              <a:lnTo>
                <a:pt x="18129" y="985395"/>
              </a:lnTo>
              <a:lnTo>
                <a:pt x="759684" y="218374"/>
              </a:lnTo>
              <a:lnTo>
                <a:pt x="952678" y="18752"/>
              </a:lnTo>
              <a:lnTo>
                <a:pt x="9345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0.78521</cdr:x>
      <cdr:y>0.08544</cdr:y>
    </cdr:from>
    <cdr:to>
      <cdr:x>0.91474</cdr:x>
      <cdr:y>0.21159</cdr:y>
    </cdr:to>
    <cdr:sp macro="" textlink="">
      <cdr:nvSpPr>
        <cdr:cNvPr id="215" name="FracNo 421 StartRow 2530">
          <a:extLst xmlns:a="http://schemas.openxmlformats.org/drawingml/2006/main">
            <a:ext uri="{FF2B5EF4-FFF2-40B4-BE49-F238E27FC236}">
              <a16:creationId xmlns:a16="http://schemas.microsoft.com/office/drawing/2014/main" id="{114F8EAF-8C79-6431-3CC8-686B7F6822F1}"/>
            </a:ext>
          </a:extLst>
        </cdr:cNvPr>
        <cdr:cNvSpPr/>
      </cdr:nvSpPr>
      <cdr:spPr>
        <a:xfrm xmlns:a="http://schemas.openxmlformats.org/drawingml/2006/main">
          <a:off x="5743993" y="651036"/>
          <a:ext cx="947503" cy="9612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7503" h="961289">
              <a:moveTo>
                <a:pt x="22927" y="956326"/>
              </a:moveTo>
              <a:lnTo>
                <a:pt x="18129" y="961288"/>
              </a:lnTo>
              <a:lnTo>
                <a:pt x="0" y="942537"/>
              </a:lnTo>
              <a:lnTo>
                <a:pt x="4705" y="937671"/>
              </a:lnTo>
              <a:lnTo>
                <a:pt x="911243" y="0"/>
              </a:lnTo>
              <a:lnTo>
                <a:pt x="9475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0.65944</cdr:x>
      <cdr:y>0.69872</cdr:y>
    </cdr:from>
    <cdr:to>
      <cdr:x>0.78508</cdr:x>
      <cdr:y>0.82347</cdr:y>
    </cdr:to>
    <cdr:sp macro="" textlink="">
      <cdr:nvSpPr>
        <cdr:cNvPr id="216" name="FracNo 251 StartRow 2539">
          <a:extLst xmlns:a="http://schemas.openxmlformats.org/drawingml/2006/main">
            <a:ext uri="{FF2B5EF4-FFF2-40B4-BE49-F238E27FC236}">
              <a16:creationId xmlns:a16="http://schemas.microsoft.com/office/drawing/2014/main" id="{A2271F75-D6F3-E76E-C22B-32DAA7D2D07C}"/>
            </a:ext>
          </a:extLst>
        </cdr:cNvPr>
        <cdr:cNvSpPr/>
      </cdr:nvSpPr>
      <cdr:spPr>
        <a:xfrm xmlns:a="http://schemas.openxmlformats.org/drawingml/2006/main">
          <a:off x="4823938" y="5324220"/>
          <a:ext cx="919092" cy="950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9092" h="950655">
              <a:moveTo>
                <a:pt x="145142" y="800527"/>
              </a:moveTo>
              <a:lnTo>
                <a:pt x="0" y="950654"/>
              </a:lnTo>
              <a:lnTo>
                <a:pt x="0" y="950654"/>
              </a:lnTo>
              <a:lnTo>
                <a:pt x="145142" y="800527"/>
              </a:lnTo>
              <a:lnTo>
                <a:pt x="919091" y="0"/>
              </a:lnTo>
              <a:lnTo>
                <a:pt x="9190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0.66112</cdr:x>
      <cdr:y>0.70038</cdr:y>
    </cdr:from>
    <cdr:to>
      <cdr:x>0.78924</cdr:x>
      <cdr:y>0.8276</cdr:y>
    </cdr:to>
    <cdr:sp macro="" textlink="">
      <cdr:nvSpPr>
        <cdr:cNvPr id="217" name="FracNo 271 StartRow 2548">
          <a:extLst xmlns:a="http://schemas.openxmlformats.org/drawingml/2006/main">
            <a:ext uri="{FF2B5EF4-FFF2-40B4-BE49-F238E27FC236}">
              <a16:creationId xmlns:a16="http://schemas.microsoft.com/office/drawing/2014/main" id="{60653B61-E28C-D44F-0F69-21046BAECEBC}"/>
            </a:ext>
          </a:extLst>
        </cdr:cNvPr>
        <cdr:cNvSpPr/>
      </cdr:nvSpPr>
      <cdr:spPr>
        <a:xfrm xmlns:a="http://schemas.openxmlformats.org/drawingml/2006/main">
          <a:off x="4836191" y="5336893"/>
          <a:ext cx="937221" cy="969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221" h="969407">
              <a:moveTo>
                <a:pt x="313976" y="663400"/>
              </a:moveTo>
              <a:lnTo>
                <a:pt x="18130" y="969406"/>
              </a:lnTo>
              <a:lnTo>
                <a:pt x="0" y="950654"/>
              </a:lnTo>
              <a:lnTo>
                <a:pt x="295846" y="644648"/>
              </a:lnTo>
              <a:lnTo>
                <a:pt x="919091" y="0"/>
              </a:lnTo>
              <a:lnTo>
                <a:pt x="9372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0.20883</cdr:x>
      <cdr:y>0.08544</cdr:y>
    </cdr:from>
    <cdr:to>
      <cdr:x>0.33663</cdr:x>
      <cdr:y>0.20988</cdr:y>
    </cdr:to>
    <cdr:sp macro="" textlink="">
      <cdr:nvSpPr>
        <cdr:cNvPr id="218" name="FracNo 583 StartRow 2557">
          <a:extLst xmlns:a="http://schemas.openxmlformats.org/drawingml/2006/main">
            <a:ext uri="{FF2B5EF4-FFF2-40B4-BE49-F238E27FC236}">
              <a16:creationId xmlns:a16="http://schemas.microsoft.com/office/drawing/2014/main" id="{090044AB-3927-44CF-4686-2BBA3089947F}"/>
            </a:ext>
          </a:extLst>
        </cdr:cNvPr>
        <cdr:cNvSpPr/>
      </cdr:nvSpPr>
      <cdr:spPr>
        <a:xfrm xmlns:a="http://schemas.openxmlformats.org/drawingml/2006/main">
          <a:off x="1527629" y="651036"/>
          <a:ext cx="934861" cy="9482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861" h="948214">
              <a:moveTo>
                <a:pt x="644617" y="262706"/>
              </a:moveTo>
              <a:lnTo>
                <a:pt x="0" y="929461"/>
              </a:lnTo>
              <a:lnTo>
                <a:pt x="18129" y="948213"/>
              </a:lnTo>
              <a:lnTo>
                <a:pt x="675752" y="268006"/>
              </a:lnTo>
              <a:lnTo>
                <a:pt x="934860" y="0"/>
              </a:lnTo>
              <a:lnTo>
                <a:pt x="8986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0.21776</cdr:x>
      <cdr:y>0.21049</cdr:y>
    </cdr:to>
    <cdr:sp macro="" textlink="">
      <cdr:nvSpPr>
        <cdr:cNvPr id="219" name="FracNo 586 StartRow 2566">
          <a:extLst xmlns:a="http://schemas.openxmlformats.org/drawingml/2006/main">
            <a:ext uri="{FF2B5EF4-FFF2-40B4-BE49-F238E27FC236}">
              <a16:creationId xmlns:a16="http://schemas.microsoft.com/office/drawing/2014/main" id="{82DBEBD2-485A-564D-53DE-984BE190DE83}"/>
            </a:ext>
          </a:extLst>
        </cdr:cNvPr>
        <cdr:cNvSpPr/>
      </cdr:nvSpPr>
      <cdr:spPr>
        <a:xfrm xmlns:a="http://schemas.openxmlformats.org/drawingml/2006/main">
          <a:off x="671676" y="651036"/>
          <a:ext cx="921246" cy="952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246" h="952884">
              <a:moveTo>
                <a:pt x="385184" y="554470"/>
              </a:moveTo>
              <a:lnTo>
                <a:pt x="0" y="952883"/>
              </a:lnTo>
              <a:lnTo>
                <a:pt x="0" y="915379"/>
              </a:lnTo>
              <a:lnTo>
                <a:pt x="370024" y="532647"/>
              </a:lnTo>
              <a:lnTo>
                <a:pt x="884987" y="0"/>
              </a:lnTo>
              <a:lnTo>
                <a:pt x="9212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0.21063</cdr:x>
      <cdr:y>0.52991</cdr:y>
    </cdr:from>
    <cdr:to>
      <cdr:x>0.33373</cdr:x>
      <cdr:y>0.65214</cdr:y>
    </cdr:to>
    <cdr:sp macro="" textlink="">
      <cdr:nvSpPr>
        <cdr:cNvPr id="220" name="FracNo 645 StartRow 2575">
          <a:extLst xmlns:a="http://schemas.openxmlformats.org/drawingml/2006/main">
            <a:ext uri="{FF2B5EF4-FFF2-40B4-BE49-F238E27FC236}">
              <a16:creationId xmlns:a16="http://schemas.microsoft.com/office/drawing/2014/main" id="{3B7BC14D-C151-FFEE-D14F-A7309A2048B6}"/>
            </a:ext>
          </a:extLst>
        </cdr:cNvPr>
        <cdr:cNvSpPr/>
      </cdr:nvSpPr>
      <cdr:spPr>
        <a:xfrm xmlns:a="http://schemas.openxmlformats.org/drawingml/2006/main">
          <a:off x="1540813" y="4037941"/>
          <a:ext cx="900473" cy="931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0473" h="931396">
              <a:moveTo>
                <a:pt x="694116" y="213442"/>
              </a:moveTo>
              <a:lnTo>
                <a:pt x="26504" y="903981"/>
              </a:lnTo>
              <a:lnTo>
                <a:pt x="0" y="931395"/>
              </a:lnTo>
              <a:lnTo>
                <a:pt x="0" y="931395"/>
              </a:lnTo>
              <a:lnTo>
                <a:pt x="26504" y="903981"/>
              </a:lnTo>
              <a:lnTo>
                <a:pt x="694116" y="213442"/>
              </a:lnTo>
              <a:lnTo>
                <a:pt x="900472" y="0"/>
              </a:lnTo>
              <a:lnTo>
                <a:pt x="9004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0.23361</cdr:x>
      <cdr:y>0.6522</cdr:y>
    </cdr:from>
    <cdr:to>
      <cdr:x>0.35786</cdr:x>
      <cdr:y>0.77557</cdr:y>
    </cdr:to>
    <cdr:sp macro="" textlink="">
      <cdr:nvSpPr>
        <cdr:cNvPr id="221" name="FracNo 23 StartRow 2586">
          <a:extLst xmlns:a="http://schemas.openxmlformats.org/drawingml/2006/main">
            <a:ext uri="{FF2B5EF4-FFF2-40B4-BE49-F238E27FC236}">
              <a16:creationId xmlns:a16="http://schemas.microsoft.com/office/drawing/2014/main" id="{D3F29F5E-CCE9-EA01-985E-92CA116F08D9}"/>
            </a:ext>
          </a:extLst>
        </cdr:cNvPr>
        <cdr:cNvSpPr/>
      </cdr:nvSpPr>
      <cdr:spPr>
        <a:xfrm xmlns:a="http://schemas.openxmlformats.org/drawingml/2006/main">
          <a:off x="1708872" y="4969733"/>
          <a:ext cx="908933" cy="940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8933" h="940148">
              <a:moveTo>
                <a:pt x="178007" y="774779"/>
              </a:moveTo>
              <a:lnTo>
                <a:pt x="18129" y="940147"/>
              </a:lnTo>
              <a:lnTo>
                <a:pt x="0" y="921395"/>
              </a:lnTo>
              <a:lnTo>
                <a:pt x="159878" y="756027"/>
              </a:lnTo>
              <a:lnTo>
                <a:pt x="890803" y="0"/>
              </a:lnTo>
              <a:lnTo>
                <a:pt x="9089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0.20663</cdr:x>
      <cdr:y>0.52384</cdr:y>
    </cdr:from>
    <cdr:to>
      <cdr:x>0.33009</cdr:x>
      <cdr:y>0.64642</cdr:y>
    </cdr:to>
    <cdr:sp macro="" textlink="">
      <cdr:nvSpPr>
        <cdr:cNvPr id="222" name="FracNo 676 StartRow 2595">
          <a:extLst xmlns:a="http://schemas.openxmlformats.org/drawingml/2006/main">
            <a:ext uri="{FF2B5EF4-FFF2-40B4-BE49-F238E27FC236}">
              <a16:creationId xmlns:a16="http://schemas.microsoft.com/office/drawing/2014/main" id="{197DB8AD-EB6F-E025-5D83-21D9A02BB396}"/>
            </a:ext>
          </a:extLst>
        </cdr:cNvPr>
        <cdr:cNvSpPr/>
      </cdr:nvSpPr>
      <cdr:spPr>
        <a:xfrm xmlns:a="http://schemas.openxmlformats.org/drawingml/2006/main">
          <a:off x="1511576" y="3991636"/>
          <a:ext cx="903071" cy="934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3071" h="934083">
              <a:moveTo>
                <a:pt x="280081" y="663135"/>
              </a:moveTo>
              <a:lnTo>
                <a:pt x="18130" y="934082"/>
              </a:lnTo>
              <a:lnTo>
                <a:pt x="0" y="915330"/>
              </a:lnTo>
              <a:lnTo>
                <a:pt x="261952" y="644383"/>
              </a:lnTo>
              <a:lnTo>
                <a:pt x="884941" y="0"/>
              </a:lnTo>
              <a:lnTo>
                <a:pt x="90307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0.65589</cdr:x>
      <cdr:y>0.47067</cdr:y>
    </cdr:from>
    <cdr:to>
      <cdr:x>0.77499</cdr:x>
      <cdr:y>0.58893</cdr:y>
    </cdr:to>
    <cdr:sp macro="" textlink="">
      <cdr:nvSpPr>
        <cdr:cNvPr id="223" name="FracNo 172 StartRow 2604">
          <a:extLst xmlns:a="http://schemas.openxmlformats.org/drawingml/2006/main">
            <a:ext uri="{FF2B5EF4-FFF2-40B4-BE49-F238E27FC236}">
              <a16:creationId xmlns:a16="http://schemas.microsoft.com/office/drawing/2014/main" id="{E0280010-9D8A-6A46-9088-75BC5BC86AB0}"/>
            </a:ext>
          </a:extLst>
        </cdr:cNvPr>
        <cdr:cNvSpPr/>
      </cdr:nvSpPr>
      <cdr:spPr>
        <a:xfrm xmlns:a="http://schemas.openxmlformats.org/drawingml/2006/main">
          <a:off x="4797940" y="3586502"/>
          <a:ext cx="871256" cy="901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1256" h="901177">
              <a:moveTo>
                <a:pt x="732639" y="143376"/>
              </a:moveTo>
              <a:lnTo>
                <a:pt x="22157" y="878258"/>
              </a:lnTo>
              <a:lnTo>
                <a:pt x="0" y="901176"/>
              </a:lnTo>
              <a:lnTo>
                <a:pt x="0" y="901176"/>
              </a:lnTo>
              <a:lnTo>
                <a:pt x="22157" y="878258"/>
              </a:lnTo>
              <a:lnTo>
                <a:pt x="732639" y="143376"/>
              </a:lnTo>
              <a:lnTo>
                <a:pt x="871255" y="0"/>
              </a:lnTo>
              <a:lnTo>
                <a:pt x="8712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0.65683</cdr:y>
    </cdr:from>
    <cdr:to>
      <cdr:x>0.21135</cdr:x>
      <cdr:y>0.77798</cdr:y>
    </cdr:to>
    <cdr:sp macro="" textlink="">
      <cdr:nvSpPr>
        <cdr:cNvPr id="224" name="FracNo 32 StartRow 2615">
          <a:extLst xmlns:a="http://schemas.openxmlformats.org/drawingml/2006/main">
            <a:ext uri="{FF2B5EF4-FFF2-40B4-BE49-F238E27FC236}">
              <a16:creationId xmlns:a16="http://schemas.microsoft.com/office/drawing/2014/main" id="{0E344874-DBC8-D871-D01A-B96A4FBC6BB4}"/>
            </a:ext>
          </a:extLst>
        </cdr:cNvPr>
        <cdr:cNvSpPr/>
      </cdr:nvSpPr>
      <cdr:spPr>
        <a:xfrm xmlns:a="http://schemas.openxmlformats.org/drawingml/2006/main">
          <a:off x="671676" y="5005063"/>
          <a:ext cx="874390" cy="923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4390" h="923171">
              <a:moveTo>
                <a:pt x="609993" y="292228"/>
              </a:moveTo>
              <a:lnTo>
                <a:pt x="0" y="923170"/>
              </a:lnTo>
              <a:lnTo>
                <a:pt x="0" y="885666"/>
              </a:lnTo>
              <a:lnTo>
                <a:pt x="597346" y="267806"/>
              </a:lnTo>
              <a:lnTo>
                <a:pt x="856260" y="0"/>
              </a:lnTo>
              <a:lnTo>
                <a:pt x="8743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0.75462</cdr:x>
      <cdr:y>0.81229</cdr:y>
    </cdr:from>
    <cdr:to>
      <cdr:x>0.87573</cdr:x>
      <cdr:y>0.9301</cdr:y>
    </cdr:to>
    <cdr:sp macro="" textlink="">
      <cdr:nvSpPr>
        <cdr:cNvPr id="225" name="FracNo 270 StartRow 2624">
          <a:extLst xmlns:a="http://schemas.openxmlformats.org/drawingml/2006/main">
            <a:ext uri="{FF2B5EF4-FFF2-40B4-BE49-F238E27FC236}">
              <a16:creationId xmlns:a16="http://schemas.microsoft.com/office/drawing/2014/main" id="{12BFC777-5030-BD57-E45F-EFE42CA82BBA}"/>
            </a:ext>
          </a:extLst>
        </cdr:cNvPr>
        <cdr:cNvSpPr/>
      </cdr:nvSpPr>
      <cdr:spPr>
        <a:xfrm xmlns:a="http://schemas.openxmlformats.org/drawingml/2006/main">
          <a:off x="5520168" y="6189684"/>
          <a:ext cx="886007" cy="897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6007" h="897682">
              <a:moveTo>
                <a:pt x="568220" y="309948"/>
              </a:moveTo>
              <a:lnTo>
                <a:pt x="0" y="897681"/>
              </a:lnTo>
              <a:lnTo>
                <a:pt x="36259" y="897681"/>
              </a:lnTo>
              <a:lnTo>
                <a:pt x="592609" y="322225"/>
              </a:lnTo>
              <a:lnTo>
                <a:pt x="886006" y="18752"/>
              </a:lnTo>
              <a:lnTo>
                <a:pt x="8678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0.82649</cdr:x>
      <cdr:y>0.7703</cdr:y>
    </cdr:from>
    <cdr:to>
      <cdr:x>0.94246</cdr:x>
      <cdr:y>0.88546</cdr:y>
    </cdr:to>
    <cdr:sp macro="" textlink="">
      <cdr:nvSpPr>
        <cdr:cNvPr id="226" name="FracNo 257 StartRow 2633">
          <a:extLst xmlns:a="http://schemas.openxmlformats.org/drawingml/2006/main">
            <a:ext uri="{FF2B5EF4-FFF2-40B4-BE49-F238E27FC236}">
              <a16:creationId xmlns:a16="http://schemas.microsoft.com/office/drawing/2014/main" id="{A8B7F680-91E8-BA18-16CD-BE5B6FA203D1}"/>
            </a:ext>
          </a:extLst>
        </cdr:cNvPr>
        <cdr:cNvSpPr/>
      </cdr:nvSpPr>
      <cdr:spPr>
        <a:xfrm xmlns:a="http://schemas.openxmlformats.org/drawingml/2006/main">
          <a:off x="6045910" y="5869665"/>
          <a:ext cx="848398" cy="877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8398" h="877533">
              <a:moveTo>
                <a:pt x="278028" y="589956"/>
              </a:moveTo>
              <a:lnTo>
                <a:pt x="0" y="877532"/>
              </a:lnTo>
              <a:lnTo>
                <a:pt x="0" y="877532"/>
              </a:lnTo>
              <a:lnTo>
                <a:pt x="278028" y="589956"/>
              </a:lnTo>
              <a:lnTo>
                <a:pt x="848397" y="0"/>
              </a:lnTo>
              <a:lnTo>
                <a:pt x="8483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0.74352</cdr:x>
      <cdr:y>0.53593</cdr:y>
    </cdr:from>
    <cdr:to>
      <cdr:x>0.85878</cdr:x>
      <cdr:y>0.65038</cdr:y>
    </cdr:to>
    <cdr:sp macro="" textlink="">
      <cdr:nvSpPr>
        <cdr:cNvPr id="227" name="FracNo 177 StartRow 2642">
          <a:extLst xmlns:a="http://schemas.openxmlformats.org/drawingml/2006/main">
            <a:ext uri="{FF2B5EF4-FFF2-40B4-BE49-F238E27FC236}">
              <a16:creationId xmlns:a16="http://schemas.microsoft.com/office/drawing/2014/main" id="{1C858B5A-90E3-B4B5-E6E9-84ECEDE5AAA0}"/>
            </a:ext>
          </a:extLst>
        </cdr:cNvPr>
        <cdr:cNvSpPr/>
      </cdr:nvSpPr>
      <cdr:spPr>
        <a:xfrm xmlns:a="http://schemas.openxmlformats.org/drawingml/2006/main">
          <a:off x="5438979" y="4083781"/>
          <a:ext cx="843188" cy="872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3188" h="872146">
              <a:moveTo>
                <a:pt x="843187" y="0"/>
              </a:moveTo>
              <a:lnTo>
                <a:pt x="13539" y="858141"/>
              </a:lnTo>
              <a:lnTo>
                <a:pt x="0" y="872145"/>
              </a:lnTo>
              <a:lnTo>
                <a:pt x="0" y="872145"/>
              </a:lnTo>
              <a:lnTo>
                <a:pt x="13539" y="858141"/>
              </a:lnTo>
              <a:lnTo>
                <a:pt x="84318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0.37325</cdr:x>
      <cdr:y>0.08544</cdr:y>
    </cdr:from>
    <cdr:to>
      <cdr:x>0.48784</cdr:x>
      <cdr:y>0.19922</cdr:y>
    </cdr:to>
    <cdr:sp macro="" textlink="">
      <cdr:nvSpPr>
        <cdr:cNvPr id="228" name="FracNo 336 StartRow 2652">
          <a:extLst xmlns:a="http://schemas.openxmlformats.org/drawingml/2006/main">
            <a:ext uri="{FF2B5EF4-FFF2-40B4-BE49-F238E27FC236}">
              <a16:creationId xmlns:a16="http://schemas.microsoft.com/office/drawing/2014/main" id="{C8E2F7D7-1662-F1F0-9EA8-F2B2D8C206A3}"/>
            </a:ext>
          </a:extLst>
        </cdr:cNvPr>
        <cdr:cNvSpPr/>
      </cdr:nvSpPr>
      <cdr:spPr>
        <a:xfrm xmlns:a="http://schemas.openxmlformats.org/drawingml/2006/main">
          <a:off x="2730393" y="651036"/>
          <a:ext cx="838230" cy="8670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30" h="867016">
              <a:moveTo>
                <a:pt x="283186" y="574104"/>
              </a:moveTo>
              <a:lnTo>
                <a:pt x="15493" y="850989"/>
              </a:lnTo>
              <a:lnTo>
                <a:pt x="0" y="867015"/>
              </a:lnTo>
              <a:lnTo>
                <a:pt x="0" y="867015"/>
              </a:lnTo>
              <a:lnTo>
                <a:pt x="15493" y="850989"/>
              </a:lnTo>
              <a:lnTo>
                <a:pt x="283186" y="574104"/>
              </a:lnTo>
              <a:lnTo>
                <a:pt x="838229" y="0"/>
              </a:lnTo>
              <a:lnTo>
                <a:pt x="8382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0.3645</cdr:y>
    </cdr:from>
    <cdr:to>
      <cdr:x>0.20602</cdr:x>
      <cdr:y>0.4779</cdr:y>
    </cdr:to>
    <cdr:sp macro="" textlink="">
      <cdr:nvSpPr>
        <cdr:cNvPr id="229" name="FracNo 656 StartRow 2663">
          <a:extLst xmlns:a="http://schemas.openxmlformats.org/drawingml/2006/main">
            <a:ext uri="{FF2B5EF4-FFF2-40B4-BE49-F238E27FC236}">
              <a16:creationId xmlns:a16="http://schemas.microsoft.com/office/drawing/2014/main" id="{B401422F-0650-838A-B439-2963957062D3}"/>
            </a:ext>
          </a:extLst>
        </cdr:cNvPr>
        <cdr:cNvSpPr/>
      </cdr:nvSpPr>
      <cdr:spPr>
        <a:xfrm xmlns:a="http://schemas.openxmlformats.org/drawingml/2006/main">
          <a:off x="671676" y="2777517"/>
          <a:ext cx="835390" cy="8640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5390" h="864080">
              <a:moveTo>
                <a:pt x="460125" y="388153"/>
              </a:moveTo>
              <a:lnTo>
                <a:pt x="0" y="864079"/>
              </a:lnTo>
              <a:lnTo>
                <a:pt x="0" y="864079"/>
              </a:lnTo>
              <a:lnTo>
                <a:pt x="460125" y="388153"/>
              </a:lnTo>
              <a:lnTo>
                <a:pt x="817057" y="18962"/>
              </a:lnTo>
              <a:lnTo>
                <a:pt x="835389" y="0"/>
              </a:lnTo>
              <a:lnTo>
                <a:pt x="835389" y="0"/>
              </a:lnTo>
              <a:lnTo>
                <a:pt x="817057" y="189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0.28857</cdr:x>
      <cdr:y>0.81685</cdr:y>
    </cdr:from>
    <cdr:to>
      <cdr:x>0.40262</cdr:x>
      <cdr:y>0.9301</cdr:y>
    </cdr:to>
    <cdr:sp macro="" textlink="">
      <cdr:nvSpPr>
        <cdr:cNvPr id="230" name="FracNo 492 StartRow 2674">
          <a:extLst xmlns:a="http://schemas.openxmlformats.org/drawingml/2006/main">
            <a:ext uri="{FF2B5EF4-FFF2-40B4-BE49-F238E27FC236}">
              <a16:creationId xmlns:a16="http://schemas.microsoft.com/office/drawing/2014/main" id="{DEA19C14-596A-1176-71BB-665D05AA580A}"/>
            </a:ext>
          </a:extLst>
        </cdr:cNvPr>
        <cdr:cNvSpPr/>
      </cdr:nvSpPr>
      <cdr:spPr>
        <a:xfrm xmlns:a="http://schemas.openxmlformats.org/drawingml/2006/main">
          <a:off x="2110982" y="6224435"/>
          <a:ext cx="834281" cy="8629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4281" h="862931">
              <a:moveTo>
                <a:pt x="711929" y="126553"/>
              </a:moveTo>
              <a:lnTo>
                <a:pt x="634904" y="206222"/>
              </a:lnTo>
              <a:lnTo>
                <a:pt x="0" y="862930"/>
              </a:lnTo>
              <a:lnTo>
                <a:pt x="0" y="862930"/>
              </a:lnTo>
              <a:lnTo>
                <a:pt x="634904" y="206222"/>
              </a:lnTo>
              <a:lnTo>
                <a:pt x="711929" y="126553"/>
              </a:lnTo>
              <a:lnTo>
                <a:pt x="834280" y="0"/>
              </a:lnTo>
              <a:lnTo>
                <a:pt x="8342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0.82732</cdr:x>
      <cdr:y>0.23625</cdr:y>
    </cdr:from>
    <cdr:to>
      <cdr:x>0.94048</cdr:x>
      <cdr:y>0.34861</cdr:y>
    </cdr:to>
    <cdr:sp macro="" textlink="">
      <cdr:nvSpPr>
        <cdr:cNvPr id="231" name="FracNo 417 StartRow 2685">
          <a:extLst xmlns:a="http://schemas.openxmlformats.org/drawingml/2006/main">
            <a:ext uri="{FF2B5EF4-FFF2-40B4-BE49-F238E27FC236}">
              <a16:creationId xmlns:a16="http://schemas.microsoft.com/office/drawing/2014/main" id="{20FDBED4-D701-5DAB-B1DF-8FD3FB871C2D}"/>
            </a:ext>
          </a:extLst>
        </cdr:cNvPr>
        <cdr:cNvSpPr/>
      </cdr:nvSpPr>
      <cdr:spPr>
        <a:xfrm xmlns:a="http://schemas.openxmlformats.org/drawingml/2006/main">
          <a:off x="6052010" y="1800227"/>
          <a:ext cx="827770" cy="8561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7770" h="856198">
              <a:moveTo>
                <a:pt x="0" y="856197"/>
              </a:moveTo>
              <a:lnTo>
                <a:pt x="0" y="856197"/>
              </a:lnTo>
              <a:lnTo>
                <a:pt x="827769" y="0"/>
              </a:lnTo>
              <a:lnTo>
                <a:pt x="8277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0.79315</cdr:x>
      <cdr:y>0.08544</cdr:y>
    </cdr:from>
    <cdr:to>
      <cdr:x>0.90616</cdr:x>
      <cdr:y>0.19765</cdr:y>
    </cdr:to>
    <cdr:sp macro="" textlink="">
      <cdr:nvSpPr>
        <cdr:cNvPr id="232" name="FracNo 749 StartRow 2692">
          <a:extLst xmlns:a="http://schemas.openxmlformats.org/drawingml/2006/main">
            <a:ext uri="{FF2B5EF4-FFF2-40B4-BE49-F238E27FC236}">
              <a16:creationId xmlns:a16="http://schemas.microsoft.com/office/drawing/2014/main" id="{1A0970C7-BBB6-881B-D194-8888A6E112AA}"/>
            </a:ext>
          </a:extLst>
        </cdr:cNvPr>
        <cdr:cNvSpPr/>
      </cdr:nvSpPr>
      <cdr:spPr>
        <a:xfrm xmlns:a="http://schemas.openxmlformats.org/drawingml/2006/main">
          <a:off x="5802076" y="651036"/>
          <a:ext cx="826661" cy="855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6661" h="855051">
              <a:moveTo>
                <a:pt x="499494" y="338402"/>
              </a:moveTo>
              <a:lnTo>
                <a:pt x="0" y="855050"/>
              </a:lnTo>
              <a:lnTo>
                <a:pt x="0" y="855050"/>
              </a:lnTo>
              <a:lnTo>
                <a:pt x="499494" y="338402"/>
              </a:lnTo>
              <a:lnTo>
                <a:pt x="826660" y="0"/>
              </a:lnTo>
              <a:lnTo>
                <a:pt x="8266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0.6521</cdr:x>
      <cdr:y>0.29477</cdr:y>
    </cdr:from>
    <cdr:to>
      <cdr:x>0.76497</cdr:x>
      <cdr:y>0.40684</cdr:y>
    </cdr:to>
    <cdr:sp macro="" textlink="">
      <cdr:nvSpPr>
        <cdr:cNvPr id="233" name="FracNo 84 StartRow 2701">
          <a:extLst xmlns:a="http://schemas.openxmlformats.org/drawingml/2006/main">
            <a:ext uri="{FF2B5EF4-FFF2-40B4-BE49-F238E27FC236}">
              <a16:creationId xmlns:a16="http://schemas.microsoft.com/office/drawing/2014/main" id="{E725DFBC-258A-A9C8-DA59-6C71B97FC299}"/>
            </a:ext>
          </a:extLst>
        </cdr:cNvPr>
        <cdr:cNvSpPr/>
      </cdr:nvSpPr>
      <cdr:spPr>
        <a:xfrm xmlns:a="http://schemas.openxmlformats.org/drawingml/2006/main">
          <a:off x="4770231" y="2246141"/>
          <a:ext cx="825655" cy="854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5655" h="854010">
              <a:moveTo>
                <a:pt x="0" y="854009"/>
              </a:moveTo>
              <a:lnTo>
                <a:pt x="0" y="854009"/>
              </a:lnTo>
              <a:lnTo>
                <a:pt x="49866" y="802431"/>
              </a:lnTo>
              <a:lnTo>
                <a:pt x="293589" y="550338"/>
              </a:lnTo>
              <a:lnTo>
                <a:pt x="825654" y="0"/>
              </a:lnTo>
              <a:lnTo>
                <a:pt x="825654" y="0"/>
              </a:lnTo>
              <a:lnTo>
                <a:pt x="293589" y="550338"/>
              </a:lnTo>
              <a:lnTo>
                <a:pt x="49866" y="8024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0.76375</cdr:x>
      <cdr:y>0.81683</cdr:y>
    </cdr:from>
    <cdr:to>
      <cdr:x>0.8803</cdr:x>
      <cdr:y>0.9301</cdr:y>
    </cdr:to>
    <cdr:sp macro="" textlink="">
      <cdr:nvSpPr>
        <cdr:cNvPr id="234" name="FracNo 262 StartRow 2712">
          <a:extLst xmlns:a="http://schemas.openxmlformats.org/drawingml/2006/main">
            <a:ext uri="{FF2B5EF4-FFF2-40B4-BE49-F238E27FC236}">
              <a16:creationId xmlns:a16="http://schemas.microsoft.com/office/drawing/2014/main" id="{4734346F-4A02-B9A3-49F5-BEF81F21E4DA}"/>
            </a:ext>
          </a:extLst>
        </cdr:cNvPr>
        <cdr:cNvSpPr/>
      </cdr:nvSpPr>
      <cdr:spPr>
        <a:xfrm xmlns:a="http://schemas.openxmlformats.org/drawingml/2006/main">
          <a:off x="5587013" y="6224254"/>
          <a:ext cx="852584" cy="8631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2584" h="863112">
              <a:moveTo>
                <a:pt x="766716" y="107568"/>
              </a:moveTo>
              <a:lnTo>
                <a:pt x="36258" y="863111"/>
              </a:lnTo>
              <a:lnTo>
                <a:pt x="0" y="863111"/>
              </a:lnTo>
              <a:lnTo>
                <a:pt x="746680" y="90788"/>
              </a:lnTo>
              <a:lnTo>
                <a:pt x="834454" y="0"/>
              </a:lnTo>
              <a:lnTo>
                <a:pt x="8525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0.22792</cdr:x>
      <cdr:y>0.65627</cdr:y>
    </cdr:from>
    <cdr:to>
      <cdr:x>0.3399</cdr:x>
      <cdr:y>0.76746</cdr:y>
    </cdr:to>
    <cdr:sp macro="" textlink="">
      <cdr:nvSpPr>
        <cdr:cNvPr id="235" name="FracNo 7 StartRow 2721">
          <a:extLst xmlns:a="http://schemas.openxmlformats.org/drawingml/2006/main">
            <a:ext uri="{FF2B5EF4-FFF2-40B4-BE49-F238E27FC236}">
              <a16:creationId xmlns:a16="http://schemas.microsoft.com/office/drawing/2014/main" id="{6B8845AD-5B31-229D-7563-A8A910265E1B}"/>
            </a:ext>
          </a:extLst>
        </cdr:cNvPr>
        <cdr:cNvSpPr/>
      </cdr:nvSpPr>
      <cdr:spPr>
        <a:xfrm xmlns:a="http://schemas.openxmlformats.org/drawingml/2006/main">
          <a:off x="1667246" y="5000756"/>
          <a:ext cx="819186" cy="847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9186" h="847318">
              <a:moveTo>
                <a:pt x="819185" y="0"/>
              </a:moveTo>
              <a:lnTo>
                <a:pt x="0" y="847317"/>
              </a:lnTo>
              <a:lnTo>
                <a:pt x="0" y="847317"/>
              </a:lnTo>
              <a:lnTo>
                <a:pt x="81918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0.31734</cdr:x>
      <cdr:y>0.59295</cdr:y>
    </cdr:from>
    <cdr:to>
      <cdr:x>0.43119</cdr:x>
      <cdr:y>0.70599</cdr:y>
    </cdr:to>
    <cdr:sp macro="" textlink="">
      <cdr:nvSpPr>
        <cdr:cNvPr id="236" name="FracNo 113 StartRow 2729">
          <a:extLst xmlns:a="http://schemas.openxmlformats.org/drawingml/2006/main">
            <a:ext uri="{FF2B5EF4-FFF2-40B4-BE49-F238E27FC236}">
              <a16:creationId xmlns:a16="http://schemas.microsoft.com/office/drawing/2014/main" id="{D7A74002-A426-9D85-B116-C3A11AA70D56}"/>
            </a:ext>
          </a:extLst>
        </cdr:cNvPr>
        <cdr:cNvSpPr/>
      </cdr:nvSpPr>
      <cdr:spPr>
        <a:xfrm xmlns:a="http://schemas.openxmlformats.org/drawingml/2006/main">
          <a:off x="2321440" y="4518247"/>
          <a:ext cx="832813" cy="861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2813" h="861414">
              <a:moveTo>
                <a:pt x="761389" y="55124"/>
              </a:moveTo>
              <a:lnTo>
                <a:pt x="415382" y="413014"/>
              </a:lnTo>
              <a:lnTo>
                <a:pt x="414140" y="414299"/>
              </a:lnTo>
              <a:lnTo>
                <a:pt x="0" y="842661"/>
              </a:lnTo>
              <a:lnTo>
                <a:pt x="18129" y="861413"/>
              </a:lnTo>
              <a:lnTo>
                <a:pt x="432269" y="433051"/>
              </a:lnTo>
              <a:lnTo>
                <a:pt x="433511" y="431766"/>
              </a:lnTo>
              <a:lnTo>
                <a:pt x="779519" y="73876"/>
              </a:lnTo>
              <a:lnTo>
                <a:pt x="832812" y="18752"/>
              </a:lnTo>
              <a:lnTo>
                <a:pt x="8146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0.78975</cdr:x>
      <cdr:y>0.08544</cdr:y>
    </cdr:from>
    <cdr:to>
      <cdr:x>0.90431</cdr:x>
      <cdr:y>0.19673</cdr:y>
    </cdr:to>
    <cdr:sp macro="" textlink="">
      <cdr:nvSpPr>
        <cdr:cNvPr id="237" name="FracNo 427 StartRow 2742">
          <a:extLst xmlns:a="http://schemas.openxmlformats.org/drawingml/2006/main">
            <a:ext uri="{FF2B5EF4-FFF2-40B4-BE49-F238E27FC236}">
              <a16:creationId xmlns:a16="http://schemas.microsoft.com/office/drawing/2014/main" id="{895D9BE8-0E45-DBD1-6C87-FCC63281FFFB}"/>
            </a:ext>
          </a:extLst>
        </cdr:cNvPr>
        <cdr:cNvSpPr/>
      </cdr:nvSpPr>
      <cdr:spPr>
        <a:xfrm xmlns:a="http://schemas.openxmlformats.org/drawingml/2006/main">
          <a:off x="5777166" y="651036"/>
          <a:ext cx="838011" cy="848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011" h="848038">
              <a:moveTo>
                <a:pt x="118675" y="706535"/>
              </a:moveTo>
              <a:lnTo>
                <a:pt x="0" y="829285"/>
              </a:lnTo>
              <a:lnTo>
                <a:pt x="18129" y="848037"/>
              </a:lnTo>
              <a:lnTo>
                <a:pt x="139488" y="722512"/>
              </a:lnTo>
              <a:lnTo>
                <a:pt x="838010" y="0"/>
              </a:lnTo>
              <a:lnTo>
                <a:pt x="8017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0.20464</cdr:x>
      <cdr:y>0.19747</cdr:y>
    </cdr:to>
    <cdr:sp macro="" textlink="">
      <cdr:nvSpPr>
        <cdr:cNvPr id="238" name="FracNo 593 StartRow 2751">
          <a:extLst xmlns:a="http://schemas.openxmlformats.org/drawingml/2006/main">
            <a:ext uri="{FF2B5EF4-FFF2-40B4-BE49-F238E27FC236}">
              <a16:creationId xmlns:a16="http://schemas.microsoft.com/office/drawing/2014/main" id="{C8E02B07-E7B9-5424-DCC9-4994611E5E34}"/>
            </a:ext>
          </a:extLst>
        </cdr:cNvPr>
        <cdr:cNvSpPr/>
      </cdr:nvSpPr>
      <cdr:spPr>
        <a:xfrm xmlns:a="http://schemas.openxmlformats.org/drawingml/2006/main">
          <a:off x="671676" y="651036"/>
          <a:ext cx="825320" cy="8536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5320" h="853662">
              <a:moveTo>
                <a:pt x="478267" y="358971"/>
              </a:moveTo>
              <a:lnTo>
                <a:pt x="0" y="853661"/>
              </a:lnTo>
              <a:lnTo>
                <a:pt x="0" y="816158"/>
              </a:lnTo>
              <a:lnTo>
                <a:pt x="457255" y="343200"/>
              </a:lnTo>
              <a:lnTo>
                <a:pt x="789060" y="0"/>
              </a:lnTo>
              <a:lnTo>
                <a:pt x="8253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0.21851</cdr:x>
      <cdr:y>0.34157</cdr:y>
    </cdr:from>
    <cdr:to>
      <cdr:x>0.32907</cdr:x>
      <cdr:y>0.45135</cdr:y>
    </cdr:to>
    <cdr:sp macro="" textlink="">
      <cdr:nvSpPr>
        <cdr:cNvPr id="239" name="FracNo 598 StartRow 2760">
          <a:extLst xmlns:a="http://schemas.openxmlformats.org/drawingml/2006/main">
            <a:ext uri="{FF2B5EF4-FFF2-40B4-BE49-F238E27FC236}">
              <a16:creationId xmlns:a16="http://schemas.microsoft.com/office/drawing/2014/main" id="{13DEAE2F-B5BA-41BB-BB74-7037E43E2D9D}"/>
            </a:ext>
          </a:extLst>
        </cdr:cNvPr>
        <cdr:cNvSpPr/>
      </cdr:nvSpPr>
      <cdr:spPr>
        <a:xfrm xmlns:a="http://schemas.openxmlformats.org/drawingml/2006/main">
          <a:off x="1598451" y="2602741"/>
          <a:ext cx="808792" cy="836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8792" h="836568">
              <a:moveTo>
                <a:pt x="761389" y="30277"/>
              </a:moveTo>
              <a:lnTo>
                <a:pt x="612420" y="184362"/>
              </a:lnTo>
              <a:lnTo>
                <a:pt x="0" y="817815"/>
              </a:lnTo>
              <a:lnTo>
                <a:pt x="18129" y="836567"/>
              </a:lnTo>
              <a:lnTo>
                <a:pt x="630550" y="203114"/>
              </a:lnTo>
              <a:lnTo>
                <a:pt x="779518" y="49029"/>
              </a:lnTo>
              <a:lnTo>
                <a:pt x="808791" y="18752"/>
              </a:lnTo>
              <a:lnTo>
                <a:pt x="7906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0.7569</cdr:x>
      <cdr:y>0.08544</cdr:y>
    </cdr:from>
    <cdr:to>
      <cdr:x>0.86768</cdr:x>
      <cdr:y>0.19299</cdr:y>
    </cdr:to>
    <cdr:sp macro="" textlink="">
      <cdr:nvSpPr>
        <cdr:cNvPr id="240" name="FracNo 433 StartRow 2771">
          <a:extLst xmlns:a="http://schemas.openxmlformats.org/drawingml/2006/main">
            <a:ext uri="{FF2B5EF4-FFF2-40B4-BE49-F238E27FC236}">
              <a16:creationId xmlns:a16="http://schemas.microsoft.com/office/drawing/2014/main" id="{98F94A66-3D53-ABE4-64A0-38886EE6D09F}"/>
            </a:ext>
          </a:extLst>
        </cdr:cNvPr>
        <cdr:cNvSpPr/>
      </cdr:nvSpPr>
      <cdr:spPr>
        <a:xfrm xmlns:a="http://schemas.openxmlformats.org/drawingml/2006/main">
          <a:off x="5536854" y="651036"/>
          <a:ext cx="810430" cy="819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0430" h="819510">
              <a:moveTo>
                <a:pt x="683636" y="93644"/>
              </a:moveTo>
              <a:lnTo>
                <a:pt x="0" y="800757"/>
              </a:lnTo>
              <a:lnTo>
                <a:pt x="18130" y="819509"/>
              </a:lnTo>
              <a:lnTo>
                <a:pt x="717775" y="95837"/>
              </a:lnTo>
              <a:lnTo>
                <a:pt x="810429" y="0"/>
              </a:lnTo>
              <a:lnTo>
                <a:pt x="7741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0.27534</cdr:x>
      <cdr:y>0.22579</cdr:y>
    </cdr:from>
    <cdr:to>
      <cdr:x>0.38005</cdr:x>
      <cdr:y>0.32977</cdr:y>
    </cdr:to>
    <cdr:sp macro="" textlink="">
      <cdr:nvSpPr>
        <cdr:cNvPr id="241" name="FracNo 574 StartRow 2780">
          <a:extLst xmlns:a="http://schemas.openxmlformats.org/drawingml/2006/main">
            <a:ext uri="{FF2B5EF4-FFF2-40B4-BE49-F238E27FC236}">
              <a16:creationId xmlns:a16="http://schemas.microsoft.com/office/drawing/2014/main" id="{8D77F5C5-E756-6949-281A-0D6D070D87BB}"/>
            </a:ext>
          </a:extLst>
        </cdr:cNvPr>
        <cdr:cNvSpPr/>
      </cdr:nvSpPr>
      <cdr:spPr>
        <a:xfrm xmlns:a="http://schemas.openxmlformats.org/drawingml/2006/main">
          <a:off x="2014136" y="1720508"/>
          <a:ext cx="766017" cy="792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017" h="792325">
              <a:moveTo>
                <a:pt x="473683" y="302372"/>
              </a:moveTo>
              <a:lnTo>
                <a:pt x="0" y="792324"/>
              </a:lnTo>
              <a:lnTo>
                <a:pt x="0" y="792324"/>
              </a:lnTo>
              <a:lnTo>
                <a:pt x="473683" y="302372"/>
              </a:lnTo>
              <a:lnTo>
                <a:pt x="731750" y="35443"/>
              </a:lnTo>
              <a:lnTo>
                <a:pt x="766016" y="0"/>
              </a:lnTo>
              <a:lnTo>
                <a:pt x="766016" y="0"/>
              </a:lnTo>
              <a:lnTo>
                <a:pt x="731750" y="354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0.83697</cdr:x>
      <cdr:y>0.13778</cdr:y>
    </cdr:from>
    <cdr:to>
      <cdr:x>0.94246</cdr:x>
      <cdr:y>0.245</cdr:y>
    </cdr:to>
    <cdr:sp macro="" textlink="">
      <cdr:nvSpPr>
        <cdr:cNvPr id="242" name="FracNo 439 StartRow 2791">
          <a:extLst xmlns:a="http://schemas.openxmlformats.org/drawingml/2006/main">
            <a:ext uri="{FF2B5EF4-FFF2-40B4-BE49-F238E27FC236}">
              <a16:creationId xmlns:a16="http://schemas.microsoft.com/office/drawing/2014/main" id="{478F3360-46F1-DB4C-5B67-C3A012A4D6E6}"/>
            </a:ext>
          </a:extLst>
        </cdr:cNvPr>
        <cdr:cNvSpPr/>
      </cdr:nvSpPr>
      <cdr:spPr>
        <a:xfrm xmlns:a="http://schemas.openxmlformats.org/drawingml/2006/main">
          <a:off x="6122582" y="1049919"/>
          <a:ext cx="771726" cy="816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1726" h="816981">
              <a:moveTo>
                <a:pt x="709220" y="102155"/>
              </a:moveTo>
              <a:lnTo>
                <a:pt x="18129" y="816980"/>
              </a:lnTo>
              <a:lnTo>
                <a:pt x="0" y="798228"/>
              </a:lnTo>
              <a:lnTo>
                <a:pt x="707717" y="66206"/>
              </a:lnTo>
              <a:lnTo>
                <a:pt x="771725" y="0"/>
              </a:lnTo>
              <a:lnTo>
                <a:pt x="77172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0.55839</cdr:x>
      <cdr:y>0.82662</cdr:y>
    </cdr:from>
    <cdr:to>
      <cdr:x>0.66261</cdr:x>
      <cdr:y>0.9301</cdr:y>
    </cdr:to>
    <cdr:sp macro="" textlink="">
      <cdr:nvSpPr>
        <cdr:cNvPr id="243" name="FracNo 244 StartRow 2800">
          <a:extLst xmlns:a="http://schemas.openxmlformats.org/drawingml/2006/main">
            <a:ext uri="{FF2B5EF4-FFF2-40B4-BE49-F238E27FC236}">
              <a16:creationId xmlns:a16="http://schemas.microsoft.com/office/drawing/2014/main" id="{355531D7-1425-DFD8-F402-19BC4AAA349E}"/>
            </a:ext>
          </a:extLst>
        </cdr:cNvPr>
        <cdr:cNvSpPr/>
      </cdr:nvSpPr>
      <cdr:spPr>
        <a:xfrm xmlns:a="http://schemas.openxmlformats.org/drawingml/2006/main">
          <a:off x="4084741" y="6298828"/>
          <a:ext cx="762357" cy="788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2357" h="788538">
              <a:moveTo>
                <a:pt x="762356" y="0"/>
              </a:moveTo>
              <a:lnTo>
                <a:pt x="735356" y="27927"/>
              </a:lnTo>
              <a:lnTo>
                <a:pt x="0" y="788537"/>
              </a:lnTo>
              <a:lnTo>
                <a:pt x="0" y="788537"/>
              </a:lnTo>
              <a:lnTo>
                <a:pt x="735356" y="27927"/>
              </a:lnTo>
              <a:lnTo>
                <a:pt x="76235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0.71962</cdr:x>
      <cdr:y>0.14169</cdr:y>
    </cdr:from>
    <cdr:to>
      <cdr:x>0.82617</cdr:x>
      <cdr:y>0.24749</cdr:y>
    </cdr:to>
    <cdr:sp macro="" textlink="">
      <cdr:nvSpPr>
        <cdr:cNvPr id="244" name="FracNo 438 StartRow 2810">
          <a:extLst xmlns:a="http://schemas.openxmlformats.org/drawingml/2006/main">
            <a:ext uri="{FF2B5EF4-FFF2-40B4-BE49-F238E27FC236}">
              <a16:creationId xmlns:a16="http://schemas.microsoft.com/office/drawing/2014/main" id="{20590344-535C-F62F-D205-36E56E04F979}"/>
            </a:ext>
          </a:extLst>
        </cdr:cNvPr>
        <cdr:cNvSpPr/>
      </cdr:nvSpPr>
      <cdr:spPr>
        <a:xfrm xmlns:a="http://schemas.openxmlformats.org/drawingml/2006/main">
          <a:off x="5264159" y="1079664"/>
          <a:ext cx="779442" cy="806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9442" h="806210">
              <a:moveTo>
                <a:pt x="678931" y="122714"/>
              </a:moveTo>
              <a:lnTo>
                <a:pt x="18129" y="806209"/>
              </a:lnTo>
              <a:lnTo>
                <a:pt x="0" y="787457"/>
              </a:lnTo>
              <a:lnTo>
                <a:pt x="660802" y="103962"/>
              </a:lnTo>
              <a:lnTo>
                <a:pt x="761312" y="0"/>
              </a:lnTo>
              <a:lnTo>
                <a:pt x="7794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0.65688</cdr:x>
      <cdr:y>0.26993</cdr:y>
    </cdr:from>
    <cdr:to>
      <cdr:x>0.76093</cdr:x>
      <cdr:y>0.37325</cdr:y>
    </cdr:to>
    <cdr:sp macro="" textlink="">
      <cdr:nvSpPr>
        <cdr:cNvPr id="245" name="FracNo 420 StartRow 2819">
          <a:extLst xmlns:a="http://schemas.openxmlformats.org/drawingml/2006/main">
            <a:ext uri="{FF2B5EF4-FFF2-40B4-BE49-F238E27FC236}">
              <a16:creationId xmlns:a16="http://schemas.microsoft.com/office/drawing/2014/main" id="{87F5D014-C82C-D9AF-E0A7-AEB0A2745C76}"/>
            </a:ext>
          </a:extLst>
        </cdr:cNvPr>
        <cdr:cNvSpPr/>
      </cdr:nvSpPr>
      <cdr:spPr>
        <a:xfrm xmlns:a="http://schemas.openxmlformats.org/drawingml/2006/main">
          <a:off x="4805192" y="2056895"/>
          <a:ext cx="761136" cy="787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1136" h="787274">
              <a:moveTo>
                <a:pt x="699653" y="63594"/>
              </a:moveTo>
              <a:lnTo>
                <a:pt x="46106" y="739584"/>
              </a:lnTo>
              <a:lnTo>
                <a:pt x="14905" y="771857"/>
              </a:lnTo>
              <a:lnTo>
                <a:pt x="0" y="787273"/>
              </a:lnTo>
              <a:lnTo>
                <a:pt x="0" y="787273"/>
              </a:lnTo>
              <a:lnTo>
                <a:pt x="14905" y="771857"/>
              </a:lnTo>
              <a:lnTo>
                <a:pt x="46106" y="739584"/>
              </a:lnTo>
              <a:lnTo>
                <a:pt x="699653" y="63594"/>
              </a:lnTo>
              <a:lnTo>
                <a:pt x="761135" y="0"/>
              </a:lnTo>
              <a:lnTo>
                <a:pt x="7611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0.83871</cdr:x>
      <cdr:y>0.52122</cdr:y>
    </cdr:from>
    <cdr:to>
      <cdr:x>0.94246</cdr:x>
      <cdr:y>0.62424</cdr:y>
    </cdr:to>
    <cdr:sp macro="" textlink="">
      <cdr:nvSpPr>
        <cdr:cNvPr id="246" name="FracNo 168 StartRow 2832">
          <a:extLst xmlns:a="http://schemas.openxmlformats.org/drawingml/2006/main">
            <a:ext uri="{FF2B5EF4-FFF2-40B4-BE49-F238E27FC236}">
              <a16:creationId xmlns:a16="http://schemas.microsoft.com/office/drawing/2014/main" id="{F95DD020-1431-4967-F65D-7DD5446D06CA}"/>
            </a:ext>
          </a:extLst>
        </cdr:cNvPr>
        <cdr:cNvSpPr/>
      </cdr:nvSpPr>
      <cdr:spPr>
        <a:xfrm xmlns:a="http://schemas.openxmlformats.org/drawingml/2006/main">
          <a:off x="6135345" y="3971683"/>
          <a:ext cx="758963" cy="785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8963" h="785028">
              <a:moveTo>
                <a:pt x="0" y="785027"/>
              </a:moveTo>
              <a:lnTo>
                <a:pt x="0" y="785027"/>
              </a:lnTo>
              <a:lnTo>
                <a:pt x="758962" y="0"/>
              </a:lnTo>
              <a:lnTo>
                <a:pt x="7589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0.47901</cdr:x>
      <cdr:y>0.08544</cdr:y>
    </cdr:from>
    <cdr:to>
      <cdr:x>0.58623</cdr:x>
      <cdr:y>0.18945</cdr:y>
    </cdr:to>
    <cdr:sp macro="" textlink="">
      <cdr:nvSpPr>
        <cdr:cNvPr id="247" name="FracNo 349 StartRow 2839">
          <a:extLst xmlns:a="http://schemas.openxmlformats.org/drawingml/2006/main">
            <a:ext uri="{FF2B5EF4-FFF2-40B4-BE49-F238E27FC236}">
              <a16:creationId xmlns:a16="http://schemas.microsoft.com/office/drawing/2014/main" id="{E386FEEA-2049-5225-4C6A-7B9F22F37466}"/>
            </a:ext>
          </a:extLst>
        </cdr:cNvPr>
        <cdr:cNvSpPr/>
      </cdr:nvSpPr>
      <cdr:spPr>
        <a:xfrm xmlns:a="http://schemas.openxmlformats.org/drawingml/2006/main">
          <a:off x="3504050" y="651036"/>
          <a:ext cx="784352" cy="792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4352" h="792536">
              <a:moveTo>
                <a:pt x="247481" y="555308"/>
              </a:moveTo>
              <a:lnTo>
                <a:pt x="18130" y="792535"/>
              </a:lnTo>
              <a:lnTo>
                <a:pt x="0" y="773784"/>
              </a:lnTo>
              <a:lnTo>
                <a:pt x="223925" y="542169"/>
              </a:lnTo>
              <a:lnTo>
                <a:pt x="748093" y="0"/>
              </a:lnTo>
              <a:lnTo>
                <a:pt x="7843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0.5223</cdr:x>
      <cdr:y>0.26744</cdr:y>
    </cdr:from>
    <cdr:to>
      <cdr:x>0.62568</cdr:x>
      <cdr:y>0.3701</cdr:y>
    </cdr:to>
    <cdr:sp macro="" textlink="">
      <cdr:nvSpPr>
        <cdr:cNvPr id="248" name="FracNo 337 StartRow 2848">
          <a:extLst xmlns:a="http://schemas.openxmlformats.org/drawingml/2006/main">
            <a:ext uri="{FF2B5EF4-FFF2-40B4-BE49-F238E27FC236}">
              <a16:creationId xmlns:a16="http://schemas.microsoft.com/office/drawing/2014/main" id="{20A29EA3-1BC7-78BA-6275-FA7909AEE5B8}"/>
            </a:ext>
          </a:extLst>
        </cdr:cNvPr>
        <cdr:cNvSpPr/>
      </cdr:nvSpPr>
      <cdr:spPr>
        <a:xfrm xmlns:a="http://schemas.openxmlformats.org/drawingml/2006/main">
          <a:off x="3820699" y="2037879"/>
          <a:ext cx="756287" cy="782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6287" h="782259">
              <a:moveTo>
                <a:pt x="293678" y="478495"/>
              </a:moveTo>
              <a:lnTo>
                <a:pt x="22873" y="758600"/>
              </a:lnTo>
              <a:lnTo>
                <a:pt x="0" y="782258"/>
              </a:lnTo>
              <a:lnTo>
                <a:pt x="0" y="782258"/>
              </a:lnTo>
              <a:lnTo>
                <a:pt x="22873" y="758600"/>
              </a:lnTo>
              <a:lnTo>
                <a:pt x="293678" y="478495"/>
              </a:lnTo>
              <a:lnTo>
                <a:pt x="756286" y="0"/>
              </a:lnTo>
              <a:lnTo>
                <a:pt x="756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0.83663</cdr:x>
      <cdr:y>0.82501</cdr:y>
    </cdr:from>
    <cdr:to>
      <cdr:x>0.94246</cdr:x>
      <cdr:y>0.9301</cdr:y>
    </cdr:to>
    <cdr:sp macro="" textlink="">
      <cdr:nvSpPr>
        <cdr:cNvPr id="249" name="FracNo 264 StartRow 2859">
          <a:extLst xmlns:a="http://schemas.openxmlformats.org/drawingml/2006/main">
            <a:ext uri="{FF2B5EF4-FFF2-40B4-BE49-F238E27FC236}">
              <a16:creationId xmlns:a16="http://schemas.microsoft.com/office/drawing/2014/main" id="{E59B1A1A-21F3-6C1B-3F07-014C760A79F3}"/>
            </a:ext>
          </a:extLst>
        </cdr:cNvPr>
        <cdr:cNvSpPr/>
      </cdr:nvSpPr>
      <cdr:spPr>
        <a:xfrm xmlns:a="http://schemas.openxmlformats.org/drawingml/2006/main">
          <a:off x="6120100" y="6286570"/>
          <a:ext cx="774208" cy="800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4208" h="800796">
              <a:moveTo>
                <a:pt x="78260" y="719847"/>
              </a:moveTo>
              <a:lnTo>
                <a:pt x="0" y="800795"/>
              </a:lnTo>
              <a:lnTo>
                <a:pt x="36258" y="800795"/>
              </a:lnTo>
              <a:lnTo>
                <a:pt x="110853" y="723638"/>
              </a:lnTo>
              <a:lnTo>
                <a:pt x="774207" y="37504"/>
              </a:lnTo>
              <a:lnTo>
                <a:pt x="7742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0.5616</cdr:y>
    </cdr:from>
    <cdr:to>
      <cdr:x>0.1931</cdr:x>
      <cdr:y>0.66462</cdr:y>
    </cdr:to>
    <cdr:sp macro="" textlink="">
      <cdr:nvSpPr>
        <cdr:cNvPr id="250" name="FracNo 673 StartRow 2868">
          <a:extLst xmlns:a="http://schemas.openxmlformats.org/drawingml/2006/main">
            <a:ext uri="{FF2B5EF4-FFF2-40B4-BE49-F238E27FC236}">
              <a16:creationId xmlns:a16="http://schemas.microsoft.com/office/drawing/2014/main" id="{38A2239A-CEBD-1428-B74C-DC28EE4F6241}"/>
            </a:ext>
          </a:extLst>
        </cdr:cNvPr>
        <cdr:cNvSpPr/>
      </cdr:nvSpPr>
      <cdr:spPr>
        <a:xfrm xmlns:a="http://schemas.openxmlformats.org/drawingml/2006/main">
          <a:off x="671676" y="4279362"/>
          <a:ext cx="740869" cy="785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0869" h="785064">
              <a:moveTo>
                <a:pt x="502915" y="264877"/>
              </a:moveTo>
              <a:lnTo>
                <a:pt x="102137" y="679418"/>
              </a:lnTo>
              <a:lnTo>
                <a:pt x="0" y="785063"/>
              </a:lnTo>
              <a:lnTo>
                <a:pt x="0" y="747559"/>
              </a:lnTo>
              <a:lnTo>
                <a:pt x="98475" y="645702"/>
              </a:lnTo>
              <a:lnTo>
                <a:pt x="490175" y="240550"/>
              </a:lnTo>
              <a:lnTo>
                <a:pt x="722738" y="0"/>
              </a:lnTo>
              <a:lnTo>
                <a:pt x="7408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0.38073</cdr:x>
      <cdr:y>0.24376</cdr:y>
    </cdr:from>
    <cdr:to>
      <cdr:x>0.48056</cdr:x>
      <cdr:y>0.34288</cdr:y>
    </cdr:to>
    <cdr:sp macro="" textlink="">
      <cdr:nvSpPr>
        <cdr:cNvPr id="251" name="FracNo 334 StartRow 2879">
          <a:extLst xmlns:a="http://schemas.openxmlformats.org/drawingml/2006/main">
            <a:ext uri="{FF2B5EF4-FFF2-40B4-BE49-F238E27FC236}">
              <a16:creationId xmlns:a16="http://schemas.microsoft.com/office/drawing/2014/main" id="{87DCE7C3-210E-16F4-4591-881DBA37825B}"/>
            </a:ext>
          </a:extLst>
        </cdr:cNvPr>
        <cdr:cNvSpPr/>
      </cdr:nvSpPr>
      <cdr:spPr>
        <a:xfrm xmlns:a="http://schemas.openxmlformats.org/drawingml/2006/main">
          <a:off x="2785143" y="1857477"/>
          <a:ext cx="730228" cy="7553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0228" h="755306">
              <a:moveTo>
                <a:pt x="296596" y="448523"/>
              </a:moveTo>
              <a:lnTo>
                <a:pt x="0" y="755305"/>
              </a:lnTo>
              <a:lnTo>
                <a:pt x="0" y="755305"/>
              </a:lnTo>
              <a:lnTo>
                <a:pt x="296596" y="448523"/>
              </a:lnTo>
              <a:lnTo>
                <a:pt x="730227" y="0"/>
              </a:lnTo>
              <a:lnTo>
                <a:pt x="7302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0.84265</cdr:x>
      <cdr:y>0.10469</cdr:y>
    </cdr:from>
    <cdr:to>
      <cdr:x>0.94246</cdr:x>
      <cdr:y>0.20381</cdr:y>
    </cdr:to>
    <cdr:sp macro="" textlink="">
      <cdr:nvSpPr>
        <cdr:cNvPr id="252" name="FracNo 402 StartRow 2888">
          <a:extLst xmlns:a="http://schemas.openxmlformats.org/drawingml/2006/main">
            <a:ext uri="{FF2B5EF4-FFF2-40B4-BE49-F238E27FC236}">
              <a16:creationId xmlns:a16="http://schemas.microsoft.com/office/drawing/2014/main" id="{1051A8B3-776B-6925-2368-3E0B3B7226E0}"/>
            </a:ext>
          </a:extLst>
        </cdr:cNvPr>
        <cdr:cNvSpPr/>
      </cdr:nvSpPr>
      <cdr:spPr>
        <a:xfrm xmlns:a="http://schemas.openxmlformats.org/drawingml/2006/main">
          <a:off x="6164137" y="797775"/>
          <a:ext cx="730171" cy="755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0171" h="755247">
              <a:moveTo>
                <a:pt x="0" y="755246"/>
              </a:moveTo>
              <a:lnTo>
                <a:pt x="0" y="755246"/>
              </a:lnTo>
              <a:lnTo>
                <a:pt x="730170" y="0"/>
              </a:lnTo>
              <a:lnTo>
                <a:pt x="7301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0.63903</cdr:x>
      <cdr:y>0.6248</cdr:y>
    </cdr:from>
    <cdr:to>
      <cdr:x>0.73839</cdr:x>
      <cdr:y>0.72346</cdr:y>
    </cdr:to>
    <cdr:sp macro="" textlink="">
      <cdr:nvSpPr>
        <cdr:cNvPr id="253" name="FracNo 173 StartRow 2895">
          <a:extLst xmlns:a="http://schemas.openxmlformats.org/drawingml/2006/main">
            <a:ext uri="{FF2B5EF4-FFF2-40B4-BE49-F238E27FC236}">
              <a16:creationId xmlns:a16="http://schemas.microsoft.com/office/drawing/2014/main" id="{2F990F34-9C74-31A2-7294-CA75C13079D9}"/>
            </a:ext>
          </a:extLst>
        </cdr:cNvPr>
        <cdr:cNvSpPr/>
      </cdr:nvSpPr>
      <cdr:spPr>
        <a:xfrm xmlns:a="http://schemas.openxmlformats.org/drawingml/2006/main">
          <a:off x="4674644" y="4760964"/>
          <a:ext cx="726832" cy="751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6832" h="751794">
              <a:moveTo>
                <a:pt x="726831" y="0"/>
              </a:moveTo>
              <a:lnTo>
                <a:pt x="551882" y="180958"/>
              </a:lnTo>
              <a:lnTo>
                <a:pt x="145453" y="601344"/>
              </a:lnTo>
              <a:lnTo>
                <a:pt x="0" y="751793"/>
              </a:lnTo>
              <a:lnTo>
                <a:pt x="0" y="751793"/>
              </a:lnTo>
              <a:lnTo>
                <a:pt x="145453" y="601344"/>
              </a:lnTo>
              <a:lnTo>
                <a:pt x="551882" y="180958"/>
              </a:lnTo>
              <a:lnTo>
                <a:pt x="72683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0.6836</cdr:x>
      <cdr:y>0.73458</cdr:y>
    </cdr:from>
    <cdr:to>
      <cdr:x>0.78457</cdr:x>
      <cdr:y>0.83483</cdr:y>
    </cdr:to>
    <cdr:sp macro="" textlink="">
      <cdr:nvSpPr>
        <cdr:cNvPr id="254" name="FracNo 277 StartRow 2907">
          <a:extLst xmlns:a="http://schemas.openxmlformats.org/drawingml/2006/main">
            <a:ext uri="{FF2B5EF4-FFF2-40B4-BE49-F238E27FC236}">
              <a16:creationId xmlns:a16="http://schemas.microsoft.com/office/drawing/2014/main" id="{CD32C022-4443-5674-1BE6-11B6E14EC7DA}"/>
            </a:ext>
          </a:extLst>
        </cdr:cNvPr>
        <cdr:cNvSpPr/>
      </cdr:nvSpPr>
      <cdr:spPr>
        <a:xfrm xmlns:a="http://schemas.openxmlformats.org/drawingml/2006/main">
          <a:off x="5000688" y="5597469"/>
          <a:ext cx="738600" cy="763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8600" h="763965">
              <a:moveTo>
                <a:pt x="538334" y="188389"/>
              </a:moveTo>
              <a:lnTo>
                <a:pt x="0" y="745212"/>
              </a:lnTo>
              <a:lnTo>
                <a:pt x="18129" y="763964"/>
              </a:lnTo>
              <a:lnTo>
                <a:pt x="556464" y="207141"/>
              </a:lnTo>
              <a:lnTo>
                <a:pt x="738599" y="18751"/>
              </a:lnTo>
              <a:lnTo>
                <a:pt x="7204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0.53227</cdr:x>
      <cdr:y>0.27179</cdr:y>
    </cdr:from>
    <cdr:to>
      <cdr:x>0.63007</cdr:x>
      <cdr:y>0.3689</cdr:y>
    </cdr:to>
    <cdr:sp macro="" textlink="">
      <cdr:nvSpPr>
        <cdr:cNvPr id="255" name="FracNo 330 StartRow 2916">
          <a:extLst xmlns:a="http://schemas.openxmlformats.org/drawingml/2006/main">
            <a:ext uri="{FF2B5EF4-FFF2-40B4-BE49-F238E27FC236}">
              <a16:creationId xmlns:a16="http://schemas.microsoft.com/office/drawing/2014/main" id="{08C5C955-347F-40F4-12C5-3E14A639A861}"/>
            </a:ext>
          </a:extLst>
        </cdr:cNvPr>
        <cdr:cNvSpPr/>
      </cdr:nvSpPr>
      <cdr:spPr>
        <a:xfrm xmlns:a="http://schemas.openxmlformats.org/drawingml/2006/main">
          <a:off x="3893682" y="2071054"/>
          <a:ext cx="715378" cy="7399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5378" h="739946">
              <a:moveTo>
                <a:pt x="271630" y="458987"/>
              </a:moveTo>
              <a:lnTo>
                <a:pt x="14038" y="725425"/>
              </a:lnTo>
              <a:lnTo>
                <a:pt x="0" y="739945"/>
              </a:lnTo>
              <a:lnTo>
                <a:pt x="0" y="739945"/>
              </a:lnTo>
              <a:lnTo>
                <a:pt x="14038" y="725425"/>
              </a:lnTo>
              <a:lnTo>
                <a:pt x="271630" y="458987"/>
              </a:lnTo>
              <a:lnTo>
                <a:pt x="715377" y="0"/>
              </a:lnTo>
              <a:lnTo>
                <a:pt x="7153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0.5881</cdr:x>
      <cdr:y>0.83382</cdr:y>
    </cdr:from>
    <cdr:to>
      <cdr:x>0.68754</cdr:x>
      <cdr:y>0.9301</cdr:y>
    </cdr:to>
    <cdr:sp macro="" textlink="">
      <cdr:nvSpPr>
        <cdr:cNvPr id="256" name="FracNo 723 StartRow 2927">
          <a:extLst xmlns:a="http://schemas.openxmlformats.org/drawingml/2006/main">
            <a:ext uri="{FF2B5EF4-FFF2-40B4-BE49-F238E27FC236}">
              <a16:creationId xmlns:a16="http://schemas.microsoft.com/office/drawing/2014/main" id="{DD183D2F-D664-ADF5-E769-77EFF17287FE}"/>
            </a:ext>
          </a:extLst>
        </cdr:cNvPr>
        <cdr:cNvSpPr/>
      </cdr:nvSpPr>
      <cdr:spPr>
        <a:xfrm xmlns:a="http://schemas.openxmlformats.org/drawingml/2006/main">
          <a:off x="4302042" y="6353703"/>
          <a:ext cx="727433" cy="733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7433" h="733663">
              <a:moveTo>
                <a:pt x="202975" y="561220"/>
              </a:moveTo>
              <a:lnTo>
                <a:pt x="36258" y="733662"/>
              </a:lnTo>
              <a:lnTo>
                <a:pt x="0" y="733662"/>
              </a:lnTo>
              <a:lnTo>
                <a:pt x="172874" y="554851"/>
              </a:lnTo>
              <a:lnTo>
                <a:pt x="508990" y="207192"/>
              </a:lnTo>
              <a:lnTo>
                <a:pt x="709303" y="0"/>
              </a:lnTo>
              <a:lnTo>
                <a:pt x="727432" y="18752"/>
              </a:lnTo>
              <a:lnTo>
                <a:pt x="527119" y="2259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0.38012</cdr:x>
      <cdr:y>0.1316</cdr:y>
    </cdr:from>
    <cdr:to>
      <cdr:x>0.47505</cdr:x>
      <cdr:y>0.22586</cdr:y>
    </cdr:to>
    <cdr:sp macro="" textlink="">
      <cdr:nvSpPr>
        <cdr:cNvPr id="257" name="FracNo 324 StartRow 2938">
          <a:extLst xmlns:a="http://schemas.openxmlformats.org/drawingml/2006/main">
            <a:ext uri="{FF2B5EF4-FFF2-40B4-BE49-F238E27FC236}">
              <a16:creationId xmlns:a16="http://schemas.microsoft.com/office/drawing/2014/main" id="{89489CB2-E24A-0114-C72B-AD32EB48F919}"/>
            </a:ext>
          </a:extLst>
        </cdr:cNvPr>
        <cdr:cNvSpPr/>
      </cdr:nvSpPr>
      <cdr:spPr>
        <a:xfrm xmlns:a="http://schemas.openxmlformats.org/drawingml/2006/main">
          <a:off x="2780673" y="1002821"/>
          <a:ext cx="694380" cy="718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4380" h="718227">
              <a:moveTo>
                <a:pt x="353574" y="352509"/>
              </a:moveTo>
              <a:lnTo>
                <a:pt x="0" y="718226"/>
              </a:lnTo>
              <a:lnTo>
                <a:pt x="0" y="718226"/>
              </a:lnTo>
              <a:lnTo>
                <a:pt x="353574" y="352509"/>
              </a:lnTo>
              <a:lnTo>
                <a:pt x="694379" y="0"/>
              </a:lnTo>
              <a:lnTo>
                <a:pt x="6943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0.25902</cdr:y>
    </cdr:from>
    <cdr:to>
      <cdr:x>0.18635</cdr:x>
      <cdr:y>0.35288</cdr:y>
    </cdr:to>
    <cdr:sp macro="" textlink="">
      <cdr:nvSpPr>
        <cdr:cNvPr id="258" name="FracNo 579 StartRow 2947">
          <a:extLst xmlns:a="http://schemas.openxmlformats.org/drawingml/2006/main">
            <a:ext uri="{FF2B5EF4-FFF2-40B4-BE49-F238E27FC236}">
              <a16:creationId xmlns:a16="http://schemas.microsoft.com/office/drawing/2014/main" id="{63D7FF27-950C-7FC8-C0D6-A4B0E3612400}"/>
            </a:ext>
          </a:extLst>
        </cdr:cNvPr>
        <cdr:cNvSpPr/>
      </cdr:nvSpPr>
      <cdr:spPr>
        <a:xfrm xmlns:a="http://schemas.openxmlformats.org/drawingml/2006/main">
          <a:off x="671676" y="1973699"/>
          <a:ext cx="691519" cy="7152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1519" h="715267">
              <a:moveTo>
                <a:pt x="537433" y="159377"/>
              </a:moveTo>
              <a:lnTo>
                <a:pt x="0" y="715266"/>
              </a:lnTo>
              <a:lnTo>
                <a:pt x="0" y="715266"/>
              </a:lnTo>
              <a:lnTo>
                <a:pt x="537433" y="159377"/>
              </a:lnTo>
              <a:lnTo>
                <a:pt x="691518" y="0"/>
              </a:lnTo>
              <a:lnTo>
                <a:pt x="6915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0.24124</cdr:x>
      <cdr:y>0.3768</cdr:y>
    </cdr:from>
    <cdr:to>
      <cdr:x>0.33497</cdr:x>
      <cdr:y>0.46987</cdr:y>
    </cdr:to>
    <cdr:sp macro="" textlink="">
      <cdr:nvSpPr>
        <cdr:cNvPr id="259" name="FracNo 644 StartRow 2956">
          <a:extLst xmlns:a="http://schemas.openxmlformats.org/drawingml/2006/main">
            <a:ext uri="{FF2B5EF4-FFF2-40B4-BE49-F238E27FC236}">
              <a16:creationId xmlns:a16="http://schemas.microsoft.com/office/drawing/2014/main" id="{5926C8B9-67F8-F17C-8CDF-095F399BB662}"/>
            </a:ext>
          </a:extLst>
        </cdr:cNvPr>
        <cdr:cNvSpPr/>
      </cdr:nvSpPr>
      <cdr:spPr>
        <a:xfrm xmlns:a="http://schemas.openxmlformats.org/drawingml/2006/main">
          <a:off x="1764717" y="2871241"/>
          <a:ext cx="685641" cy="709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5641" h="709187">
              <a:moveTo>
                <a:pt x="313127" y="385306"/>
              </a:moveTo>
              <a:lnTo>
                <a:pt x="0" y="709186"/>
              </a:lnTo>
              <a:lnTo>
                <a:pt x="0" y="709186"/>
              </a:lnTo>
              <a:lnTo>
                <a:pt x="313127" y="385306"/>
              </a:lnTo>
              <a:lnTo>
                <a:pt x="685640" y="0"/>
              </a:lnTo>
              <a:lnTo>
                <a:pt x="6856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0.66254</cdr:x>
      <cdr:y>0.08544</cdr:y>
    </cdr:from>
    <cdr:to>
      <cdr:x>0.75984</cdr:x>
      <cdr:y>0.1796</cdr:y>
    </cdr:to>
    <cdr:sp macro="" textlink="">
      <cdr:nvSpPr>
        <cdr:cNvPr id="260" name="FracNo 428 StartRow 2965">
          <a:extLst xmlns:a="http://schemas.openxmlformats.org/drawingml/2006/main">
            <a:ext uri="{FF2B5EF4-FFF2-40B4-BE49-F238E27FC236}">
              <a16:creationId xmlns:a16="http://schemas.microsoft.com/office/drawing/2014/main" id="{2203BD8E-1DE3-4805-9C16-D9BC617B7E6F}"/>
            </a:ext>
          </a:extLst>
        </cdr:cNvPr>
        <cdr:cNvSpPr/>
      </cdr:nvSpPr>
      <cdr:spPr>
        <a:xfrm xmlns:a="http://schemas.openxmlformats.org/drawingml/2006/main">
          <a:off x="4846608" y="651036"/>
          <a:ext cx="711787" cy="7174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787" h="717479">
              <a:moveTo>
                <a:pt x="626016" y="51212"/>
              </a:moveTo>
              <a:lnTo>
                <a:pt x="0" y="698726"/>
              </a:lnTo>
              <a:lnTo>
                <a:pt x="18129" y="717478"/>
              </a:lnTo>
              <a:lnTo>
                <a:pt x="660945" y="52587"/>
              </a:lnTo>
              <a:lnTo>
                <a:pt x="711786" y="0"/>
              </a:lnTo>
              <a:lnTo>
                <a:pt x="6755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0.63181</cdr:x>
      <cdr:y>0.08544</cdr:y>
    </cdr:from>
    <cdr:to>
      <cdr:x>0.7242</cdr:x>
      <cdr:y>0.17718</cdr:y>
    </cdr:to>
    <cdr:sp macro="" textlink="">
      <cdr:nvSpPr>
        <cdr:cNvPr id="261" name="FracNo 322 StartRow 2974">
          <a:extLst xmlns:a="http://schemas.openxmlformats.org/drawingml/2006/main">
            <a:ext uri="{FF2B5EF4-FFF2-40B4-BE49-F238E27FC236}">
              <a16:creationId xmlns:a16="http://schemas.microsoft.com/office/drawing/2014/main" id="{E680D626-CEEA-4149-11D2-9D042793EFAE}"/>
            </a:ext>
          </a:extLst>
        </cdr:cNvPr>
        <cdr:cNvSpPr/>
      </cdr:nvSpPr>
      <cdr:spPr>
        <a:xfrm xmlns:a="http://schemas.openxmlformats.org/drawingml/2006/main">
          <a:off x="4621830" y="651036"/>
          <a:ext cx="675863" cy="699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3" h="699074">
              <a:moveTo>
                <a:pt x="0" y="699073"/>
              </a:moveTo>
              <a:lnTo>
                <a:pt x="0" y="699073"/>
              </a:lnTo>
              <a:lnTo>
                <a:pt x="198267" y="493997"/>
              </a:lnTo>
              <a:lnTo>
                <a:pt x="675862" y="0"/>
              </a:lnTo>
              <a:lnTo>
                <a:pt x="675862" y="0"/>
              </a:lnTo>
              <a:lnTo>
                <a:pt x="198267" y="4939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0.63441</cdr:x>
      <cdr:y>0.7801</cdr:y>
    </cdr:from>
    <cdr:to>
      <cdr:x>0.72897</cdr:x>
      <cdr:y>0.874</cdr:y>
    </cdr:to>
    <cdr:sp macro="" textlink="">
      <cdr:nvSpPr>
        <cdr:cNvPr id="262" name="FracNo 268 StartRow 2983">
          <a:extLst xmlns:a="http://schemas.openxmlformats.org/drawingml/2006/main">
            <a:ext uri="{FF2B5EF4-FFF2-40B4-BE49-F238E27FC236}">
              <a16:creationId xmlns:a16="http://schemas.microsoft.com/office/drawing/2014/main" id="{777C615E-1EB2-6C49-C9B5-E3340CAD799F}"/>
            </a:ext>
          </a:extLst>
        </cdr:cNvPr>
        <cdr:cNvSpPr/>
      </cdr:nvSpPr>
      <cdr:spPr>
        <a:xfrm xmlns:a="http://schemas.openxmlformats.org/drawingml/2006/main">
          <a:off x="4640821" y="5944388"/>
          <a:ext cx="691772" cy="7155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1772" h="715529">
              <a:moveTo>
                <a:pt x="377916" y="343384"/>
              </a:moveTo>
              <a:lnTo>
                <a:pt x="188340" y="539471"/>
              </a:lnTo>
              <a:lnTo>
                <a:pt x="18129" y="715528"/>
              </a:lnTo>
              <a:lnTo>
                <a:pt x="0" y="696776"/>
              </a:lnTo>
              <a:lnTo>
                <a:pt x="170211" y="520719"/>
              </a:lnTo>
              <a:lnTo>
                <a:pt x="359787" y="324633"/>
              </a:lnTo>
              <a:lnTo>
                <a:pt x="673641" y="0"/>
              </a:lnTo>
              <a:lnTo>
                <a:pt x="6917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0.1829</cdr:x>
      <cdr:y>0.17588</cdr:y>
    </cdr:to>
    <cdr:sp macro="" textlink="">
      <cdr:nvSpPr>
        <cdr:cNvPr id="263" name="FracNo 567 StartRow 2994">
          <a:extLst xmlns:a="http://schemas.openxmlformats.org/drawingml/2006/main">
            <a:ext uri="{FF2B5EF4-FFF2-40B4-BE49-F238E27FC236}">
              <a16:creationId xmlns:a16="http://schemas.microsoft.com/office/drawing/2014/main" id="{8F54E889-DF7B-8458-F776-88E4D325C659}"/>
            </a:ext>
          </a:extLst>
        </cdr:cNvPr>
        <cdr:cNvSpPr/>
      </cdr:nvSpPr>
      <cdr:spPr>
        <a:xfrm xmlns:a="http://schemas.openxmlformats.org/drawingml/2006/main">
          <a:off x="671676" y="651036"/>
          <a:ext cx="666289" cy="689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6289" h="689170">
              <a:moveTo>
                <a:pt x="174303" y="508881"/>
              </a:moveTo>
              <a:lnTo>
                <a:pt x="0" y="689169"/>
              </a:lnTo>
              <a:lnTo>
                <a:pt x="0" y="689169"/>
              </a:lnTo>
              <a:lnTo>
                <a:pt x="174303" y="508881"/>
              </a:lnTo>
              <a:lnTo>
                <a:pt x="666288" y="0"/>
              </a:lnTo>
              <a:lnTo>
                <a:pt x="6662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0.14391</cdr:x>
      <cdr:y>0.77355</cdr:y>
    </cdr:from>
    <cdr:to>
      <cdr:x>0.23652</cdr:x>
      <cdr:y>0.86551</cdr:y>
    </cdr:to>
    <cdr:sp macro="" textlink="">
      <cdr:nvSpPr>
        <cdr:cNvPr id="264" name="FracNo 22 StartRow 3003">
          <a:extLst xmlns:a="http://schemas.openxmlformats.org/drawingml/2006/main">
            <a:ext uri="{FF2B5EF4-FFF2-40B4-BE49-F238E27FC236}">
              <a16:creationId xmlns:a16="http://schemas.microsoft.com/office/drawing/2014/main" id="{AD1AB44F-3139-8E0F-5191-2FE9D3EDF7F9}"/>
            </a:ext>
          </a:extLst>
        </cdr:cNvPr>
        <cdr:cNvSpPr/>
      </cdr:nvSpPr>
      <cdr:spPr>
        <a:xfrm xmlns:a="http://schemas.openxmlformats.org/drawingml/2006/main">
          <a:off x="1052727" y="5894454"/>
          <a:ext cx="677490" cy="700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7490" h="700756">
              <a:moveTo>
                <a:pt x="73211" y="643782"/>
              </a:moveTo>
              <a:lnTo>
                <a:pt x="18130" y="700755"/>
              </a:lnTo>
              <a:lnTo>
                <a:pt x="0" y="682003"/>
              </a:lnTo>
              <a:lnTo>
                <a:pt x="55082" y="625030"/>
              </a:lnTo>
              <a:lnTo>
                <a:pt x="659360" y="0"/>
              </a:lnTo>
              <a:lnTo>
                <a:pt x="6774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0.78388</cdr:x>
      <cdr:y>0.64763</cdr:y>
    </cdr:from>
    <cdr:to>
      <cdr:x>0.87323</cdr:x>
      <cdr:y>0.73635</cdr:y>
    </cdr:to>
    <cdr:sp macro="" textlink="">
      <cdr:nvSpPr>
        <cdr:cNvPr id="265" name="FracNo 254 StartRow 3012">
          <a:extLst xmlns:a="http://schemas.openxmlformats.org/drawingml/2006/main">
            <a:ext uri="{FF2B5EF4-FFF2-40B4-BE49-F238E27FC236}">
              <a16:creationId xmlns:a16="http://schemas.microsoft.com/office/drawing/2014/main" id="{61D3513C-4FCE-4BBB-A436-E62AD0E4B61D}"/>
            </a:ext>
          </a:extLst>
        </cdr:cNvPr>
        <cdr:cNvSpPr/>
      </cdr:nvSpPr>
      <cdr:spPr>
        <a:xfrm xmlns:a="http://schemas.openxmlformats.org/drawingml/2006/main">
          <a:off x="5734218" y="4934907"/>
          <a:ext cx="653625" cy="6760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625" h="676072">
              <a:moveTo>
                <a:pt x="0" y="676071"/>
              </a:moveTo>
              <a:lnTo>
                <a:pt x="0" y="676071"/>
              </a:lnTo>
              <a:lnTo>
                <a:pt x="646842" y="7015"/>
              </a:lnTo>
              <a:lnTo>
                <a:pt x="653624" y="0"/>
              </a:lnTo>
              <a:lnTo>
                <a:pt x="653624" y="0"/>
              </a:lnTo>
              <a:lnTo>
                <a:pt x="646842" y="70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0.48961</cdr:x>
      <cdr:y>0.84053</cdr:y>
    </cdr:from>
    <cdr:to>
      <cdr:x>0.5823</cdr:x>
      <cdr:y>0.9301</cdr:y>
    </cdr:to>
    <cdr:sp macro="" textlink="">
      <cdr:nvSpPr>
        <cdr:cNvPr id="266" name="FracNo 504 StartRow 3021">
          <a:extLst xmlns:a="http://schemas.openxmlformats.org/drawingml/2006/main">
            <a:ext uri="{FF2B5EF4-FFF2-40B4-BE49-F238E27FC236}">
              <a16:creationId xmlns:a16="http://schemas.microsoft.com/office/drawing/2014/main" id="{65AC8ED8-80C2-D784-C41F-8B7F72037D9F}"/>
            </a:ext>
          </a:extLst>
        </cdr:cNvPr>
        <cdr:cNvSpPr/>
      </cdr:nvSpPr>
      <cdr:spPr>
        <a:xfrm xmlns:a="http://schemas.openxmlformats.org/drawingml/2006/main">
          <a:off x="3581583" y="6404808"/>
          <a:ext cx="678026" cy="6825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8026" h="682558">
              <a:moveTo>
                <a:pt x="202369" y="473239"/>
              </a:moveTo>
              <a:lnTo>
                <a:pt x="0" y="682557"/>
              </a:lnTo>
              <a:lnTo>
                <a:pt x="36259" y="682557"/>
              </a:lnTo>
              <a:lnTo>
                <a:pt x="233068" y="478990"/>
              </a:lnTo>
              <a:lnTo>
                <a:pt x="678025" y="18751"/>
              </a:lnTo>
              <a:lnTo>
                <a:pt x="6598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0.58665</cdr:x>
      <cdr:y>0.45333</cdr:y>
    </cdr:from>
    <cdr:to>
      <cdr:x>0.67727</cdr:x>
      <cdr:y>0.54331</cdr:y>
    </cdr:to>
    <cdr:sp macro="" textlink="">
      <cdr:nvSpPr>
        <cdr:cNvPr id="267" name="FracNo 111 StartRow 3030">
          <a:extLst xmlns:a="http://schemas.openxmlformats.org/drawingml/2006/main">
            <a:ext uri="{FF2B5EF4-FFF2-40B4-BE49-F238E27FC236}">
              <a16:creationId xmlns:a16="http://schemas.microsoft.com/office/drawing/2014/main" id="{653639F0-040C-C59F-8AC6-F0D7D0D658C8}"/>
            </a:ext>
          </a:extLst>
        </cdr:cNvPr>
        <cdr:cNvSpPr/>
      </cdr:nvSpPr>
      <cdr:spPr>
        <a:xfrm xmlns:a="http://schemas.openxmlformats.org/drawingml/2006/main">
          <a:off x="4291461" y="3454400"/>
          <a:ext cx="662891" cy="685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2891" h="685656">
              <a:moveTo>
                <a:pt x="221282" y="475526"/>
              </a:moveTo>
              <a:lnTo>
                <a:pt x="18129" y="685655"/>
              </a:lnTo>
              <a:lnTo>
                <a:pt x="0" y="666903"/>
              </a:lnTo>
              <a:lnTo>
                <a:pt x="203153" y="456774"/>
              </a:lnTo>
              <a:lnTo>
                <a:pt x="519571" y="129489"/>
              </a:lnTo>
              <a:lnTo>
                <a:pt x="644761" y="0"/>
              </a:lnTo>
              <a:lnTo>
                <a:pt x="662890" y="18752"/>
              </a:lnTo>
              <a:lnTo>
                <a:pt x="537700" y="1482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0.52546</cdr:y>
    </cdr:from>
    <cdr:to>
      <cdr:x>0.18114</cdr:x>
      <cdr:y>0.61662</cdr:y>
    </cdr:to>
    <cdr:sp macro="" textlink="">
      <cdr:nvSpPr>
        <cdr:cNvPr id="268" name="FracNo 742 StartRow 3041">
          <a:extLst xmlns:a="http://schemas.openxmlformats.org/drawingml/2006/main">
            <a:ext uri="{FF2B5EF4-FFF2-40B4-BE49-F238E27FC236}">
              <a16:creationId xmlns:a16="http://schemas.microsoft.com/office/drawing/2014/main" id="{C61CDD8A-4692-9126-437B-20ECE4D868E4}"/>
            </a:ext>
          </a:extLst>
        </cdr:cNvPr>
        <cdr:cNvSpPr/>
      </cdr:nvSpPr>
      <cdr:spPr>
        <a:xfrm xmlns:a="http://schemas.openxmlformats.org/drawingml/2006/main">
          <a:off x="671676" y="4004015"/>
          <a:ext cx="653432" cy="69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432" h="694625">
              <a:moveTo>
                <a:pt x="484835" y="155635"/>
              </a:moveTo>
              <a:lnTo>
                <a:pt x="0" y="657120"/>
              </a:lnTo>
              <a:lnTo>
                <a:pt x="0" y="694624"/>
              </a:lnTo>
              <a:lnTo>
                <a:pt x="498670" y="178828"/>
              </a:lnTo>
              <a:lnTo>
                <a:pt x="653431" y="18752"/>
              </a:lnTo>
              <a:lnTo>
                <a:pt x="6353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0.37979</cdr:x>
      <cdr:y>0.68622</cdr:y>
    </cdr:from>
    <cdr:to>
      <cdr:x>0.46668</cdr:x>
      <cdr:y>0.77249</cdr:y>
    </cdr:to>
    <cdr:sp macro="" textlink="">
      <cdr:nvSpPr>
        <cdr:cNvPr id="269" name="FracNo 490 StartRow 3050">
          <a:extLst xmlns:a="http://schemas.openxmlformats.org/drawingml/2006/main">
            <a:ext uri="{FF2B5EF4-FFF2-40B4-BE49-F238E27FC236}">
              <a16:creationId xmlns:a16="http://schemas.microsoft.com/office/drawing/2014/main" id="{DE701758-DF3B-E56C-FA2D-BD7BF842B594}"/>
            </a:ext>
          </a:extLst>
        </cdr:cNvPr>
        <cdr:cNvSpPr/>
      </cdr:nvSpPr>
      <cdr:spPr>
        <a:xfrm xmlns:a="http://schemas.openxmlformats.org/drawingml/2006/main">
          <a:off x="2778247" y="5228977"/>
          <a:ext cx="635603" cy="6574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5603" h="657431">
              <a:moveTo>
                <a:pt x="635602" y="0"/>
              </a:moveTo>
              <a:lnTo>
                <a:pt x="0" y="657430"/>
              </a:lnTo>
              <a:lnTo>
                <a:pt x="0" y="657430"/>
              </a:lnTo>
              <a:lnTo>
                <a:pt x="63560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0.78664</cdr:x>
      <cdr:y>0.76787</cdr:y>
    </cdr:from>
    <cdr:to>
      <cdr:x>0.87313</cdr:x>
      <cdr:y>0.85375</cdr:y>
    </cdr:to>
    <cdr:sp macro="" textlink="">
      <cdr:nvSpPr>
        <cdr:cNvPr id="270" name="FracNo 750 StartRow 3058">
          <a:extLst xmlns:a="http://schemas.openxmlformats.org/drawingml/2006/main">
            <a:ext uri="{FF2B5EF4-FFF2-40B4-BE49-F238E27FC236}">
              <a16:creationId xmlns:a16="http://schemas.microsoft.com/office/drawing/2014/main" id="{F46BAC8F-2D32-656F-6B0A-B20E59C22882}"/>
            </a:ext>
          </a:extLst>
        </cdr:cNvPr>
        <cdr:cNvSpPr/>
      </cdr:nvSpPr>
      <cdr:spPr>
        <a:xfrm xmlns:a="http://schemas.openxmlformats.org/drawingml/2006/main">
          <a:off x="5754425" y="5851170"/>
          <a:ext cx="632680" cy="654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2680" h="654407">
              <a:moveTo>
                <a:pt x="430311" y="209317"/>
              </a:moveTo>
              <a:lnTo>
                <a:pt x="0" y="654406"/>
              </a:lnTo>
              <a:lnTo>
                <a:pt x="0" y="654406"/>
              </a:lnTo>
              <a:lnTo>
                <a:pt x="430311" y="209317"/>
              </a:lnTo>
              <a:lnTo>
                <a:pt x="632679" y="0"/>
              </a:lnTo>
              <a:lnTo>
                <a:pt x="6326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0.77467</cdr:x>
      <cdr:y>0.38596</cdr:y>
    </cdr:from>
    <cdr:to>
      <cdr:x>0.85966</cdr:x>
      <cdr:y>0.47035</cdr:y>
    </cdr:to>
    <cdr:sp macro="" textlink="">
      <cdr:nvSpPr>
        <cdr:cNvPr id="271" name="FracNo 161 StartRow 3067">
          <a:extLst xmlns:a="http://schemas.openxmlformats.org/drawingml/2006/main">
            <a:ext uri="{FF2B5EF4-FFF2-40B4-BE49-F238E27FC236}">
              <a16:creationId xmlns:a16="http://schemas.microsoft.com/office/drawing/2014/main" id="{34DB2684-0985-5BEE-9AF2-1852F45972A7}"/>
            </a:ext>
          </a:extLst>
        </cdr:cNvPr>
        <cdr:cNvSpPr/>
      </cdr:nvSpPr>
      <cdr:spPr>
        <a:xfrm xmlns:a="http://schemas.openxmlformats.org/drawingml/2006/main">
          <a:off x="5666849" y="2941019"/>
          <a:ext cx="621708" cy="643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1708" h="643057">
              <a:moveTo>
                <a:pt x="621707" y="0"/>
              </a:moveTo>
              <a:lnTo>
                <a:pt x="0" y="643056"/>
              </a:lnTo>
              <a:lnTo>
                <a:pt x="0" y="643056"/>
              </a:lnTo>
              <a:lnTo>
                <a:pt x="62170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0.26245</cdr:x>
      <cdr:y>0.44343</cdr:y>
    </cdr:from>
    <cdr:to>
      <cdr:x>0.34685</cdr:x>
      <cdr:y>0.52724</cdr:y>
    </cdr:to>
    <cdr:sp macro="" textlink="">
      <cdr:nvSpPr>
        <cdr:cNvPr id="272" name="FracNo 646 StartRow 3075">
          <a:extLst xmlns:a="http://schemas.openxmlformats.org/drawingml/2006/main">
            <a:ext uri="{FF2B5EF4-FFF2-40B4-BE49-F238E27FC236}">
              <a16:creationId xmlns:a16="http://schemas.microsoft.com/office/drawing/2014/main" id="{D159BA43-0C87-9EE3-47C9-63EA96CBAD76}"/>
            </a:ext>
          </a:extLst>
        </cdr:cNvPr>
        <cdr:cNvSpPr/>
      </cdr:nvSpPr>
      <cdr:spPr>
        <a:xfrm xmlns:a="http://schemas.openxmlformats.org/drawingml/2006/main">
          <a:off x="1919870" y="3378928"/>
          <a:ext cx="617443" cy="638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7443" h="638648">
              <a:moveTo>
                <a:pt x="617442" y="0"/>
              </a:moveTo>
              <a:lnTo>
                <a:pt x="0" y="638647"/>
              </a:lnTo>
              <a:lnTo>
                <a:pt x="0" y="638647"/>
              </a:lnTo>
              <a:lnTo>
                <a:pt x="61744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0.85781</cdr:x>
      <cdr:y>0.45091</cdr:y>
    </cdr:from>
    <cdr:to>
      <cdr:x>0.94246</cdr:x>
      <cdr:y>0.53742</cdr:y>
    </cdr:to>
    <cdr:sp macro="" textlink="">
      <cdr:nvSpPr>
        <cdr:cNvPr id="273" name="FracNo 187 StartRow 3083">
          <a:extLst xmlns:a="http://schemas.openxmlformats.org/drawingml/2006/main">
            <a:ext uri="{FF2B5EF4-FFF2-40B4-BE49-F238E27FC236}">
              <a16:creationId xmlns:a16="http://schemas.microsoft.com/office/drawing/2014/main" id="{18A23EF8-9177-7507-A576-67E0E94AC62E}"/>
            </a:ext>
          </a:extLst>
        </cdr:cNvPr>
        <cdr:cNvSpPr/>
      </cdr:nvSpPr>
      <cdr:spPr>
        <a:xfrm xmlns:a="http://schemas.openxmlformats.org/drawingml/2006/main">
          <a:off x="6275051" y="3435898"/>
          <a:ext cx="619257" cy="659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9257" h="659276">
              <a:moveTo>
                <a:pt x="27769" y="611800"/>
              </a:moveTo>
              <a:lnTo>
                <a:pt x="0" y="640523"/>
              </a:lnTo>
              <a:lnTo>
                <a:pt x="18129" y="659275"/>
              </a:lnTo>
              <a:lnTo>
                <a:pt x="45085" y="631393"/>
              </a:lnTo>
              <a:lnTo>
                <a:pt x="619256" y="37504"/>
              </a:lnTo>
              <a:lnTo>
                <a:pt x="6192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0.33043</cdr:x>
      <cdr:y>0.08544</cdr:y>
    </cdr:from>
    <cdr:to>
      <cdr:x>0.41686</cdr:x>
      <cdr:y>0.16881</cdr:y>
    </cdr:to>
    <cdr:sp macro="" textlink="">
      <cdr:nvSpPr>
        <cdr:cNvPr id="274" name="FracNo 348 StartRow 3092">
          <a:extLst xmlns:a="http://schemas.openxmlformats.org/drawingml/2006/main">
            <a:ext uri="{FF2B5EF4-FFF2-40B4-BE49-F238E27FC236}">
              <a16:creationId xmlns:a16="http://schemas.microsoft.com/office/drawing/2014/main" id="{0C6E567C-4B1F-D9C1-2F53-31C45CA3D87E}"/>
            </a:ext>
          </a:extLst>
        </cdr:cNvPr>
        <cdr:cNvSpPr/>
      </cdr:nvSpPr>
      <cdr:spPr>
        <a:xfrm xmlns:a="http://schemas.openxmlformats.org/drawingml/2006/main">
          <a:off x="2417132" y="651036"/>
          <a:ext cx="632307" cy="6352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2307" h="635270">
              <a:moveTo>
                <a:pt x="416072" y="186156"/>
              </a:moveTo>
              <a:lnTo>
                <a:pt x="319690" y="285848"/>
              </a:lnTo>
              <a:lnTo>
                <a:pt x="0" y="616516"/>
              </a:lnTo>
              <a:lnTo>
                <a:pt x="18129" y="635269"/>
              </a:lnTo>
              <a:lnTo>
                <a:pt x="337819" y="304599"/>
              </a:lnTo>
              <a:lnTo>
                <a:pt x="440524" y="198368"/>
              </a:lnTo>
              <a:lnTo>
                <a:pt x="632306" y="0"/>
              </a:lnTo>
              <a:lnTo>
                <a:pt x="5960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0.85889</cdr:x>
      <cdr:y>0.30222</cdr:y>
    </cdr:from>
    <cdr:to>
      <cdr:x>0.94246</cdr:x>
      <cdr:y>0.38766</cdr:y>
    </cdr:to>
    <cdr:sp macro="" textlink="">
      <cdr:nvSpPr>
        <cdr:cNvPr id="275" name="FracNo 198 StartRow 3103">
          <a:extLst xmlns:a="http://schemas.openxmlformats.org/drawingml/2006/main">
            <a:ext uri="{FF2B5EF4-FFF2-40B4-BE49-F238E27FC236}">
              <a16:creationId xmlns:a16="http://schemas.microsoft.com/office/drawing/2014/main" id="{34381FE4-239E-C3A8-BDB0-B9D1E5729F3C}"/>
            </a:ext>
          </a:extLst>
        </cdr:cNvPr>
        <cdr:cNvSpPr/>
      </cdr:nvSpPr>
      <cdr:spPr>
        <a:xfrm xmlns:a="http://schemas.openxmlformats.org/drawingml/2006/main">
          <a:off x="6282979" y="2302926"/>
          <a:ext cx="611329" cy="6510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329" h="651076">
              <a:moveTo>
                <a:pt x="118726" y="509519"/>
              </a:moveTo>
              <a:lnTo>
                <a:pt x="0" y="632324"/>
              </a:lnTo>
              <a:lnTo>
                <a:pt x="18129" y="651075"/>
              </a:lnTo>
              <a:lnTo>
                <a:pt x="136085" y="529068"/>
              </a:lnTo>
              <a:lnTo>
                <a:pt x="160890" y="503411"/>
              </a:lnTo>
              <a:lnTo>
                <a:pt x="611328" y="37504"/>
              </a:lnTo>
              <a:lnTo>
                <a:pt x="611328" y="0"/>
              </a:lnTo>
              <a:lnTo>
                <a:pt x="143693" y="4836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0.52572</cdr:x>
      <cdr:y>0.08544</cdr:y>
    </cdr:from>
    <cdr:to>
      <cdr:x>0.60736</cdr:x>
      <cdr:y>0.1665</cdr:y>
    </cdr:to>
    <cdr:sp macro="" textlink="">
      <cdr:nvSpPr>
        <cdr:cNvPr id="276" name="FracNo 327 StartRow 3114">
          <a:extLst xmlns:a="http://schemas.openxmlformats.org/drawingml/2006/main">
            <a:ext uri="{FF2B5EF4-FFF2-40B4-BE49-F238E27FC236}">
              <a16:creationId xmlns:a16="http://schemas.microsoft.com/office/drawing/2014/main" id="{271CA2A7-A4F2-59D8-A614-24E333C901AD}"/>
            </a:ext>
          </a:extLst>
        </cdr:cNvPr>
        <cdr:cNvSpPr/>
      </cdr:nvSpPr>
      <cdr:spPr>
        <a:xfrm xmlns:a="http://schemas.openxmlformats.org/drawingml/2006/main">
          <a:off x="3845769" y="651036"/>
          <a:ext cx="597158" cy="617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7158" h="617665">
              <a:moveTo>
                <a:pt x="164968" y="447031"/>
              </a:moveTo>
              <a:lnTo>
                <a:pt x="0" y="617664"/>
              </a:lnTo>
              <a:lnTo>
                <a:pt x="0" y="617664"/>
              </a:lnTo>
              <a:lnTo>
                <a:pt x="164968" y="447031"/>
              </a:lnTo>
              <a:lnTo>
                <a:pt x="597157" y="0"/>
              </a:lnTo>
              <a:lnTo>
                <a:pt x="5971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0.70131</cdr:x>
      <cdr:y>0.84956</cdr:y>
    </cdr:from>
    <cdr:to>
      <cdr:x>0.78242</cdr:x>
      <cdr:y>0.9301</cdr:y>
    </cdr:to>
    <cdr:sp macro="" textlink="">
      <cdr:nvSpPr>
        <cdr:cNvPr id="277" name="FracNo 248 StartRow 3123">
          <a:extLst xmlns:a="http://schemas.openxmlformats.org/drawingml/2006/main">
            <a:ext uri="{FF2B5EF4-FFF2-40B4-BE49-F238E27FC236}">
              <a16:creationId xmlns:a16="http://schemas.microsoft.com/office/drawing/2014/main" id="{789D7DC6-E9B3-F7CD-0290-8906CFFB9781}"/>
            </a:ext>
          </a:extLst>
        </cdr:cNvPr>
        <cdr:cNvSpPr/>
      </cdr:nvSpPr>
      <cdr:spPr>
        <a:xfrm xmlns:a="http://schemas.openxmlformats.org/drawingml/2006/main">
          <a:off x="5130240" y="6473660"/>
          <a:ext cx="593329" cy="6137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329" h="613706">
              <a:moveTo>
                <a:pt x="82758" y="528104"/>
              </a:moveTo>
              <a:lnTo>
                <a:pt x="0" y="613705"/>
              </a:lnTo>
              <a:lnTo>
                <a:pt x="0" y="613705"/>
              </a:lnTo>
              <a:lnTo>
                <a:pt x="82758" y="528104"/>
              </a:lnTo>
              <a:lnTo>
                <a:pt x="593328" y="0"/>
              </a:lnTo>
              <a:lnTo>
                <a:pt x="5933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0.7067</cdr:x>
      <cdr:y>0.48224</cdr:y>
    </cdr:from>
    <cdr:to>
      <cdr:x>0.78938</cdr:x>
      <cdr:y>0.56434</cdr:y>
    </cdr:to>
    <cdr:sp macro="" textlink="">
      <cdr:nvSpPr>
        <cdr:cNvPr id="278" name="FracNo 195 StartRow 3132">
          <a:extLst xmlns:a="http://schemas.openxmlformats.org/drawingml/2006/main">
            <a:ext uri="{FF2B5EF4-FFF2-40B4-BE49-F238E27FC236}">
              <a16:creationId xmlns:a16="http://schemas.microsoft.com/office/drawing/2014/main" id="{D20BDA05-804C-9117-C567-B531977A83A4}"/>
            </a:ext>
          </a:extLst>
        </cdr:cNvPr>
        <cdr:cNvSpPr/>
      </cdr:nvSpPr>
      <cdr:spPr>
        <a:xfrm xmlns:a="http://schemas.openxmlformats.org/drawingml/2006/main">
          <a:off x="5169646" y="3674700"/>
          <a:ext cx="604796" cy="625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4796" h="625565">
              <a:moveTo>
                <a:pt x="549610" y="38328"/>
              </a:moveTo>
              <a:lnTo>
                <a:pt x="0" y="606812"/>
              </a:lnTo>
              <a:lnTo>
                <a:pt x="18129" y="625564"/>
              </a:lnTo>
              <a:lnTo>
                <a:pt x="567739" y="57080"/>
              </a:lnTo>
              <a:lnTo>
                <a:pt x="604795" y="18752"/>
              </a:lnTo>
              <a:lnTo>
                <a:pt x="5866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0.86188</cdr:x>
      <cdr:y>0.41322</cdr:y>
    </cdr:from>
    <cdr:to>
      <cdr:x>0.94246</cdr:x>
      <cdr:y>0.49569</cdr:y>
    </cdr:to>
    <cdr:sp macro="" textlink="">
      <cdr:nvSpPr>
        <cdr:cNvPr id="279" name="FracNo 182 StartRow 3141">
          <a:extLst xmlns:a="http://schemas.openxmlformats.org/drawingml/2006/main">
            <a:ext uri="{FF2B5EF4-FFF2-40B4-BE49-F238E27FC236}">
              <a16:creationId xmlns:a16="http://schemas.microsoft.com/office/drawing/2014/main" id="{B39E668B-FE84-4C5F-64F2-7662BB824966}"/>
            </a:ext>
          </a:extLst>
        </cdr:cNvPr>
        <cdr:cNvSpPr/>
      </cdr:nvSpPr>
      <cdr:spPr>
        <a:xfrm xmlns:a="http://schemas.openxmlformats.org/drawingml/2006/main">
          <a:off x="6304828" y="3148709"/>
          <a:ext cx="589480" cy="628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480" h="628476">
              <a:moveTo>
                <a:pt x="296140" y="340916"/>
              </a:moveTo>
              <a:lnTo>
                <a:pt x="18129" y="628475"/>
              </a:lnTo>
              <a:lnTo>
                <a:pt x="0" y="609723"/>
              </a:lnTo>
              <a:lnTo>
                <a:pt x="286832" y="313040"/>
              </a:lnTo>
              <a:lnTo>
                <a:pt x="589479" y="0"/>
              </a:lnTo>
              <a:lnTo>
                <a:pt x="58947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0.32684</cdr:x>
      <cdr:y>0.08544</cdr:y>
    </cdr:from>
    <cdr:to>
      <cdr:x>0.40969</cdr:x>
      <cdr:y>0.16524</cdr:y>
    </cdr:to>
    <cdr:sp macro="" textlink="">
      <cdr:nvSpPr>
        <cdr:cNvPr id="280" name="FracNo 342 StartRow 3150">
          <a:extLst xmlns:a="http://schemas.openxmlformats.org/drawingml/2006/main">
            <a:ext uri="{FF2B5EF4-FFF2-40B4-BE49-F238E27FC236}">
              <a16:creationId xmlns:a16="http://schemas.microsoft.com/office/drawing/2014/main" id="{38E65627-68D7-2A1C-4ECF-0C3E66D4A680}"/>
            </a:ext>
          </a:extLst>
        </cdr:cNvPr>
        <cdr:cNvSpPr/>
      </cdr:nvSpPr>
      <cdr:spPr>
        <a:xfrm xmlns:a="http://schemas.openxmlformats.org/drawingml/2006/main">
          <a:off x="2390879" y="651036"/>
          <a:ext cx="606053" cy="6081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6053" h="608114">
              <a:moveTo>
                <a:pt x="458348" y="115272"/>
              </a:moveTo>
              <a:lnTo>
                <a:pt x="345943" y="231539"/>
              </a:lnTo>
              <a:lnTo>
                <a:pt x="0" y="589362"/>
              </a:lnTo>
              <a:lnTo>
                <a:pt x="18129" y="608113"/>
              </a:lnTo>
              <a:lnTo>
                <a:pt x="364072" y="250290"/>
              </a:lnTo>
              <a:lnTo>
                <a:pt x="485581" y="124608"/>
              </a:lnTo>
              <a:lnTo>
                <a:pt x="606052" y="0"/>
              </a:lnTo>
              <a:lnTo>
                <a:pt x="5697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0.83819</cdr:x>
      <cdr:y>0.34938</cdr:y>
    </cdr:from>
    <cdr:to>
      <cdr:x>0.91668</cdr:x>
      <cdr:y>0.42732</cdr:y>
    </cdr:to>
    <cdr:sp macro="" textlink="">
      <cdr:nvSpPr>
        <cdr:cNvPr id="281" name="FracNo 178 StartRow 3161">
          <a:extLst xmlns:a="http://schemas.openxmlformats.org/drawingml/2006/main">
            <a:ext uri="{FF2B5EF4-FFF2-40B4-BE49-F238E27FC236}">
              <a16:creationId xmlns:a16="http://schemas.microsoft.com/office/drawing/2014/main" id="{61FC6862-39B0-7A05-E033-DB2DC01F47EB}"/>
            </a:ext>
          </a:extLst>
        </cdr:cNvPr>
        <cdr:cNvSpPr/>
      </cdr:nvSpPr>
      <cdr:spPr>
        <a:xfrm xmlns:a="http://schemas.openxmlformats.org/drawingml/2006/main">
          <a:off x="6131551" y="2662303"/>
          <a:ext cx="574148" cy="593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4148" h="593864">
              <a:moveTo>
                <a:pt x="215224" y="371248"/>
              </a:moveTo>
              <a:lnTo>
                <a:pt x="0" y="593863"/>
              </a:lnTo>
              <a:lnTo>
                <a:pt x="0" y="593863"/>
              </a:lnTo>
              <a:lnTo>
                <a:pt x="215224" y="371248"/>
              </a:lnTo>
              <a:lnTo>
                <a:pt x="444425" y="134176"/>
              </a:lnTo>
              <a:lnTo>
                <a:pt x="574147" y="0"/>
              </a:lnTo>
              <a:lnTo>
                <a:pt x="574147" y="0"/>
              </a:lnTo>
              <a:lnTo>
                <a:pt x="444425" y="1341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0.27134</cdr:x>
      <cdr:y>0.54279</cdr:y>
    </cdr:from>
    <cdr:to>
      <cdr:x>0.35163</cdr:x>
      <cdr:y>0.62252</cdr:y>
    </cdr:to>
    <cdr:sp macro="" textlink="">
      <cdr:nvSpPr>
        <cdr:cNvPr id="282" name="FracNo 731 StartRow 3172">
          <a:extLst xmlns:a="http://schemas.openxmlformats.org/drawingml/2006/main">
            <a:ext uri="{FF2B5EF4-FFF2-40B4-BE49-F238E27FC236}">
              <a16:creationId xmlns:a16="http://schemas.microsoft.com/office/drawing/2014/main" id="{D8383B8C-BB1D-FF5F-FC1C-E40C1A17943C}"/>
            </a:ext>
          </a:extLst>
        </cdr:cNvPr>
        <cdr:cNvSpPr/>
      </cdr:nvSpPr>
      <cdr:spPr>
        <a:xfrm xmlns:a="http://schemas.openxmlformats.org/drawingml/2006/main">
          <a:off x="1984907" y="4136096"/>
          <a:ext cx="587332" cy="6075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7332" h="607502">
              <a:moveTo>
                <a:pt x="27810" y="597487"/>
              </a:moveTo>
              <a:lnTo>
                <a:pt x="18129" y="607501"/>
              </a:lnTo>
              <a:lnTo>
                <a:pt x="0" y="588749"/>
              </a:lnTo>
              <a:lnTo>
                <a:pt x="9681" y="578735"/>
              </a:lnTo>
              <a:lnTo>
                <a:pt x="569201" y="0"/>
              </a:lnTo>
              <a:lnTo>
                <a:pt x="5873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0.38297</cdr:x>
      <cdr:y>0.08544</cdr:y>
    </cdr:from>
    <cdr:to>
      <cdr:x>0.45979</cdr:x>
      <cdr:y>0.16172</cdr:y>
    </cdr:to>
    <cdr:sp macro="" textlink="">
      <cdr:nvSpPr>
        <cdr:cNvPr id="283" name="FracNo 332 StartRow 3181">
          <a:extLst xmlns:a="http://schemas.openxmlformats.org/drawingml/2006/main">
            <a:ext uri="{FF2B5EF4-FFF2-40B4-BE49-F238E27FC236}">
              <a16:creationId xmlns:a16="http://schemas.microsoft.com/office/drawing/2014/main" id="{8932BF9C-8627-A630-880B-55F641A5EE8D}"/>
            </a:ext>
          </a:extLst>
        </cdr:cNvPr>
        <cdr:cNvSpPr/>
      </cdr:nvSpPr>
      <cdr:spPr>
        <a:xfrm xmlns:a="http://schemas.openxmlformats.org/drawingml/2006/main">
          <a:off x="2801468" y="651036"/>
          <a:ext cx="561998" cy="581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1998" h="581298">
              <a:moveTo>
                <a:pt x="61482" y="517703"/>
              </a:moveTo>
              <a:lnTo>
                <a:pt x="0" y="581297"/>
              </a:lnTo>
              <a:lnTo>
                <a:pt x="0" y="581297"/>
              </a:lnTo>
              <a:lnTo>
                <a:pt x="61482" y="517703"/>
              </a:lnTo>
              <a:lnTo>
                <a:pt x="561997" y="0"/>
              </a:lnTo>
              <a:lnTo>
                <a:pt x="5619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0.80069</cdr:y>
    </cdr:from>
    <cdr:to>
      <cdr:x>0.16853</cdr:x>
      <cdr:y>0.87686</cdr:y>
    </cdr:to>
    <cdr:sp macro="" textlink="">
      <cdr:nvSpPr>
        <cdr:cNvPr id="284" name="FracNo 3 StartRow 3190">
          <a:extLst xmlns:a="http://schemas.openxmlformats.org/drawingml/2006/main">
            <a:ext uri="{FF2B5EF4-FFF2-40B4-BE49-F238E27FC236}">
              <a16:creationId xmlns:a16="http://schemas.microsoft.com/office/drawing/2014/main" id="{DDDFF92C-A752-AA4D-4CDB-11A30AB6A1EA}"/>
            </a:ext>
          </a:extLst>
        </cdr:cNvPr>
        <cdr:cNvSpPr/>
      </cdr:nvSpPr>
      <cdr:spPr>
        <a:xfrm xmlns:a="http://schemas.openxmlformats.org/drawingml/2006/main">
          <a:off x="671676" y="6101224"/>
          <a:ext cx="561169" cy="580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1169" h="580441">
              <a:moveTo>
                <a:pt x="226921" y="345726"/>
              </a:moveTo>
              <a:lnTo>
                <a:pt x="0" y="580440"/>
              </a:lnTo>
              <a:lnTo>
                <a:pt x="0" y="580440"/>
              </a:lnTo>
              <a:lnTo>
                <a:pt x="226921" y="345726"/>
              </a:lnTo>
              <a:lnTo>
                <a:pt x="561168" y="0"/>
              </a:lnTo>
              <a:lnTo>
                <a:pt x="5611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0.24087</cdr:y>
    </cdr:from>
    <cdr:to>
      <cdr:x>0.16681</cdr:x>
      <cdr:y>0.31533</cdr:y>
    </cdr:to>
    <cdr:sp macro="" textlink="">
      <cdr:nvSpPr>
        <cdr:cNvPr id="285" name="FracNo 572 StartRow 3199">
          <a:extLst xmlns:a="http://schemas.openxmlformats.org/drawingml/2006/main">
            <a:ext uri="{FF2B5EF4-FFF2-40B4-BE49-F238E27FC236}">
              <a16:creationId xmlns:a16="http://schemas.microsoft.com/office/drawing/2014/main" id="{5C47BC5D-56D5-6660-30E2-0B87D00D352A}"/>
            </a:ext>
          </a:extLst>
        </cdr:cNvPr>
        <cdr:cNvSpPr/>
      </cdr:nvSpPr>
      <cdr:spPr>
        <a:xfrm xmlns:a="http://schemas.openxmlformats.org/drawingml/2006/main">
          <a:off x="671676" y="1835420"/>
          <a:ext cx="548541" cy="5673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541" h="567379">
              <a:moveTo>
                <a:pt x="333316" y="222615"/>
              </a:moveTo>
              <a:lnTo>
                <a:pt x="0" y="567378"/>
              </a:lnTo>
              <a:lnTo>
                <a:pt x="0" y="567378"/>
              </a:lnTo>
              <a:lnTo>
                <a:pt x="333316" y="222615"/>
              </a:lnTo>
              <a:lnTo>
                <a:pt x="548540" y="0"/>
              </a:lnTo>
              <a:lnTo>
                <a:pt x="5485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0.81195</cdr:x>
      <cdr:y>0.85664</cdr:y>
    </cdr:from>
    <cdr:to>
      <cdr:x>0.88842</cdr:x>
      <cdr:y>0.9301</cdr:y>
    </cdr:to>
    <cdr:sp macro="" textlink="">
      <cdr:nvSpPr>
        <cdr:cNvPr id="286" name="FracNo 279 StartRow 3208">
          <a:extLst xmlns:a="http://schemas.openxmlformats.org/drawingml/2006/main">
            <a:ext uri="{FF2B5EF4-FFF2-40B4-BE49-F238E27FC236}">
              <a16:creationId xmlns:a16="http://schemas.microsoft.com/office/drawing/2014/main" id="{E94DA6CE-BA03-F2A6-56E7-8B375DE8CC53}"/>
            </a:ext>
          </a:extLst>
        </cdr:cNvPr>
        <cdr:cNvSpPr/>
      </cdr:nvSpPr>
      <cdr:spPr>
        <a:xfrm xmlns:a="http://schemas.openxmlformats.org/drawingml/2006/main">
          <a:off x="5939586" y="6527559"/>
          <a:ext cx="559350" cy="5598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9350" h="559807">
              <a:moveTo>
                <a:pt x="106205" y="449955"/>
              </a:moveTo>
              <a:lnTo>
                <a:pt x="0" y="559806"/>
              </a:lnTo>
              <a:lnTo>
                <a:pt x="36259" y="559806"/>
              </a:lnTo>
              <a:lnTo>
                <a:pt x="138905" y="453634"/>
              </a:lnTo>
              <a:lnTo>
                <a:pt x="559349" y="18751"/>
              </a:lnTo>
              <a:lnTo>
                <a:pt x="5412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0.62263</cdr:x>
      <cdr:y>0.85835</cdr:y>
    </cdr:from>
    <cdr:to>
      <cdr:x>0.69489</cdr:x>
      <cdr:y>0.9301</cdr:y>
    </cdr:to>
    <cdr:sp macro="" textlink="">
      <cdr:nvSpPr>
        <cdr:cNvPr id="287" name="FracNo 249 StartRow 3217">
          <a:extLst xmlns:a="http://schemas.openxmlformats.org/drawingml/2006/main">
            <a:ext uri="{FF2B5EF4-FFF2-40B4-BE49-F238E27FC236}">
              <a16:creationId xmlns:a16="http://schemas.microsoft.com/office/drawing/2014/main" id="{D267FD45-2C94-FD6D-9E53-FB99DC7CD17D}"/>
            </a:ext>
          </a:extLst>
        </cdr:cNvPr>
        <cdr:cNvSpPr/>
      </cdr:nvSpPr>
      <cdr:spPr>
        <a:xfrm xmlns:a="http://schemas.openxmlformats.org/drawingml/2006/main">
          <a:off x="4554697" y="6540664"/>
          <a:ext cx="528550" cy="546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8550" h="546702">
              <a:moveTo>
                <a:pt x="313325" y="222615"/>
              </a:moveTo>
              <a:lnTo>
                <a:pt x="265400" y="272187"/>
              </a:lnTo>
              <a:lnTo>
                <a:pt x="0" y="546701"/>
              </a:lnTo>
              <a:lnTo>
                <a:pt x="0" y="546701"/>
              </a:lnTo>
              <a:lnTo>
                <a:pt x="265400" y="272187"/>
              </a:lnTo>
              <a:lnTo>
                <a:pt x="313325" y="222615"/>
              </a:lnTo>
              <a:lnTo>
                <a:pt x="528549" y="0"/>
              </a:lnTo>
              <a:lnTo>
                <a:pt x="5285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0.13577</cdr:x>
      <cdr:y>0.64521</cdr:y>
    </cdr:from>
    <cdr:to>
      <cdr:x>0.21037</cdr:x>
      <cdr:y>0.71929</cdr:y>
    </cdr:to>
    <cdr:sp macro="" textlink="">
      <cdr:nvSpPr>
        <cdr:cNvPr id="288" name="FracNo 25 StartRow 3228">
          <a:extLst xmlns:a="http://schemas.openxmlformats.org/drawingml/2006/main">
            <a:ext uri="{FF2B5EF4-FFF2-40B4-BE49-F238E27FC236}">
              <a16:creationId xmlns:a16="http://schemas.microsoft.com/office/drawing/2014/main" id="{30DFA2C7-903E-71FB-C2E7-4701B888D242}"/>
            </a:ext>
          </a:extLst>
        </cdr:cNvPr>
        <cdr:cNvSpPr/>
      </cdr:nvSpPr>
      <cdr:spPr>
        <a:xfrm xmlns:a="http://schemas.openxmlformats.org/drawingml/2006/main">
          <a:off x="993174" y="4916482"/>
          <a:ext cx="545732" cy="564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732" h="564474">
              <a:moveTo>
                <a:pt x="293532" y="279611"/>
              </a:moveTo>
              <a:lnTo>
                <a:pt x="18129" y="564473"/>
              </a:lnTo>
              <a:lnTo>
                <a:pt x="0" y="545721"/>
              </a:lnTo>
              <a:lnTo>
                <a:pt x="275403" y="260860"/>
              </a:lnTo>
              <a:lnTo>
                <a:pt x="512070" y="16064"/>
              </a:lnTo>
              <a:lnTo>
                <a:pt x="527602" y="0"/>
              </a:lnTo>
              <a:lnTo>
                <a:pt x="545731" y="18751"/>
              </a:lnTo>
              <a:lnTo>
                <a:pt x="530200" y="348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0.65295</cdr:y>
    </cdr:from>
    <cdr:to>
      <cdr:x>0.16357</cdr:x>
      <cdr:y>0.7242</cdr:y>
    </cdr:to>
    <cdr:sp macro="" textlink="">
      <cdr:nvSpPr>
        <cdr:cNvPr id="289" name="FracNo 2 StartRow 3239">
          <a:extLst xmlns:a="http://schemas.openxmlformats.org/drawingml/2006/main">
            <a:ext uri="{FF2B5EF4-FFF2-40B4-BE49-F238E27FC236}">
              <a16:creationId xmlns:a16="http://schemas.microsoft.com/office/drawing/2014/main" id="{175E4F96-6CEA-C5DC-264A-CB5C275BF81D}"/>
            </a:ext>
          </a:extLst>
        </cdr:cNvPr>
        <cdr:cNvSpPr/>
      </cdr:nvSpPr>
      <cdr:spPr>
        <a:xfrm xmlns:a="http://schemas.openxmlformats.org/drawingml/2006/main">
          <a:off x="671676" y="4975501"/>
          <a:ext cx="524848" cy="5428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4848" h="542872">
              <a:moveTo>
                <a:pt x="253409" y="280759"/>
              </a:moveTo>
              <a:lnTo>
                <a:pt x="0" y="542871"/>
              </a:lnTo>
              <a:lnTo>
                <a:pt x="0" y="542871"/>
              </a:lnTo>
              <a:lnTo>
                <a:pt x="253409" y="280759"/>
              </a:lnTo>
              <a:lnTo>
                <a:pt x="524847" y="0"/>
              </a:lnTo>
              <a:lnTo>
                <a:pt x="5248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0.69646</cdr:x>
      <cdr:y>0.43049</cdr:y>
    </cdr:from>
    <cdr:to>
      <cdr:x>0.77059</cdr:x>
      <cdr:y>0.5041</cdr:y>
    </cdr:to>
    <cdr:sp macro="" textlink="">
      <cdr:nvSpPr>
        <cdr:cNvPr id="290" name="FracNo 193 StartRow 3248">
          <a:extLst xmlns:a="http://schemas.openxmlformats.org/drawingml/2006/main">
            <a:ext uri="{FF2B5EF4-FFF2-40B4-BE49-F238E27FC236}">
              <a16:creationId xmlns:a16="http://schemas.microsoft.com/office/drawing/2014/main" id="{65E27821-308A-8765-1D4D-03BCC29EEB0B}"/>
            </a:ext>
          </a:extLst>
        </cdr:cNvPr>
        <cdr:cNvSpPr/>
      </cdr:nvSpPr>
      <cdr:spPr>
        <a:xfrm xmlns:a="http://schemas.openxmlformats.org/drawingml/2006/main">
          <a:off x="5094770" y="3280322"/>
          <a:ext cx="542283" cy="560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2283" h="560906">
              <a:moveTo>
                <a:pt x="293619" y="275954"/>
              </a:moveTo>
              <a:lnTo>
                <a:pt x="18130" y="560905"/>
              </a:lnTo>
              <a:lnTo>
                <a:pt x="0" y="542153"/>
              </a:lnTo>
              <a:lnTo>
                <a:pt x="275490" y="257202"/>
              </a:lnTo>
              <a:lnTo>
                <a:pt x="524153" y="0"/>
              </a:lnTo>
              <a:lnTo>
                <a:pt x="5422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0.87278</cdr:x>
      <cdr:y>0.69834</cdr:y>
    </cdr:from>
    <cdr:to>
      <cdr:x>0.94246</cdr:x>
      <cdr:y>0.76753</cdr:y>
    </cdr:to>
    <cdr:sp macro="" textlink="">
      <cdr:nvSpPr>
        <cdr:cNvPr id="291" name="FracNo 241 StartRow 3257">
          <a:extLst xmlns:a="http://schemas.openxmlformats.org/drawingml/2006/main">
            <a:ext uri="{FF2B5EF4-FFF2-40B4-BE49-F238E27FC236}">
              <a16:creationId xmlns:a16="http://schemas.microsoft.com/office/drawing/2014/main" id="{BE1F34DE-6956-1E34-C3D8-7A96E29F8AEA}"/>
            </a:ext>
          </a:extLst>
        </cdr:cNvPr>
        <cdr:cNvSpPr/>
      </cdr:nvSpPr>
      <cdr:spPr>
        <a:xfrm xmlns:a="http://schemas.openxmlformats.org/drawingml/2006/main">
          <a:off x="6384586" y="5321341"/>
          <a:ext cx="509722" cy="527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9722" h="527227">
              <a:moveTo>
                <a:pt x="215224" y="304611"/>
              </a:moveTo>
              <a:lnTo>
                <a:pt x="0" y="527226"/>
              </a:lnTo>
              <a:lnTo>
                <a:pt x="0" y="527226"/>
              </a:lnTo>
              <a:lnTo>
                <a:pt x="215224" y="304611"/>
              </a:lnTo>
              <a:lnTo>
                <a:pt x="509721" y="0"/>
              </a:lnTo>
              <a:lnTo>
                <a:pt x="5097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0.87323</cdr:x>
      <cdr:y>0.58072</cdr:y>
    </cdr:from>
    <cdr:to>
      <cdr:x>0.94246</cdr:x>
      <cdr:y>0.64947</cdr:y>
    </cdr:to>
    <cdr:sp macro="" textlink="">
      <cdr:nvSpPr>
        <cdr:cNvPr id="292" name="FracNo 753 StartRow 3266">
          <a:extLst xmlns:a="http://schemas.openxmlformats.org/drawingml/2006/main">
            <a:ext uri="{FF2B5EF4-FFF2-40B4-BE49-F238E27FC236}">
              <a16:creationId xmlns:a16="http://schemas.microsoft.com/office/drawing/2014/main" id="{54AA25EF-D7E6-1233-7CC0-F8162A2CB8CD}"/>
            </a:ext>
          </a:extLst>
        </cdr:cNvPr>
        <cdr:cNvSpPr/>
      </cdr:nvSpPr>
      <cdr:spPr>
        <a:xfrm xmlns:a="http://schemas.openxmlformats.org/drawingml/2006/main">
          <a:off x="6387842" y="4425078"/>
          <a:ext cx="506466" cy="523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466" h="523860">
              <a:moveTo>
                <a:pt x="503384" y="3188"/>
              </a:moveTo>
              <a:lnTo>
                <a:pt x="6782" y="516844"/>
              </a:lnTo>
              <a:lnTo>
                <a:pt x="0" y="523859"/>
              </a:lnTo>
              <a:lnTo>
                <a:pt x="0" y="523859"/>
              </a:lnTo>
              <a:lnTo>
                <a:pt x="6782" y="516844"/>
              </a:lnTo>
              <a:lnTo>
                <a:pt x="503384" y="3188"/>
              </a:lnTo>
              <a:lnTo>
                <a:pt x="506465" y="0"/>
              </a:lnTo>
              <a:lnTo>
                <a:pt x="5064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0.34004</cdr:x>
      <cdr:y>0.42277</cdr:y>
    </cdr:from>
    <cdr:to>
      <cdr:x>0.40912</cdr:x>
      <cdr:y>0.49136</cdr:y>
    </cdr:to>
    <cdr:sp macro="" textlink="">
      <cdr:nvSpPr>
        <cdr:cNvPr id="293" name="FracNo 86 StartRow 3277">
          <a:extLst xmlns:a="http://schemas.openxmlformats.org/drawingml/2006/main">
            <a:ext uri="{FF2B5EF4-FFF2-40B4-BE49-F238E27FC236}">
              <a16:creationId xmlns:a16="http://schemas.microsoft.com/office/drawing/2014/main" id="{49E35DEA-6026-7837-97E0-B293F76A53EF}"/>
            </a:ext>
          </a:extLst>
        </cdr:cNvPr>
        <cdr:cNvSpPr/>
      </cdr:nvSpPr>
      <cdr:spPr>
        <a:xfrm xmlns:a="http://schemas.openxmlformats.org/drawingml/2006/main">
          <a:off x="2487453" y="3221516"/>
          <a:ext cx="505316" cy="522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5316" h="522670">
              <a:moveTo>
                <a:pt x="271724" y="241614"/>
              </a:moveTo>
              <a:lnTo>
                <a:pt x="258433" y="255360"/>
              </a:lnTo>
              <a:lnTo>
                <a:pt x="0" y="522669"/>
              </a:lnTo>
              <a:lnTo>
                <a:pt x="0" y="522669"/>
              </a:lnTo>
              <a:lnTo>
                <a:pt x="258433" y="255360"/>
              </a:lnTo>
              <a:lnTo>
                <a:pt x="271724" y="241614"/>
              </a:lnTo>
              <a:lnTo>
                <a:pt x="505315" y="0"/>
              </a:lnTo>
              <a:lnTo>
                <a:pt x="5053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0.39399</cdr:x>
      <cdr:y>0.77942</cdr:y>
    </cdr:from>
    <cdr:to>
      <cdr:x>0.46228</cdr:x>
      <cdr:y>0.84723</cdr:y>
    </cdr:to>
    <cdr:sp macro="" textlink="">
      <cdr:nvSpPr>
        <cdr:cNvPr id="294" name="FracNo 486 StartRow 3288">
          <a:extLst xmlns:a="http://schemas.openxmlformats.org/drawingml/2006/main">
            <a:ext uri="{FF2B5EF4-FFF2-40B4-BE49-F238E27FC236}">
              <a16:creationId xmlns:a16="http://schemas.microsoft.com/office/drawing/2014/main" id="{804D6D6B-2F42-0D12-D505-CD743BE26252}"/>
            </a:ext>
          </a:extLst>
        </cdr:cNvPr>
        <cdr:cNvSpPr/>
      </cdr:nvSpPr>
      <cdr:spPr>
        <a:xfrm xmlns:a="http://schemas.openxmlformats.org/drawingml/2006/main">
          <a:off x="2882131" y="5939211"/>
          <a:ext cx="499526" cy="5166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9526" h="516680">
              <a:moveTo>
                <a:pt x="65893" y="448523"/>
              </a:moveTo>
              <a:lnTo>
                <a:pt x="0" y="516679"/>
              </a:lnTo>
              <a:lnTo>
                <a:pt x="0" y="516679"/>
              </a:lnTo>
              <a:lnTo>
                <a:pt x="65893" y="448523"/>
              </a:lnTo>
              <a:lnTo>
                <a:pt x="499525" y="0"/>
              </a:lnTo>
              <a:lnTo>
                <a:pt x="4995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0.17991</cdr:x>
      <cdr:y>0.8567</cdr:y>
    </cdr:from>
    <cdr:to>
      <cdr:x>0.24993</cdr:x>
      <cdr:y>0.92623</cdr:y>
    </cdr:to>
    <cdr:sp macro="" textlink="">
      <cdr:nvSpPr>
        <cdr:cNvPr id="295" name="FracNo 30 StartRow 3297">
          <a:extLst xmlns:a="http://schemas.openxmlformats.org/drawingml/2006/main">
            <a:ext uri="{FF2B5EF4-FFF2-40B4-BE49-F238E27FC236}">
              <a16:creationId xmlns:a16="http://schemas.microsoft.com/office/drawing/2014/main" id="{5B8D760D-E017-FB94-0AAC-946917428BA0}"/>
            </a:ext>
          </a:extLst>
        </cdr:cNvPr>
        <cdr:cNvSpPr/>
      </cdr:nvSpPr>
      <cdr:spPr>
        <a:xfrm xmlns:a="http://schemas.openxmlformats.org/drawingml/2006/main">
          <a:off x="1316047" y="6528046"/>
          <a:ext cx="512241" cy="529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2241" h="529831">
              <a:moveTo>
                <a:pt x="8221" y="502575"/>
              </a:moveTo>
              <a:lnTo>
                <a:pt x="0" y="511079"/>
              </a:lnTo>
              <a:lnTo>
                <a:pt x="18130" y="529830"/>
              </a:lnTo>
              <a:lnTo>
                <a:pt x="26351" y="521327"/>
              </a:lnTo>
              <a:lnTo>
                <a:pt x="512240" y="18751"/>
              </a:lnTo>
              <a:lnTo>
                <a:pt x="4941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0.35528</cdr:x>
      <cdr:y>0.5855</cdr:y>
    </cdr:from>
    <cdr:to>
      <cdr:x>0.42235</cdr:x>
      <cdr:y>0.6521</cdr:y>
    </cdr:to>
    <cdr:sp macro="" textlink="">
      <cdr:nvSpPr>
        <cdr:cNvPr id="296" name="FracNo 85 StartRow 3306">
          <a:extLst xmlns:a="http://schemas.openxmlformats.org/drawingml/2006/main">
            <a:ext uri="{FF2B5EF4-FFF2-40B4-BE49-F238E27FC236}">
              <a16:creationId xmlns:a16="http://schemas.microsoft.com/office/drawing/2014/main" id="{8F5833B4-C38E-2908-B3CB-B3A47D2D4170}"/>
            </a:ext>
          </a:extLst>
        </cdr:cNvPr>
        <cdr:cNvSpPr/>
      </cdr:nvSpPr>
      <cdr:spPr>
        <a:xfrm xmlns:a="http://schemas.openxmlformats.org/drawingml/2006/main">
          <a:off x="2598970" y="4461534"/>
          <a:ext cx="490622" cy="5074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622" h="507471">
              <a:moveTo>
                <a:pt x="270163" y="228029"/>
              </a:moveTo>
              <a:lnTo>
                <a:pt x="146916" y="355508"/>
              </a:lnTo>
              <a:lnTo>
                <a:pt x="26183" y="480388"/>
              </a:lnTo>
              <a:lnTo>
                <a:pt x="0" y="507470"/>
              </a:lnTo>
              <a:lnTo>
                <a:pt x="0" y="507470"/>
              </a:lnTo>
              <a:lnTo>
                <a:pt x="26183" y="480388"/>
              </a:lnTo>
              <a:lnTo>
                <a:pt x="146916" y="355508"/>
              </a:lnTo>
              <a:lnTo>
                <a:pt x="270163" y="228029"/>
              </a:lnTo>
              <a:lnTo>
                <a:pt x="490621" y="0"/>
              </a:lnTo>
              <a:lnTo>
                <a:pt x="4906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0.14038</cdr:x>
      <cdr:y>0.65511</cdr:y>
    </cdr:from>
    <cdr:to>
      <cdr:x>0.20714</cdr:x>
      <cdr:y>0.7214</cdr:y>
    </cdr:to>
    <cdr:sp macro="" textlink="">
      <cdr:nvSpPr>
        <cdr:cNvPr id="297" name="FracNo 751 StartRow 3319">
          <a:extLst xmlns:a="http://schemas.openxmlformats.org/drawingml/2006/main">
            <a:ext uri="{FF2B5EF4-FFF2-40B4-BE49-F238E27FC236}">
              <a16:creationId xmlns:a16="http://schemas.microsoft.com/office/drawing/2014/main" id="{40A256B4-11C5-BE7A-6FAE-B78C41721646}"/>
            </a:ext>
          </a:extLst>
        </cdr:cNvPr>
        <cdr:cNvSpPr/>
      </cdr:nvSpPr>
      <cdr:spPr>
        <a:xfrm xmlns:a="http://schemas.openxmlformats.org/drawingml/2006/main">
          <a:off x="1026910" y="4991964"/>
          <a:ext cx="488362" cy="505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362" h="505134">
              <a:moveTo>
                <a:pt x="109247" y="392134"/>
              </a:moveTo>
              <a:lnTo>
                <a:pt x="0" y="505133"/>
              </a:lnTo>
              <a:lnTo>
                <a:pt x="0" y="505133"/>
              </a:lnTo>
              <a:lnTo>
                <a:pt x="109247" y="392134"/>
              </a:lnTo>
              <a:lnTo>
                <a:pt x="488361" y="0"/>
              </a:lnTo>
              <a:lnTo>
                <a:pt x="4883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0.20798</cdr:x>
      <cdr:y>0.53944</cdr:y>
    </cdr:from>
    <cdr:to>
      <cdr:x>0.27474</cdr:x>
      <cdr:y>0.60573</cdr:y>
    </cdr:to>
    <cdr:sp macro="" textlink="">
      <cdr:nvSpPr>
        <cdr:cNvPr id="298" name="FracNo 660 StartRow 3328">
          <a:extLst xmlns:a="http://schemas.openxmlformats.org/drawingml/2006/main">
            <a:ext uri="{FF2B5EF4-FFF2-40B4-BE49-F238E27FC236}">
              <a16:creationId xmlns:a16="http://schemas.microsoft.com/office/drawing/2014/main" id="{FCEB76FF-A81E-6005-8374-C898EA676B0D}"/>
            </a:ext>
          </a:extLst>
        </cdr:cNvPr>
        <cdr:cNvSpPr/>
      </cdr:nvSpPr>
      <cdr:spPr>
        <a:xfrm xmlns:a="http://schemas.openxmlformats.org/drawingml/2006/main">
          <a:off x="1521430" y="4110544"/>
          <a:ext cx="488324" cy="505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324" h="505094">
              <a:moveTo>
                <a:pt x="43180" y="460430"/>
              </a:moveTo>
              <a:lnTo>
                <a:pt x="0" y="505093"/>
              </a:lnTo>
              <a:lnTo>
                <a:pt x="0" y="505093"/>
              </a:lnTo>
              <a:lnTo>
                <a:pt x="43180" y="460430"/>
              </a:lnTo>
              <a:lnTo>
                <a:pt x="488323" y="0"/>
              </a:lnTo>
              <a:lnTo>
                <a:pt x="4883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0.87562</cdr:x>
      <cdr:y>0.74827</cdr:y>
    </cdr:from>
    <cdr:to>
      <cdr:x>0.94246</cdr:x>
      <cdr:y>0.8171</cdr:y>
    </cdr:to>
    <cdr:sp macro="" textlink="">
      <cdr:nvSpPr>
        <cdr:cNvPr id="299" name="FracNo 276 StartRow 3337">
          <a:extLst xmlns:a="http://schemas.openxmlformats.org/drawingml/2006/main">
            <a:ext uri="{FF2B5EF4-FFF2-40B4-BE49-F238E27FC236}">
              <a16:creationId xmlns:a16="http://schemas.microsoft.com/office/drawing/2014/main" id="{C172826F-BEDB-A484-A6DF-A57293695080}"/>
            </a:ext>
          </a:extLst>
        </cdr:cNvPr>
        <cdr:cNvSpPr/>
      </cdr:nvSpPr>
      <cdr:spPr>
        <a:xfrm xmlns:a="http://schemas.openxmlformats.org/drawingml/2006/main">
          <a:off x="6405338" y="5701810"/>
          <a:ext cx="488970" cy="524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970" h="524514">
              <a:moveTo>
                <a:pt x="105442" y="434202"/>
              </a:moveTo>
              <a:lnTo>
                <a:pt x="18130" y="524513"/>
              </a:lnTo>
              <a:lnTo>
                <a:pt x="0" y="505761"/>
              </a:lnTo>
              <a:lnTo>
                <a:pt x="90674" y="411973"/>
              </a:lnTo>
              <a:lnTo>
                <a:pt x="488969" y="0"/>
              </a:lnTo>
              <a:lnTo>
                <a:pt x="48896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0.10149</cdr:x>
      <cdr:y>0.86563</cdr:y>
    </cdr:from>
    <cdr:to>
      <cdr:x>0.16642</cdr:x>
      <cdr:y>0.9301</cdr:y>
    </cdr:to>
    <cdr:sp macro="" textlink="">
      <cdr:nvSpPr>
        <cdr:cNvPr id="300" name="FracNo 13 StartRow 3346">
          <a:extLst xmlns:a="http://schemas.openxmlformats.org/drawingml/2006/main">
            <a:ext uri="{FF2B5EF4-FFF2-40B4-BE49-F238E27FC236}">
              <a16:creationId xmlns:a16="http://schemas.microsoft.com/office/drawing/2014/main" id="{E2F45E6C-3A4E-1D58-C1D4-5353F5FC3A0B}"/>
            </a:ext>
          </a:extLst>
        </cdr:cNvPr>
        <cdr:cNvSpPr/>
      </cdr:nvSpPr>
      <cdr:spPr>
        <a:xfrm xmlns:a="http://schemas.openxmlformats.org/drawingml/2006/main">
          <a:off x="742443" y="6596127"/>
          <a:ext cx="474929" cy="4912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4929" h="491239">
              <a:moveTo>
                <a:pt x="41297" y="448523"/>
              </a:moveTo>
              <a:lnTo>
                <a:pt x="0" y="491238"/>
              </a:lnTo>
              <a:lnTo>
                <a:pt x="0" y="491238"/>
              </a:lnTo>
              <a:lnTo>
                <a:pt x="41297" y="448523"/>
              </a:lnTo>
              <a:lnTo>
                <a:pt x="474928" y="0"/>
              </a:lnTo>
              <a:lnTo>
                <a:pt x="4749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0.65474</cdr:x>
      <cdr:y>0.24314</cdr:y>
    </cdr:from>
    <cdr:to>
      <cdr:x>0.71772</cdr:x>
      <cdr:y>0.30568</cdr:y>
    </cdr:to>
    <cdr:sp macro="" textlink="">
      <cdr:nvSpPr>
        <cdr:cNvPr id="301" name="FracNo 403 StartRow 3355">
          <a:extLst xmlns:a="http://schemas.openxmlformats.org/drawingml/2006/main">
            <a:ext uri="{FF2B5EF4-FFF2-40B4-BE49-F238E27FC236}">
              <a16:creationId xmlns:a16="http://schemas.microsoft.com/office/drawing/2014/main" id="{B30CC799-58D4-14F5-774C-3348E780E0C7}"/>
            </a:ext>
          </a:extLst>
        </cdr:cNvPr>
        <cdr:cNvSpPr/>
      </cdr:nvSpPr>
      <cdr:spPr>
        <a:xfrm xmlns:a="http://schemas.openxmlformats.org/drawingml/2006/main">
          <a:off x="4789526" y="1852753"/>
          <a:ext cx="460743" cy="476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743" h="476565">
              <a:moveTo>
                <a:pt x="347391" y="117243"/>
              </a:moveTo>
              <a:lnTo>
                <a:pt x="30571" y="444944"/>
              </a:lnTo>
              <a:lnTo>
                <a:pt x="0" y="476564"/>
              </a:lnTo>
              <a:lnTo>
                <a:pt x="0" y="476564"/>
              </a:lnTo>
              <a:lnTo>
                <a:pt x="30571" y="444944"/>
              </a:lnTo>
              <a:lnTo>
                <a:pt x="347391" y="117243"/>
              </a:lnTo>
              <a:lnTo>
                <a:pt x="460742" y="0"/>
              </a:lnTo>
              <a:lnTo>
                <a:pt x="460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0.82628</cdr:x>
      <cdr:y>0.86798</cdr:y>
    </cdr:from>
    <cdr:to>
      <cdr:x>0.88884</cdr:x>
      <cdr:y>0.9301</cdr:y>
    </cdr:to>
    <cdr:sp macro="" textlink="">
      <cdr:nvSpPr>
        <cdr:cNvPr id="302" name="FracNo 252 StartRow 3366">
          <a:extLst xmlns:a="http://schemas.openxmlformats.org/drawingml/2006/main">
            <a:ext uri="{FF2B5EF4-FFF2-40B4-BE49-F238E27FC236}">
              <a16:creationId xmlns:a16="http://schemas.microsoft.com/office/drawing/2014/main" id="{ABD8D4D1-8B5B-CB14-F5FC-C1C2CAE2BE67}"/>
            </a:ext>
          </a:extLst>
        </cdr:cNvPr>
        <cdr:cNvSpPr/>
      </cdr:nvSpPr>
      <cdr:spPr>
        <a:xfrm xmlns:a="http://schemas.openxmlformats.org/drawingml/2006/main">
          <a:off x="6044382" y="6613986"/>
          <a:ext cx="457662" cy="4733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662" h="473380">
              <a:moveTo>
                <a:pt x="292694" y="170634"/>
              </a:moveTo>
              <a:lnTo>
                <a:pt x="0" y="473379"/>
              </a:lnTo>
              <a:lnTo>
                <a:pt x="0" y="473379"/>
              </a:lnTo>
              <a:lnTo>
                <a:pt x="292694" y="170634"/>
              </a:lnTo>
              <a:lnTo>
                <a:pt x="457661" y="0"/>
              </a:lnTo>
              <a:lnTo>
                <a:pt x="4576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0.3109</cdr:x>
      <cdr:y>0.17518</cdr:y>
    </cdr:from>
    <cdr:to>
      <cdr:x>0.37331</cdr:x>
      <cdr:y>0.23715</cdr:y>
    </cdr:to>
    <cdr:sp macro="" textlink="">
      <cdr:nvSpPr>
        <cdr:cNvPr id="303" name="FracNo 578 StartRow 3375">
          <a:extLst xmlns:a="http://schemas.openxmlformats.org/drawingml/2006/main">
            <a:ext uri="{FF2B5EF4-FFF2-40B4-BE49-F238E27FC236}">
              <a16:creationId xmlns:a16="http://schemas.microsoft.com/office/drawing/2014/main" id="{50E3BE5F-608C-CBF9-16C2-187AA470C15E}"/>
            </a:ext>
          </a:extLst>
        </cdr:cNvPr>
        <cdr:cNvSpPr/>
      </cdr:nvSpPr>
      <cdr:spPr>
        <a:xfrm xmlns:a="http://schemas.openxmlformats.org/drawingml/2006/main">
          <a:off x="2274275" y="1334883"/>
          <a:ext cx="456548" cy="472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6548" h="472226">
              <a:moveTo>
                <a:pt x="433631" y="23702"/>
              </a:moveTo>
              <a:lnTo>
                <a:pt x="0" y="472225"/>
              </a:lnTo>
              <a:lnTo>
                <a:pt x="0" y="472225"/>
              </a:lnTo>
              <a:lnTo>
                <a:pt x="433631" y="23702"/>
              </a:lnTo>
              <a:lnTo>
                <a:pt x="456547" y="0"/>
              </a:lnTo>
              <a:lnTo>
                <a:pt x="4565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0.88036</cdr:x>
      <cdr:y>0.27877</cdr:y>
    </cdr:from>
    <cdr:to>
      <cdr:x>0.94246</cdr:x>
      <cdr:y>0.34044</cdr:y>
    </cdr:to>
    <cdr:sp macro="" textlink="">
      <cdr:nvSpPr>
        <cdr:cNvPr id="304" name="FracNo 409 StartRow 3384">
          <a:extLst xmlns:a="http://schemas.openxmlformats.org/drawingml/2006/main">
            <a:ext uri="{FF2B5EF4-FFF2-40B4-BE49-F238E27FC236}">
              <a16:creationId xmlns:a16="http://schemas.microsoft.com/office/drawing/2014/main" id="{9D0089D7-020E-98F6-AE2F-6A1F458E872C}"/>
            </a:ext>
          </a:extLst>
        </cdr:cNvPr>
        <cdr:cNvSpPr/>
      </cdr:nvSpPr>
      <cdr:spPr>
        <a:xfrm xmlns:a="http://schemas.openxmlformats.org/drawingml/2006/main">
          <a:off x="6439990" y="2124215"/>
          <a:ext cx="454318" cy="469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4318" h="469920">
              <a:moveTo>
                <a:pt x="275248" y="185219"/>
              </a:moveTo>
              <a:lnTo>
                <a:pt x="0" y="469919"/>
              </a:lnTo>
              <a:lnTo>
                <a:pt x="0" y="469919"/>
              </a:lnTo>
              <a:lnTo>
                <a:pt x="275248" y="185219"/>
              </a:lnTo>
              <a:lnTo>
                <a:pt x="454317" y="0"/>
              </a:lnTo>
              <a:lnTo>
                <a:pt x="4543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0.88101</cdr:x>
      <cdr:y>0.86908</cdr:y>
    </cdr:from>
    <cdr:to>
      <cdr:x>0.94246</cdr:x>
      <cdr:y>0.9301</cdr:y>
    </cdr:to>
    <cdr:sp macro="" textlink="">
      <cdr:nvSpPr>
        <cdr:cNvPr id="305" name="FracNo 243 StartRow 3393">
          <a:extLst xmlns:a="http://schemas.openxmlformats.org/drawingml/2006/main">
            <a:ext uri="{FF2B5EF4-FFF2-40B4-BE49-F238E27FC236}">
              <a16:creationId xmlns:a16="http://schemas.microsoft.com/office/drawing/2014/main" id="{A8E08816-AC22-34FD-42C8-A1F53533AEED}"/>
            </a:ext>
          </a:extLst>
        </cdr:cNvPr>
        <cdr:cNvSpPr/>
      </cdr:nvSpPr>
      <cdr:spPr>
        <a:xfrm xmlns:a="http://schemas.openxmlformats.org/drawingml/2006/main">
          <a:off x="6444750" y="6622369"/>
          <a:ext cx="449558" cy="464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9558" h="464997">
              <a:moveTo>
                <a:pt x="93066" y="368735"/>
              </a:moveTo>
              <a:lnTo>
                <a:pt x="0" y="464996"/>
              </a:lnTo>
              <a:lnTo>
                <a:pt x="0" y="464996"/>
              </a:lnTo>
              <a:lnTo>
                <a:pt x="93066" y="368735"/>
              </a:lnTo>
              <a:lnTo>
                <a:pt x="449557" y="0"/>
              </a:lnTo>
              <a:lnTo>
                <a:pt x="4495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0.17907</cdr:x>
      <cdr:y>0.467</cdr:y>
    </cdr:from>
    <cdr:to>
      <cdr:x>0.23834</cdr:x>
      <cdr:y>0.52586</cdr:y>
    </cdr:to>
    <cdr:sp macro="" textlink="">
      <cdr:nvSpPr>
        <cdr:cNvPr id="306" name="FracNo 642 StartRow 3402">
          <a:extLst xmlns:a="http://schemas.openxmlformats.org/drawingml/2006/main">
            <a:ext uri="{FF2B5EF4-FFF2-40B4-BE49-F238E27FC236}">
              <a16:creationId xmlns:a16="http://schemas.microsoft.com/office/drawing/2014/main" id="{C2DB6247-1C02-8495-5F5D-0EBAD9820343}"/>
            </a:ext>
          </a:extLst>
        </cdr:cNvPr>
        <cdr:cNvSpPr/>
      </cdr:nvSpPr>
      <cdr:spPr>
        <a:xfrm xmlns:a="http://schemas.openxmlformats.org/drawingml/2006/main">
          <a:off x="1309906" y="3558520"/>
          <a:ext cx="433633" cy="448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633" h="448525">
              <a:moveTo>
                <a:pt x="0" y="448524"/>
              </a:moveTo>
              <a:lnTo>
                <a:pt x="0" y="448524"/>
              </a:lnTo>
              <a:lnTo>
                <a:pt x="433632" y="0"/>
              </a:lnTo>
              <a:lnTo>
                <a:pt x="4336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0.17383</cdr:x>
      <cdr:y>0.74709</cdr:y>
    </cdr:from>
    <cdr:to>
      <cdr:x>0.23311</cdr:x>
      <cdr:y>0.80595</cdr:y>
    </cdr:to>
    <cdr:sp macro="" textlink="">
      <cdr:nvSpPr>
        <cdr:cNvPr id="307" name="FracNo 1 StartRow 3409">
          <a:extLst xmlns:a="http://schemas.openxmlformats.org/drawingml/2006/main">
            <a:ext uri="{FF2B5EF4-FFF2-40B4-BE49-F238E27FC236}">
              <a16:creationId xmlns:a16="http://schemas.microsoft.com/office/drawing/2014/main" id="{2664804C-21D4-F1FC-2AC3-209BCEFCBF6E}"/>
            </a:ext>
          </a:extLst>
        </cdr:cNvPr>
        <cdr:cNvSpPr/>
      </cdr:nvSpPr>
      <cdr:spPr>
        <a:xfrm xmlns:a="http://schemas.openxmlformats.org/drawingml/2006/main">
          <a:off x="1271610" y="5692799"/>
          <a:ext cx="433633" cy="448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633" h="448524">
              <a:moveTo>
                <a:pt x="433632" y="0"/>
              </a:moveTo>
              <a:lnTo>
                <a:pt x="0" y="448523"/>
              </a:lnTo>
              <a:lnTo>
                <a:pt x="0" y="448523"/>
              </a:lnTo>
              <a:lnTo>
                <a:pt x="43363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0.36424</cdr:y>
    </cdr:from>
    <cdr:to>
      <cdr:x>0.15089</cdr:x>
      <cdr:y>0.42289</cdr:y>
    </cdr:to>
    <cdr:sp macro="" textlink="">
      <cdr:nvSpPr>
        <cdr:cNvPr id="308" name="FracNo 651 StartRow 3417">
          <a:extLst xmlns:a="http://schemas.openxmlformats.org/drawingml/2006/main">
            <a:ext uri="{FF2B5EF4-FFF2-40B4-BE49-F238E27FC236}">
              <a16:creationId xmlns:a16="http://schemas.microsoft.com/office/drawing/2014/main" id="{FD8E75FF-EE3A-385D-0E72-05FEE1D3A16C}"/>
            </a:ext>
          </a:extLst>
        </cdr:cNvPr>
        <cdr:cNvSpPr/>
      </cdr:nvSpPr>
      <cdr:spPr>
        <a:xfrm xmlns:a="http://schemas.openxmlformats.org/drawingml/2006/main">
          <a:off x="671676" y="2775474"/>
          <a:ext cx="432096" cy="446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096" h="446935">
              <a:moveTo>
                <a:pt x="357969" y="76672"/>
              </a:moveTo>
              <a:lnTo>
                <a:pt x="0" y="446934"/>
              </a:lnTo>
              <a:lnTo>
                <a:pt x="0" y="446934"/>
              </a:lnTo>
              <a:lnTo>
                <a:pt x="357969" y="76672"/>
              </a:lnTo>
              <a:lnTo>
                <a:pt x="411788" y="21005"/>
              </a:lnTo>
              <a:lnTo>
                <a:pt x="432095" y="0"/>
              </a:lnTo>
              <a:lnTo>
                <a:pt x="432095" y="0"/>
              </a:lnTo>
              <a:lnTo>
                <a:pt x="411788" y="210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0.3065</cdr:x>
      <cdr:y>0.8717</cdr:y>
    </cdr:from>
    <cdr:to>
      <cdr:x>0.36532</cdr:x>
      <cdr:y>0.9301</cdr:y>
    </cdr:to>
    <cdr:sp macro="" textlink="">
      <cdr:nvSpPr>
        <cdr:cNvPr id="309" name="FracNo 18 StartRow 3428">
          <a:extLst xmlns:a="http://schemas.openxmlformats.org/drawingml/2006/main">
            <a:ext uri="{FF2B5EF4-FFF2-40B4-BE49-F238E27FC236}">
              <a16:creationId xmlns:a16="http://schemas.microsoft.com/office/drawing/2014/main" id="{FE4B671A-7B88-6AEE-E127-E40B1E42E694}"/>
            </a:ext>
          </a:extLst>
        </cdr:cNvPr>
        <cdr:cNvSpPr/>
      </cdr:nvSpPr>
      <cdr:spPr>
        <a:xfrm xmlns:a="http://schemas.openxmlformats.org/drawingml/2006/main">
          <a:off x="2242102" y="6642318"/>
          <a:ext cx="430272" cy="445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272" h="445048">
              <a:moveTo>
                <a:pt x="265303" y="170633"/>
              </a:moveTo>
              <a:lnTo>
                <a:pt x="0" y="445047"/>
              </a:lnTo>
              <a:lnTo>
                <a:pt x="0" y="445047"/>
              </a:lnTo>
              <a:lnTo>
                <a:pt x="265303" y="170633"/>
              </a:lnTo>
              <a:lnTo>
                <a:pt x="430271" y="0"/>
              </a:lnTo>
              <a:lnTo>
                <a:pt x="4302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0.57392</cdr:x>
      <cdr:y>0.87079</cdr:y>
    </cdr:from>
    <cdr:to>
      <cdr:x>0.63613</cdr:x>
      <cdr:y>0.9301</cdr:y>
    </cdr:to>
    <cdr:sp macro="" textlink="">
      <cdr:nvSpPr>
        <cdr:cNvPr id="310" name="FracNo 733 StartRow 3437">
          <a:extLst xmlns:a="http://schemas.openxmlformats.org/drawingml/2006/main">
            <a:ext uri="{FF2B5EF4-FFF2-40B4-BE49-F238E27FC236}">
              <a16:creationId xmlns:a16="http://schemas.microsoft.com/office/drawing/2014/main" id="{E1F36230-12DF-BA7A-C143-7A274CCB283A}"/>
            </a:ext>
          </a:extLst>
        </cdr:cNvPr>
        <cdr:cNvSpPr/>
      </cdr:nvSpPr>
      <cdr:spPr>
        <a:xfrm xmlns:a="http://schemas.openxmlformats.org/drawingml/2006/main">
          <a:off x="4198319" y="6635416"/>
          <a:ext cx="455074" cy="451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074" h="451950">
              <a:moveTo>
                <a:pt x="247412" y="233545"/>
              </a:moveTo>
              <a:lnTo>
                <a:pt x="36259" y="451949"/>
              </a:lnTo>
              <a:lnTo>
                <a:pt x="0" y="451949"/>
              </a:lnTo>
              <a:lnTo>
                <a:pt x="220294" y="224090"/>
              </a:lnTo>
              <a:lnTo>
                <a:pt x="436944" y="0"/>
              </a:lnTo>
              <a:lnTo>
                <a:pt x="45507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0.82315</cdr:x>
      <cdr:y>0.08544</cdr:y>
    </cdr:from>
    <cdr:to>
      <cdr:x>0.88421</cdr:x>
      <cdr:y>0.14361</cdr:y>
    </cdr:to>
    <cdr:sp macro="" textlink="">
      <cdr:nvSpPr>
        <cdr:cNvPr id="311" name="FracNo 429 StartRow 3446">
          <a:extLst xmlns:a="http://schemas.openxmlformats.org/drawingml/2006/main">
            <a:ext uri="{FF2B5EF4-FFF2-40B4-BE49-F238E27FC236}">
              <a16:creationId xmlns:a16="http://schemas.microsoft.com/office/drawing/2014/main" id="{EDB8365E-DAD8-FC6F-66EE-7027D5D894D8}"/>
            </a:ext>
          </a:extLst>
        </cdr:cNvPr>
        <cdr:cNvSpPr/>
      </cdr:nvSpPr>
      <cdr:spPr>
        <a:xfrm xmlns:a="http://schemas.openxmlformats.org/drawingml/2006/main">
          <a:off x="6021509" y="651036"/>
          <a:ext cx="446694" cy="443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694" h="443282">
              <a:moveTo>
                <a:pt x="123719" y="334065"/>
              </a:moveTo>
              <a:lnTo>
                <a:pt x="18129" y="443281"/>
              </a:lnTo>
              <a:lnTo>
                <a:pt x="0" y="424530"/>
              </a:lnTo>
              <a:lnTo>
                <a:pt x="101123" y="319933"/>
              </a:lnTo>
              <a:lnTo>
                <a:pt x="410434" y="0"/>
              </a:lnTo>
              <a:lnTo>
                <a:pt x="4466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0.24945</cdr:x>
      <cdr:y>0.22113</cdr:y>
    </cdr:from>
    <cdr:to>
      <cdr:x>0.30907</cdr:x>
      <cdr:y>0.28033</cdr:y>
    </cdr:to>
    <cdr:sp macro="" textlink="">
      <cdr:nvSpPr>
        <cdr:cNvPr id="312" name="FracNo 588 StartRow 3455">
          <a:extLst xmlns:a="http://schemas.openxmlformats.org/drawingml/2006/main">
            <a:ext uri="{FF2B5EF4-FFF2-40B4-BE49-F238E27FC236}">
              <a16:creationId xmlns:a16="http://schemas.microsoft.com/office/drawing/2014/main" id="{C3362401-FB82-5F78-79FD-7D9F2720760D}"/>
            </a:ext>
          </a:extLst>
        </cdr:cNvPr>
        <cdr:cNvSpPr/>
      </cdr:nvSpPr>
      <cdr:spPr>
        <a:xfrm xmlns:a="http://schemas.openxmlformats.org/drawingml/2006/main">
          <a:off x="1824778" y="1685003"/>
          <a:ext cx="436143" cy="451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6143" h="451121">
              <a:moveTo>
                <a:pt x="320943" y="137907"/>
              </a:moveTo>
              <a:lnTo>
                <a:pt x="18130" y="451120"/>
              </a:lnTo>
              <a:lnTo>
                <a:pt x="0" y="432368"/>
              </a:lnTo>
              <a:lnTo>
                <a:pt x="302814" y="119155"/>
              </a:lnTo>
              <a:lnTo>
                <a:pt x="418013" y="0"/>
              </a:lnTo>
              <a:lnTo>
                <a:pt x="4361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0.2486</cdr:x>
      <cdr:y>0.22029</cdr:y>
    </cdr:from>
    <cdr:to>
      <cdr:x>0.30575</cdr:x>
      <cdr:y>0.27703</cdr:y>
    </cdr:to>
    <cdr:sp macro="" textlink="">
      <cdr:nvSpPr>
        <cdr:cNvPr id="313" name="FracNo 752 StartRow 3464">
          <a:extLst xmlns:a="http://schemas.openxmlformats.org/drawingml/2006/main">
            <a:ext uri="{FF2B5EF4-FFF2-40B4-BE49-F238E27FC236}">
              <a16:creationId xmlns:a16="http://schemas.microsoft.com/office/drawing/2014/main" id="{CE1CBF69-73E2-C8E5-A922-C9BD50AB8D81}"/>
            </a:ext>
          </a:extLst>
        </cdr:cNvPr>
        <cdr:cNvSpPr/>
      </cdr:nvSpPr>
      <cdr:spPr>
        <a:xfrm xmlns:a="http://schemas.openxmlformats.org/drawingml/2006/main">
          <a:off x="1818580" y="1678591"/>
          <a:ext cx="418014" cy="432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014" h="432370">
              <a:moveTo>
                <a:pt x="242085" y="181969"/>
              </a:moveTo>
              <a:lnTo>
                <a:pt x="0" y="432369"/>
              </a:lnTo>
              <a:lnTo>
                <a:pt x="0" y="432369"/>
              </a:lnTo>
              <a:lnTo>
                <a:pt x="242085" y="181969"/>
              </a:lnTo>
              <a:lnTo>
                <a:pt x="418013" y="0"/>
              </a:lnTo>
              <a:lnTo>
                <a:pt x="4180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0.86757</cdr:y>
    </cdr:from>
    <cdr:to>
      <cdr:x>0.14846</cdr:x>
      <cdr:y>0.92382</cdr:y>
    </cdr:to>
    <cdr:sp macro="" textlink="">
      <cdr:nvSpPr>
        <cdr:cNvPr id="314" name="FracNo 6 StartRow 3473">
          <a:extLst xmlns:a="http://schemas.openxmlformats.org/drawingml/2006/main">
            <a:ext uri="{FF2B5EF4-FFF2-40B4-BE49-F238E27FC236}">
              <a16:creationId xmlns:a16="http://schemas.microsoft.com/office/drawing/2014/main" id="{1E7A552C-DE45-DFE1-B1BF-516F4F0AB57C}"/>
            </a:ext>
          </a:extLst>
        </cdr:cNvPr>
        <cdr:cNvSpPr/>
      </cdr:nvSpPr>
      <cdr:spPr>
        <a:xfrm xmlns:a="http://schemas.openxmlformats.org/drawingml/2006/main">
          <a:off x="671676" y="6610921"/>
          <a:ext cx="414371" cy="428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371" h="428601">
              <a:moveTo>
                <a:pt x="163941" y="259029"/>
              </a:moveTo>
              <a:lnTo>
                <a:pt x="0" y="428600"/>
              </a:lnTo>
              <a:lnTo>
                <a:pt x="0" y="428600"/>
              </a:lnTo>
              <a:lnTo>
                <a:pt x="163941" y="259029"/>
              </a:lnTo>
              <a:lnTo>
                <a:pt x="414370" y="0"/>
              </a:lnTo>
              <a:lnTo>
                <a:pt x="4143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0.4064</cdr:x>
      <cdr:y>0.36523</cdr:y>
    </cdr:from>
    <cdr:to>
      <cdr:x>0.46164</cdr:x>
      <cdr:y>0.42008</cdr:y>
    </cdr:to>
    <cdr:sp macro="" textlink="">
      <cdr:nvSpPr>
        <cdr:cNvPr id="315" name="FracNo 88 StartRow 3482">
          <a:extLst xmlns:a="http://schemas.openxmlformats.org/drawingml/2006/main">
            <a:ext uri="{FF2B5EF4-FFF2-40B4-BE49-F238E27FC236}">
              <a16:creationId xmlns:a16="http://schemas.microsoft.com/office/drawing/2014/main" id="{1AB6B6B2-A229-3A54-D813-BB93D0369405}"/>
            </a:ext>
          </a:extLst>
        </cdr:cNvPr>
        <cdr:cNvSpPr/>
      </cdr:nvSpPr>
      <cdr:spPr>
        <a:xfrm xmlns:a="http://schemas.openxmlformats.org/drawingml/2006/main">
          <a:off x="2972923" y="2783058"/>
          <a:ext cx="404056" cy="417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056" h="417933">
              <a:moveTo>
                <a:pt x="0" y="417932"/>
              </a:moveTo>
              <a:lnTo>
                <a:pt x="0" y="417932"/>
              </a:lnTo>
              <a:lnTo>
                <a:pt x="391080" y="13421"/>
              </a:lnTo>
              <a:lnTo>
                <a:pt x="404055" y="0"/>
              </a:lnTo>
              <a:lnTo>
                <a:pt x="404055" y="0"/>
              </a:lnTo>
              <a:lnTo>
                <a:pt x="391080" y="134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0.58279</cdr:x>
      <cdr:y>0.72242</cdr:y>
    </cdr:from>
    <cdr:to>
      <cdr:x>0.64046</cdr:x>
      <cdr:y>0.77969</cdr:y>
    </cdr:to>
    <cdr:sp macro="" textlink="">
      <cdr:nvSpPr>
        <cdr:cNvPr id="316" name="FracNo 518 StartRow 3491">
          <a:extLst xmlns:a="http://schemas.openxmlformats.org/drawingml/2006/main">
            <a:ext uri="{FF2B5EF4-FFF2-40B4-BE49-F238E27FC236}">
              <a16:creationId xmlns:a16="http://schemas.microsoft.com/office/drawing/2014/main" id="{3156A105-C8A3-CAC8-E8AF-D76BFC073C62}"/>
            </a:ext>
          </a:extLst>
        </cdr:cNvPr>
        <cdr:cNvSpPr/>
      </cdr:nvSpPr>
      <cdr:spPr>
        <a:xfrm xmlns:a="http://schemas.openxmlformats.org/drawingml/2006/main">
          <a:off x="4263229" y="5504838"/>
          <a:ext cx="421890" cy="436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890" h="436378">
              <a:moveTo>
                <a:pt x="62101" y="390895"/>
              </a:moveTo>
              <a:lnTo>
                <a:pt x="18129" y="436377"/>
              </a:lnTo>
              <a:lnTo>
                <a:pt x="0" y="417625"/>
              </a:lnTo>
              <a:lnTo>
                <a:pt x="43972" y="372143"/>
              </a:lnTo>
              <a:lnTo>
                <a:pt x="403759" y="0"/>
              </a:lnTo>
              <a:lnTo>
                <a:pt x="4218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0.86418</cdr:y>
    </cdr:from>
    <cdr:to>
      <cdr:x>0.14753</cdr:x>
      <cdr:y>0.92196</cdr:y>
    </cdr:to>
    <cdr:sp macro="" textlink="">
      <cdr:nvSpPr>
        <cdr:cNvPr id="317" name="FracNo 24 StartRow 3500">
          <a:extLst xmlns:a="http://schemas.openxmlformats.org/drawingml/2006/main">
            <a:ext uri="{FF2B5EF4-FFF2-40B4-BE49-F238E27FC236}">
              <a16:creationId xmlns:a16="http://schemas.microsoft.com/office/drawing/2014/main" id="{BAE972EA-BF7E-4347-EE46-EF2CC07F7A9A}"/>
            </a:ext>
          </a:extLst>
        </cdr:cNvPr>
        <cdr:cNvSpPr/>
      </cdr:nvSpPr>
      <cdr:spPr>
        <a:xfrm xmlns:a="http://schemas.openxmlformats.org/drawingml/2006/main">
          <a:off x="671676" y="6585072"/>
          <a:ext cx="407510" cy="440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510" h="440256">
              <a:moveTo>
                <a:pt x="353433" y="74685"/>
              </a:moveTo>
              <a:lnTo>
                <a:pt x="0" y="440255"/>
              </a:lnTo>
              <a:lnTo>
                <a:pt x="0" y="402752"/>
              </a:lnTo>
              <a:lnTo>
                <a:pt x="337709" y="53444"/>
              </a:lnTo>
              <a:lnTo>
                <a:pt x="389380" y="0"/>
              </a:lnTo>
              <a:lnTo>
                <a:pt x="40750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0.80389</cdr:y>
    </cdr:from>
    <cdr:to>
      <cdr:x>0.14619</cdr:x>
      <cdr:y>0.85788</cdr:y>
    </cdr:to>
    <cdr:sp macro="" textlink="">
      <cdr:nvSpPr>
        <cdr:cNvPr id="318" name="FracNo 19 StartRow 3509">
          <a:extLst xmlns:a="http://schemas.openxmlformats.org/drawingml/2006/main">
            <a:ext uri="{FF2B5EF4-FFF2-40B4-BE49-F238E27FC236}">
              <a16:creationId xmlns:a16="http://schemas.microsoft.com/office/drawing/2014/main" id="{377EC906-5BF8-F7FD-EFA6-968AA23EE973}"/>
            </a:ext>
          </a:extLst>
        </cdr:cNvPr>
        <cdr:cNvSpPr/>
      </cdr:nvSpPr>
      <cdr:spPr>
        <a:xfrm xmlns:a="http://schemas.openxmlformats.org/drawingml/2006/main">
          <a:off x="671676" y="6125671"/>
          <a:ext cx="397730" cy="411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7730" h="411389">
              <a:moveTo>
                <a:pt x="375420" y="23075"/>
              </a:moveTo>
              <a:lnTo>
                <a:pt x="0" y="411388"/>
              </a:lnTo>
              <a:lnTo>
                <a:pt x="0" y="411388"/>
              </a:lnTo>
              <a:lnTo>
                <a:pt x="375420" y="23075"/>
              </a:lnTo>
              <a:lnTo>
                <a:pt x="397729" y="0"/>
              </a:lnTo>
              <a:lnTo>
                <a:pt x="3977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0.88834</cdr:x>
      <cdr:y>0.80527</cdr:y>
    </cdr:from>
    <cdr:to>
      <cdr:x>0.94246</cdr:x>
      <cdr:y>0.85902</cdr:y>
    </cdr:to>
    <cdr:sp macro="" textlink="">
      <cdr:nvSpPr>
        <cdr:cNvPr id="319" name="FracNo 242 StartRow 3518">
          <a:extLst xmlns:a="http://schemas.openxmlformats.org/drawingml/2006/main">
            <a:ext uri="{FF2B5EF4-FFF2-40B4-BE49-F238E27FC236}">
              <a16:creationId xmlns:a16="http://schemas.microsoft.com/office/drawing/2014/main" id="{1DF30266-A14A-2BEB-438D-764E7BD727BC}"/>
            </a:ext>
          </a:extLst>
        </cdr:cNvPr>
        <cdr:cNvSpPr/>
      </cdr:nvSpPr>
      <cdr:spPr>
        <a:xfrm xmlns:a="http://schemas.openxmlformats.org/drawingml/2006/main">
          <a:off x="6498358" y="6136166"/>
          <a:ext cx="395950" cy="4095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950" h="409548">
              <a:moveTo>
                <a:pt x="0" y="409547"/>
              </a:moveTo>
              <a:lnTo>
                <a:pt x="0" y="409547"/>
              </a:lnTo>
              <a:lnTo>
                <a:pt x="395949" y="0"/>
              </a:lnTo>
              <a:lnTo>
                <a:pt x="3959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0.78124</cdr:x>
      <cdr:y>0.42382</cdr:y>
    </cdr:from>
    <cdr:to>
      <cdr:x>0.83467</cdr:x>
      <cdr:y>0.47688</cdr:y>
    </cdr:to>
    <cdr:sp macro="" textlink="">
      <cdr:nvSpPr>
        <cdr:cNvPr id="320" name="FracNo 163 StartRow 3525">
          <a:extLst xmlns:a="http://schemas.openxmlformats.org/drawingml/2006/main">
            <a:ext uri="{FF2B5EF4-FFF2-40B4-BE49-F238E27FC236}">
              <a16:creationId xmlns:a16="http://schemas.microsoft.com/office/drawing/2014/main" id="{93B340D5-6653-9371-61A8-CB82FAE38641}"/>
            </a:ext>
          </a:extLst>
        </cdr:cNvPr>
        <cdr:cNvSpPr/>
      </cdr:nvSpPr>
      <cdr:spPr>
        <a:xfrm xmlns:a="http://schemas.openxmlformats.org/drawingml/2006/main">
          <a:off x="5714914" y="3229506"/>
          <a:ext cx="390863" cy="404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863" h="404286">
              <a:moveTo>
                <a:pt x="128884" y="270975"/>
              </a:moveTo>
              <a:lnTo>
                <a:pt x="0" y="404285"/>
              </a:lnTo>
              <a:lnTo>
                <a:pt x="0" y="404285"/>
              </a:lnTo>
              <a:lnTo>
                <a:pt x="128884" y="270975"/>
              </a:lnTo>
              <a:lnTo>
                <a:pt x="390862" y="0"/>
              </a:lnTo>
              <a:lnTo>
                <a:pt x="3908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0.37684</cdr:x>
      <cdr:y>0.08544</cdr:y>
    </cdr:from>
    <cdr:to>
      <cdr:x>0.42866</cdr:x>
      <cdr:y>0.13689</cdr:y>
    </cdr:to>
    <cdr:sp macro="" textlink="">
      <cdr:nvSpPr>
        <cdr:cNvPr id="321" name="FracNo 339 StartRow 3534">
          <a:extLst xmlns:a="http://schemas.openxmlformats.org/drawingml/2006/main">
            <a:ext uri="{FF2B5EF4-FFF2-40B4-BE49-F238E27FC236}">
              <a16:creationId xmlns:a16="http://schemas.microsoft.com/office/drawing/2014/main" id="{E61E72B3-AADE-D198-C686-E3BF35B4CF38}"/>
            </a:ext>
          </a:extLst>
        </cdr:cNvPr>
        <cdr:cNvSpPr/>
      </cdr:nvSpPr>
      <cdr:spPr>
        <a:xfrm xmlns:a="http://schemas.openxmlformats.org/drawingml/2006/main">
          <a:off x="2756683" y="651036"/>
          <a:ext cx="379016" cy="392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9016" h="392031">
              <a:moveTo>
                <a:pt x="288214" y="93919"/>
              </a:moveTo>
              <a:lnTo>
                <a:pt x="0" y="392030"/>
              </a:lnTo>
              <a:lnTo>
                <a:pt x="0" y="392030"/>
              </a:lnTo>
              <a:lnTo>
                <a:pt x="288214" y="93919"/>
              </a:lnTo>
              <a:lnTo>
                <a:pt x="379015" y="0"/>
              </a:lnTo>
              <a:lnTo>
                <a:pt x="3790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0.20435</cdr:x>
      <cdr:y>0.68885</cdr:y>
    </cdr:from>
    <cdr:to>
      <cdr:x>0.25609</cdr:x>
      <cdr:y>0.74023</cdr:y>
    </cdr:to>
    <cdr:sp macro="" textlink="">
      <cdr:nvSpPr>
        <cdr:cNvPr id="322" name="FracNo 15 StartRow 3543">
          <a:extLst xmlns:a="http://schemas.openxmlformats.org/drawingml/2006/main">
            <a:ext uri="{FF2B5EF4-FFF2-40B4-BE49-F238E27FC236}">
              <a16:creationId xmlns:a16="http://schemas.microsoft.com/office/drawing/2014/main" id="{740E07CA-7944-4116-2711-B6A2D00EDF5E}"/>
            </a:ext>
          </a:extLst>
        </cdr:cNvPr>
        <cdr:cNvSpPr/>
      </cdr:nvSpPr>
      <cdr:spPr>
        <a:xfrm xmlns:a="http://schemas.openxmlformats.org/drawingml/2006/main">
          <a:off x="1494860" y="5249039"/>
          <a:ext cx="378515" cy="391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515" h="391514">
              <a:moveTo>
                <a:pt x="81424" y="307293"/>
              </a:moveTo>
              <a:lnTo>
                <a:pt x="0" y="391513"/>
              </a:lnTo>
              <a:lnTo>
                <a:pt x="0" y="391513"/>
              </a:lnTo>
              <a:lnTo>
                <a:pt x="81424" y="307293"/>
              </a:lnTo>
              <a:lnTo>
                <a:pt x="378514" y="0"/>
              </a:lnTo>
              <a:lnTo>
                <a:pt x="3785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0.7365</cdr:x>
      <cdr:y>0.21114</cdr:y>
    </cdr:from>
    <cdr:to>
      <cdr:x>0.78724</cdr:x>
      <cdr:y>0.26152</cdr:y>
    </cdr:to>
    <cdr:sp macro="" textlink="">
      <cdr:nvSpPr>
        <cdr:cNvPr id="323" name="FracNo 401 StartRow 3552">
          <a:extLst xmlns:a="http://schemas.openxmlformats.org/drawingml/2006/main">
            <a:ext uri="{FF2B5EF4-FFF2-40B4-BE49-F238E27FC236}">
              <a16:creationId xmlns:a16="http://schemas.microsoft.com/office/drawing/2014/main" id="{F408DFBC-3855-5C95-59DA-32C99B227881}"/>
            </a:ext>
          </a:extLst>
        </cdr:cNvPr>
        <cdr:cNvSpPr/>
      </cdr:nvSpPr>
      <cdr:spPr>
        <a:xfrm xmlns:a="http://schemas.openxmlformats.org/drawingml/2006/main">
          <a:off x="5387622" y="1608880"/>
          <a:ext cx="371171" cy="383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171" h="383917">
              <a:moveTo>
                <a:pt x="371170" y="0"/>
              </a:moveTo>
              <a:lnTo>
                <a:pt x="0" y="383916"/>
              </a:lnTo>
              <a:lnTo>
                <a:pt x="0" y="383916"/>
              </a:lnTo>
              <a:lnTo>
                <a:pt x="37117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0.14848</cdr:x>
      <cdr:y>0.73437</cdr:y>
    </cdr:from>
    <cdr:to>
      <cdr:x>0.19845</cdr:x>
      <cdr:y>0.78398</cdr:y>
    </cdr:to>
    <cdr:sp macro="" textlink="">
      <cdr:nvSpPr>
        <cdr:cNvPr id="324" name="FracNo 17 StartRow 3560">
          <a:extLst xmlns:a="http://schemas.openxmlformats.org/drawingml/2006/main">
            <a:ext uri="{FF2B5EF4-FFF2-40B4-BE49-F238E27FC236}">
              <a16:creationId xmlns:a16="http://schemas.microsoft.com/office/drawing/2014/main" id="{B757AB83-DCD3-2EE2-2E50-448C02F8BBBE}"/>
            </a:ext>
          </a:extLst>
        </cdr:cNvPr>
        <cdr:cNvSpPr/>
      </cdr:nvSpPr>
      <cdr:spPr>
        <a:xfrm xmlns:a="http://schemas.openxmlformats.org/drawingml/2006/main">
          <a:off x="1086152" y="5595874"/>
          <a:ext cx="365513" cy="378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513" h="378065">
              <a:moveTo>
                <a:pt x="97681" y="277029"/>
              </a:moveTo>
              <a:lnTo>
                <a:pt x="0" y="378064"/>
              </a:lnTo>
              <a:lnTo>
                <a:pt x="0" y="378064"/>
              </a:lnTo>
              <a:lnTo>
                <a:pt x="97681" y="277029"/>
              </a:lnTo>
              <a:lnTo>
                <a:pt x="365512" y="0"/>
              </a:lnTo>
              <a:lnTo>
                <a:pt x="3655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0.21693</cdr:x>
      <cdr:y>0.61543</cdr:y>
    </cdr:from>
    <cdr:to>
      <cdr:x>0.26668</cdr:x>
      <cdr:y>0.66484</cdr:y>
    </cdr:to>
    <cdr:sp macro="" textlink="">
      <cdr:nvSpPr>
        <cdr:cNvPr id="325" name="FracNo 658 StartRow 3569">
          <a:extLst xmlns:a="http://schemas.openxmlformats.org/drawingml/2006/main">
            <a:ext uri="{FF2B5EF4-FFF2-40B4-BE49-F238E27FC236}">
              <a16:creationId xmlns:a16="http://schemas.microsoft.com/office/drawing/2014/main" id="{51FAB060-20AE-A22A-C582-110CF90D5AD5}"/>
            </a:ext>
          </a:extLst>
        </cdr:cNvPr>
        <cdr:cNvSpPr/>
      </cdr:nvSpPr>
      <cdr:spPr>
        <a:xfrm xmlns:a="http://schemas.openxmlformats.org/drawingml/2006/main">
          <a:off x="1586892" y="4689603"/>
          <a:ext cx="363944" cy="3764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944" h="376443">
              <a:moveTo>
                <a:pt x="184150" y="185967"/>
              </a:moveTo>
              <a:lnTo>
                <a:pt x="120001" y="252319"/>
              </a:lnTo>
              <a:lnTo>
                <a:pt x="0" y="376442"/>
              </a:lnTo>
              <a:lnTo>
                <a:pt x="0" y="376442"/>
              </a:lnTo>
              <a:lnTo>
                <a:pt x="120001" y="252319"/>
              </a:lnTo>
              <a:lnTo>
                <a:pt x="184150" y="185967"/>
              </a:lnTo>
              <a:lnTo>
                <a:pt x="363943" y="0"/>
              </a:lnTo>
              <a:lnTo>
                <a:pt x="3639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0.89352</cdr:x>
      <cdr:y>0.82403</cdr:y>
    </cdr:from>
    <cdr:to>
      <cdr:x>0.94246</cdr:x>
      <cdr:y>0.87263</cdr:y>
    </cdr:to>
    <cdr:sp macro="" textlink="">
      <cdr:nvSpPr>
        <cdr:cNvPr id="326" name="FracNo 246 StartRow 3580">
          <a:extLst xmlns:a="http://schemas.openxmlformats.org/drawingml/2006/main">
            <a:ext uri="{FF2B5EF4-FFF2-40B4-BE49-F238E27FC236}">
              <a16:creationId xmlns:a16="http://schemas.microsoft.com/office/drawing/2014/main" id="{D96521B4-1A73-64A8-D177-8A2EAC320A26}"/>
            </a:ext>
          </a:extLst>
        </cdr:cNvPr>
        <cdr:cNvSpPr/>
      </cdr:nvSpPr>
      <cdr:spPr>
        <a:xfrm xmlns:a="http://schemas.openxmlformats.org/drawingml/2006/main">
          <a:off x="6536303" y="6279124"/>
          <a:ext cx="358005" cy="370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005" h="370300">
              <a:moveTo>
                <a:pt x="171007" y="193419"/>
              </a:moveTo>
              <a:lnTo>
                <a:pt x="0" y="370299"/>
              </a:lnTo>
              <a:lnTo>
                <a:pt x="0" y="370299"/>
              </a:lnTo>
              <a:lnTo>
                <a:pt x="171007" y="193419"/>
              </a:lnTo>
              <a:lnTo>
                <a:pt x="358004" y="0"/>
              </a:lnTo>
              <a:lnTo>
                <a:pt x="3580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0.30618</cdr:x>
      <cdr:y>0.17293</cdr:y>
    </cdr:from>
    <cdr:to>
      <cdr:x>0.3543</cdr:x>
      <cdr:y>0.22072</cdr:y>
    </cdr:to>
    <cdr:sp macro="" textlink="">
      <cdr:nvSpPr>
        <cdr:cNvPr id="327" name="FracNo 564 StartRow 3589">
          <a:extLst xmlns:a="http://schemas.openxmlformats.org/drawingml/2006/main">
            <a:ext uri="{FF2B5EF4-FFF2-40B4-BE49-F238E27FC236}">
              <a16:creationId xmlns:a16="http://schemas.microsoft.com/office/drawing/2014/main" id="{99473C22-D8A7-6D3E-958E-4FE6D101BF9F}"/>
            </a:ext>
          </a:extLst>
        </cdr:cNvPr>
        <cdr:cNvSpPr/>
      </cdr:nvSpPr>
      <cdr:spPr>
        <a:xfrm xmlns:a="http://schemas.openxmlformats.org/drawingml/2006/main">
          <a:off x="2239746" y="1317730"/>
          <a:ext cx="352034" cy="364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034" h="364124">
              <a:moveTo>
                <a:pt x="135165" y="224316"/>
              </a:moveTo>
              <a:lnTo>
                <a:pt x="0" y="364123"/>
              </a:lnTo>
              <a:lnTo>
                <a:pt x="0" y="364123"/>
              </a:lnTo>
              <a:lnTo>
                <a:pt x="135165" y="224316"/>
              </a:lnTo>
              <a:lnTo>
                <a:pt x="352033" y="0"/>
              </a:lnTo>
              <a:lnTo>
                <a:pt x="3520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0.33023</cdr:x>
      <cdr:y>0.11919</cdr:y>
    </cdr:from>
    <cdr:to>
      <cdr:x>0.37752</cdr:x>
      <cdr:y>0.16615</cdr:y>
    </cdr:to>
    <cdr:sp macro="" textlink="">
      <cdr:nvSpPr>
        <cdr:cNvPr id="328" name="FracNo 576 StartRow 3598">
          <a:extLst xmlns:a="http://schemas.openxmlformats.org/drawingml/2006/main">
            <a:ext uri="{FF2B5EF4-FFF2-40B4-BE49-F238E27FC236}">
              <a16:creationId xmlns:a16="http://schemas.microsoft.com/office/drawing/2014/main" id="{6F5B3463-F2D8-2A97-DA9A-8E04F18274D1}"/>
            </a:ext>
          </a:extLst>
        </cdr:cNvPr>
        <cdr:cNvSpPr/>
      </cdr:nvSpPr>
      <cdr:spPr>
        <a:xfrm xmlns:a="http://schemas.openxmlformats.org/drawingml/2006/main">
          <a:off x="2415709" y="908257"/>
          <a:ext cx="345944" cy="3578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944" h="357824">
              <a:moveTo>
                <a:pt x="0" y="357823"/>
              </a:moveTo>
              <a:lnTo>
                <a:pt x="0" y="357823"/>
              </a:lnTo>
              <a:lnTo>
                <a:pt x="330177" y="16307"/>
              </a:lnTo>
              <a:lnTo>
                <a:pt x="345943" y="0"/>
              </a:lnTo>
              <a:lnTo>
                <a:pt x="345943" y="0"/>
              </a:lnTo>
              <a:lnTo>
                <a:pt x="330177" y="163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0.18659</cdr:x>
      <cdr:y>0.21255</cdr:y>
    </cdr:from>
    <cdr:to>
      <cdr:x>0.23363</cdr:x>
      <cdr:y>0.25926</cdr:y>
    </cdr:to>
    <cdr:sp macro="" textlink="">
      <cdr:nvSpPr>
        <cdr:cNvPr id="329" name="FracNo 577 StartRow 3607">
          <a:extLst xmlns:a="http://schemas.openxmlformats.org/drawingml/2006/main">
            <a:ext uri="{FF2B5EF4-FFF2-40B4-BE49-F238E27FC236}">
              <a16:creationId xmlns:a16="http://schemas.microsoft.com/office/drawing/2014/main" id="{5F7E362B-85F0-B76D-CBBF-1CDED0BBDDAA}"/>
            </a:ext>
          </a:extLst>
        </cdr:cNvPr>
        <cdr:cNvSpPr/>
      </cdr:nvSpPr>
      <cdr:spPr>
        <a:xfrm xmlns:a="http://schemas.openxmlformats.org/drawingml/2006/main">
          <a:off x="1364977" y="1619618"/>
          <a:ext cx="344108" cy="3559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108" h="355926">
              <a:moveTo>
                <a:pt x="128883" y="222615"/>
              </a:moveTo>
              <a:lnTo>
                <a:pt x="0" y="355925"/>
              </a:lnTo>
              <a:lnTo>
                <a:pt x="0" y="355925"/>
              </a:lnTo>
              <a:lnTo>
                <a:pt x="128883" y="222615"/>
              </a:lnTo>
              <a:lnTo>
                <a:pt x="344107" y="0"/>
              </a:lnTo>
              <a:lnTo>
                <a:pt x="3441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0.74099</cdr:x>
      <cdr:y>0.19227</cdr:y>
    </cdr:from>
    <cdr:to>
      <cdr:x>0.79021</cdr:x>
      <cdr:y>0.24115</cdr:y>
    </cdr:to>
    <cdr:sp macro="" textlink="">
      <cdr:nvSpPr>
        <cdr:cNvPr id="330" name="FracNo 422 StartRow 3616">
          <a:extLst xmlns:a="http://schemas.openxmlformats.org/drawingml/2006/main">
            <a:ext uri="{FF2B5EF4-FFF2-40B4-BE49-F238E27FC236}">
              <a16:creationId xmlns:a16="http://schemas.microsoft.com/office/drawing/2014/main" id="{C83FA6D4-6781-4B21-CB41-FB1B920C1BD9}"/>
            </a:ext>
          </a:extLst>
        </cdr:cNvPr>
        <cdr:cNvSpPr/>
      </cdr:nvSpPr>
      <cdr:spPr>
        <a:xfrm xmlns:a="http://schemas.openxmlformats.org/drawingml/2006/main">
          <a:off x="5420484" y="1465081"/>
          <a:ext cx="360079" cy="3724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079" h="372444">
              <a:moveTo>
                <a:pt x="236189" y="146896"/>
              </a:moveTo>
              <a:lnTo>
                <a:pt x="18129" y="372443"/>
              </a:lnTo>
              <a:lnTo>
                <a:pt x="0" y="353691"/>
              </a:lnTo>
              <a:lnTo>
                <a:pt x="218059" y="128144"/>
              </a:lnTo>
              <a:lnTo>
                <a:pt x="341948" y="0"/>
              </a:lnTo>
              <a:lnTo>
                <a:pt x="3600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0.43052</cdr:x>
      <cdr:y>0.88308</cdr:y>
    </cdr:from>
    <cdr:to>
      <cdr:x>0.48035</cdr:x>
      <cdr:y>0.9301</cdr:y>
    </cdr:to>
    <cdr:sp macro="" textlink="">
      <cdr:nvSpPr>
        <cdr:cNvPr id="331" name="FracNo 520 StartRow 3625">
          <a:extLst xmlns:a="http://schemas.openxmlformats.org/drawingml/2006/main">
            <a:ext uri="{FF2B5EF4-FFF2-40B4-BE49-F238E27FC236}">
              <a16:creationId xmlns:a16="http://schemas.microsoft.com/office/drawing/2014/main" id="{096CA3BC-0B25-6F96-CC2E-311F5CB607F9}"/>
            </a:ext>
          </a:extLst>
        </cdr:cNvPr>
        <cdr:cNvSpPr/>
      </cdr:nvSpPr>
      <cdr:spPr>
        <a:xfrm xmlns:a="http://schemas.openxmlformats.org/drawingml/2006/main">
          <a:off x="3149310" y="6729085"/>
          <a:ext cx="364515" cy="358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515" h="358281">
              <a:moveTo>
                <a:pt x="278319" y="70404"/>
              </a:moveTo>
              <a:lnTo>
                <a:pt x="0" y="358280"/>
              </a:lnTo>
              <a:lnTo>
                <a:pt x="36259" y="358280"/>
              </a:lnTo>
              <a:lnTo>
                <a:pt x="300010" y="85470"/>
              </a:lnTo>
              <a:lnTo>
                <a:pt x="364514" y="18753"/>
              </a:lnTo>
              <a:lnTo>
                <a:pt x="3463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0.61144</cdr:x>
      <cdr:y>0.8843</cdr:y>
    </cdr:from>
    <cdr:to>
      <cdr:x>0.66005</cdr:x>
      <cdr:y>0.9301</cdr:y>
    </cdr:to>
    <cdr:sp macro="" textlink="">
      <cdr:nvSpPr>
        <cdr:cNvPr id="332" name="FracNo 519 StartRow 3634">
          <a:extLst xmlns:a="http://schemas.openxmlformats.org/drawingml/2006/main">
            <a:ext uri="{FF2B5EF4-FFF2-40B4-BE49-F238E27FC236}">
              <a16:creationId xmlns:a16="http://schemas.microsoft.com/office/drawing/2014/main" id="{8A901433-51A7-C2ED-B1D2-91BEDC9F2ECA}"/>
            </a:ext>
          </a:extLst>
        </cdr:cNvPr>
        <cdr:cNvSpPr/>
      </cdr:nvSpPr>
      <cdr:spPr>
        <a:xfrm xmlns:a="http://schemas.openxmlformats.org/drawingml/2006/main">
          <a:off x="4472825" y="6738369"/>
          <a:ext cx="355539" cy="348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5539" h="348997">
              <a:moveTo>
                <a:pt x="301370" y="74779"/>
              </a:moveTo>
              <a:lnTo>
                <a:pt x="36258" y="348996"/>
              </a:lnTo>
              <a:lnTo>
                <a:pt x="0" y="348996"/>
              </a:lnTo>
              <a:lnTo>
                <a:pt x="280165" y="59209"/>
              </a:lnTo>
              <a:lnTo>
                <a:pt x="337409" y="0"/>
              </a:lnTo>
              <a:lnTo>
                <a:pt x="3555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0.47285</cdr:x>
      <cdr:y>0.08544</cdr:y>
    </cdr:from>
    <cdr:to>
      <cdr:x>0.51715</cdr:x>
      <cdr:y>0.12942</cdr:y>
    </cdr:to>
    <cdr:sp macro="" textlink="">
      <cdr:nvSpPr>
        <cdr:cNvPr id="333" name="FracNo 326 StartRow 3643">
          <a:extLst xmlns:a="http://schemas.openxmlformats.org/drawingml/2006/main">
            <a:ext uri="{FF2B5EF4-FFF2-40B4-BE49-F238E27FC236}">
              <a16:creationId xmlns:a16="http://schemas.microsoft.com/office/drawing/2014/main" id="{5D8B3FBA-08E1-FE99-65D2-D5D4F6296E13}"/>
            </a:ext>
          </a:extLst>
        </cdr:cNvPr>
        <cdr:cNvSpPr/>
      </cdr:nvSpPr>
      <cdr:spPr>
        <a:xfrm xmlns:a="http://schemas.openxmlformats.org/drawingml/2006/main">
          <a:off x="3458993" y="651036"/>
          <a:ext cx="324047" cy="3351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047" h="335175">
              <a:moveTo>
                <a:pt x="304376" y="20345"/>
              </a:moveTo>
              <a:lnTo>
                <a:pt x="0" y="335174"/>
              </a:lnTo>
              <a:lnTo>
                <a:pt x="0" y="335174"/>
              </a:lnTo>
              <a:lnTo>
                <a:pt x="304376" y="20345"/>
              </a:lnTo>
              <a:lnTo>
                <a:pt x="324046" y="0"/>
              </a:lnTo>
              <a:lnTo>
                <a:pt x="3240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0.71577</cdr:y>
    </cdr:from>
    <cdr:to>
      <cdr:x>0.13719</cdr:x>
      <cdr:y>0.76328</cdr:y>
    </cdr:to>
    <cdr:sp macro="" textlink="">
      <cdr:nvSpPr>
        <cdr:cNvPr id="334" name="FracNo 37 StartRow 3652">
          <a:extLst xmlns:a="http://schemas.openxmlformats.org/drawingml/2006/main">
            <a:ext uri="{FF2B5EF4-FFF2-40B4-BE49-F238E27FC236}">
              <a16:creationId xmlns:a16="http://schemas.microsoft.com/office/drawing/2014/main" id="{5FD6C9D4-26FE-CDA0-9102-90AB085B192B}"/>
            </a:ext>
          </a:extLst>
        </cdr:cNvPr>
        <cdr:cNvSpPr/>
      </cdr:nvSpPr>
      <cdr:spPr>
        <a:xfrm xmlns:a="http://schemas.openxmlformats.org/drawingml/2006/main">
          <a:off x="671676" y="5454188"/>
          <a:ext cx="331879" cy="362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879" h="362028">
              <a:moveTo>
                <a:pt x="48148" y="274722"/>
              </a:moveTo>
              <a:lnTo>
                <a:pt x="0" y="324523"/>
              </a:lnTo>
              <a:lnTo>
                <a:pt x="0" y="362027"/>
              </a:lnTo>
              <a:lnTo>
                <a:pt x="50930" y="309348"/>
              </a:lnTo>
              <a:lnTo>
                <a:pt x="331878" y="18752"/>
              </a:lnTo>
              <a:lnTo>
                <a:pt x="313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0.4503</cdr:x>
      <cdr:y>0.88828</cdr:y>
    </cdr:from>
    <cdr:to>
      <cdr:x>0.49242</cdr:x>
      <cdr:y>0.9301</cdr:y>
    </cdr:to>
    <cdr:sp macro="" textlink="">
      <cdr:nvSpPr>
        <cdr:cNvPr id="335" name="FracNo 491 StartRow 3661">
          <a:extLst xmlns:a="http://schemas.openxmlformats.org/drawingml/2006/main">
            <a:ext uri="{FF2B5EF4-FFF2-40B4-BE49-F238E27FC236}">
              <a16:creationId xmlns:a16="http://schemas.microsoft.com/office/drawing/2014/main" id="{CC48245A-D364-B7DF-3393-2265F6B8DA3C}"/>
            </a:ext>
          </a:extLst>
        </cdr:cNvPr>
        <cdr:cNvSpPr/>
      </cdr:nvSpPr>
      <cdr:spPr>
        <a:xfrm xmlns:a="http://schemas.openxmlformats.org/drawingml/2006/main">
          <a:off x="3294040" y="6768680"/>
          <a:ext cx="308105" cy="318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105" h="318686">
              <a:moveTo>
                <a:pt x="308104" y="0"/>
              </a:moveTo>
              <a:lnTo>
                <a:pt x="0" y="318685"/>
              </a:lnTo>
              <a:lnTo>
                <a:pt x="0" y="318685"/>
              </a:lnTo>
              <a:lnTo>
                <a:pt x="30810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0.29053</cdr:x>
      <cdr:y>0.42984</cdr:y>
    </cdr:from>
    <cdr:to>
      <cdr:x>0.33184</cdr:x>
      <cdr:y>0.47085</cdr:y>
    </cdr:to>
    <cdr:sp macro="" textlink="">
      <cdr:nvSpPr>
        <cdr:cNvPr id="336" name="FracNo 653 StartRow 3669">
          <a:extLst xmlns:a="http://schemas.openxmlformats.org/drawingml/2006/main">
            <a:ext uri="{FF2B5EF4-FFF2-40B4-BE49-F238E27FC236}">
              <a16:creationId xmlns:a16="http://schemas.microsoft.com/office/drawing/2014/main" id="{C3C44B99-F41D-67DB-5E78-6A87A767FE89}"/>
            </a:ext>
          </a:extLst>
        </cdr:cNvPr>
        <cdr:cNvSpPr/>
      </cdr:nvSpPr>
      <cdr:spPr>
        <a:xfrm xmlns:a="http://schemas.openxmlformats.org/drawingml/2006/main">
          <a:off x="2125291" y="3275366"/>
          <a:ext cx="302170" cy="312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170" h="312547">
              <a:moveTo>
                <a:pt x="302169" y="0"/>
              </a:moveTo>
              <a:lnTo>
                <a:pt x="0" y="312546"/>
              </a:lnTo>
              <a:lnTo>
                <a:pt x="0" y="312546"/>
              </a:lnTo>
              <a:lnTo>
                <a:pt x="30216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0.35333</cdr:y>
    </cdr:from>
    <cdr:to>
      <cdr:x>0.13296</cdr:x>
      <cdr:y>0.39419</cdr:y>
    </cdr:to>
    <cdr:sp macro="" textlink="">
      <cdr:nvSpPr>
        <cdr:cNvPr id="337" name="FracNo 563 StartRow 3677">
          <a:extLst xmlns:a="http://schemas.openxmlformats.org/drawingml/2006/main">
            <a:ext uri="{FF2B5EF4-FFF2-40B4-BE49-F238E27FC236}">
              <a16:creationId xmlns:a16="http://schemas.microsoft.com/office/drawing/2014/main" id="{9602534A-5C8C-725A-6762-22196008718E}"/>
            </a:ext>
          </a:extLst>
        </cdr:cNvPr>
        <cdr:cNvSpPr/>
      </cdr:nvSpPr>
      <cdr:spPr>
        <a:xfrm xmlns:a="http://schemas.openxmlformats.org/drawingml/2006/main">
          <a:off x="671676" y="2692408"/>
          <a:ext cx="300955" cy="311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955" h="311290">
              <a:moveTo>
                <a:pt x="300954" y="0"/>
              </a:moveTo>
              <a:lnTo>
                <a:pt x="200338" y="104071"/>
              </a:lnTo>
              <a:lnTo>
                <a:pt x="0" y="311289"/>
              </a:lnTo>
              <a:lnTo>
                <a:pt x="0" y="311289"/>
              </a:lnTo>
              <a:lnTo>
                <a:pt x="200338" y="104071"/>
              </a:lnTo>
              <a:lnTo>
                <a:pt x="30095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0.33998</cdr:x>
      <cdr:y>0.88945</cdr:y>
    </cdr:from>
    <cdr:to>
      <cdr:x>0.38092</cdr:x>
      <cdr:y>0.9301</cdr:y>
    </cdr:to>
    <cdr:sp macro="" textlink="">
      <cdr:nvSpPr>
        <cdr:cNvPr id="338" name="FracNo 484 StartRow 3687">
          <a:extLst xmlns:a="http://schemas.openxmlformats.org/drawingml/2006/main">
            <a:ext uri="{FF2B5EF4-FFF2-40B4-BE49-F238E27FC236}">
              <a16:creationId xmlns:a16="http://schemas.microsoft.com/office/drawing/2014/main" id="{1C837501-EFA3-8CAB-75F6-883685D43467}"/>
            </a:ext>
          </a:extLst>
        </cdr:cNvPr>
        <cdr:cNvSpPr/>
      </cdr:nvSpPr>
      <cdr:spPr>
        <a:xfrm xmlns:a="http://schemas.openxmlformats.org/drawingml/2006/main">
          <a:off x="2487021" y="6777584"/>
          <a:ext cx="299497" cy="309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497" h="309782">
              <a:moveTo>
                <a:pt x="299496" y="0"/>
              </a:moveTo>
              <a:lnTo>
                <a:pt x="258865" y="42025"/>
              </a:lnTo>
              <a:lnTo>
                <a:pt x="0" y="309781"/>
              </a:lnTo>
              <a:lnTo>
                <a:pt x="0" y="309781"/>
              </a:lnTo>
              <a:lnTo>
                <a:pt x="258865" y="42025"/>
              </a:lnTo>
              <a:lnTo>
                <a:pt x="29949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0.33746</cdr:x>
      <cdr:y>0.3396</cdr:y>
    </cdr:from>
    <cdr:to>
      <cdr:x>0.37743</cdr:x>
      <cdr:y>0.37928</cdr:y>
    </cdr:to>
    <cdr:sp macro="" textlink="">
      <cdr:nvSpPr>
        <cdr:cNvPr id="339" name="FracNo 648 StartRow 3697">
          <a:extLst xmlns:a="http://schemas.openxmlformats.org/drawingml/2006/main">
            <a:ext uri="{FF2B5EF4-FFF2-40B4-BE49-F238E27FC236}">
              <a16:creationId xmlns:a16="http://schemas.microsoft.com/office/drawing/2014/main" id="{1AA74465-5BD8-954D-D00E-813EA016D815}"/>
            </a:ext>
          </a:extLst>
        </cdr:cNvPr>
        <cdr:cNvSpPr/>
      </cdr:nvSpPr>
      <cdr:spPr>
        <a:xfrm xmlns:a="http://schemas.openxmlformats.org/drawingml/2006/main">
          <a:off x="2468623" y="2587763"/>
          <a:ext cx="292333" cy="302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333" h="302373">
              <a:moveTo>
                <a:pt x="0" y="302372"/>
              </a:moveTo>
              <a:lnTo>
                <a:pt x="0" y="302372"/>
              </a:lnTo>
              <a:lnTo>
                <a:pt x="90545" y="208716"/>
              </a:lnTo>
              <a:lnTo>
                <a:pt x="277263" y="15586"/>
              </a:lnTo>
              <a:lnTo>
                <a:pt x="292332" y="0"/>
              </a:lnTo>
              <a:lnTo>
                <a:pt x="292332" y="0"/>
              </a:lnTo>
              <a:lnTo>
                <a:pt x="277263" y="15586"/>
              </a:lnTo>
              <a:lnTo>
                <a:pt x="90545" y="2087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0.65563</cdr:x>
      <cdr:y>0.76247</cdr:y>
    </cdr:from>
    <cdr:to>
      <cdr:x>0.69559</cdr:x>
      <cdr:y>0.80215</cdr:y>
    </cdr:to>
    <cdr:sp macro="" textlink="">
      <cdr:nvSpPr>
        <cdr:cNvPr id="340" name="FracNo 258 StartRow 3708">
          <a:extLst xmlns:a="http://schemas.openxmlformats.org/drawingml/2006/main">
            <a:ext uri="{FF2B5EF4-FFF2-40B4-BE49-F238E27FC236}">
              <a16:creationId xmlns:a16="http://schemas.microsoft.com/office/drawing/2014/main" id="{CD912569-A39F-E2CE-C10E-634F5AE61686}"/>
            </a:ext>
          </a:extLst>
        </cdr:cNvPr>
        <cdr:cNvSpPr/>
      </cdr:nvSpPr>
      <cdr:spPr>
        <a:xfrm xmlns:a="http://schemas.openxmlformats.org/drawingml/2006/main">
          <a:off x="4796059" y="5810003"/>
          <a:ext cx="292333" cy="302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333" h="302373">
              <a:moveTo>
                <a:pt x="292332" y="0"/>
              </a:moveTo>
              <a:lnTo>
                <a:pt x="24038" y="277508"/>
              </a:lnTo>
              <a:lnTo>
                <a:pt x="0" y="302372"/>
              </a:lnTo>
              <a:lnTo>
                <a:pt x="0" y="302372"/>
              </a:lnTo>
              <a:lnTo>
                <a:pt x="24038" y="277508"/>
              </a:lnTo>
              <a:lnTo>
                <a:pt x="29233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0.4276</cdr:x>
      <cdr:y>0.12418</cdr:y>
    </cdr:from>
    <cdr:to>
      <cdr:x>0.46757</cdr:x>
      <cdr:y>0.16386</cdr:y>
    </cdr:to>
    <cdr:sp macro="" textlink="">
      <cdr:nvSpPr>
        <cdr:cNvPr id="341" name="FracNo 329 StartRow 3718">
          <a:extLst xmlns:a="http://schemas.openxmlformats.org/drawingml/2006/main">
            <a:ext uri="{FF2B5EF4-FFF2-40B4-BE49-F238E27FC236}">
              <a16:creationId xmlns:a16="http://schemas.microsoft.com/office/drawing/2014/main" id="{529EA150-77DA-AE28-55D2-5D1B265E1216}"/>
            </a:ext>
          </a:extLst>
        </cdr:cNvPr>
        <cdr:cNvSpPr/>
      </cdr:nvSpPr>
      <cdr:spPr>
        <a:xfrm xmlns:a="http://schemas.openxmlformats.org/drawingml/2006/main">
          <a:off x="3128001" y="946224"/>
          <a:ext cx="292334" cy="302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334" h="302373">
              <a:moveTo>
                <a:pt x="0" y="302372"/>
              </a:moveTo>
              <a:lnTo>
                <a:pt x="0" y="302372"/>
              </a:lnTo>
              <a:lnTo>
                <a:pt x="292333" y="0"/>
              </a:lnTo>
              <a:lnTo>
                <a:pt x="2923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0.26035</cdr:x>
      <cdr:y>0.6534</cdr:y>
    </cdr:from>
    <cdr:to>
      <cdr:x>0.30032</cdr:x>
      <cdr:y>0.69308</cdr:y>
    </cdr:to>
    <cdr:sp macro="" textlink="">
      <cdr:nvSpPr>
        <cdr:cNvPr id="342" name="FracNo 12 StartRow 3725">
          <a:extLst xmlns:a="http://schemas.openxmlformats.org/drawingml/2006/main">
            <a:ext uri="{FF2B5EF4-FFF2-40B4-BE49-F238E27FC236}">
              <a16:creationId xmlns:a16="http://schemas.microsoft.com/office/drawing/2014/main" id="{A3A74EB4-28FD-06F6-6B34-F5319A0A7E28}"/>
            </a:ext>
          </a:extLst>
        </cdr:cNvPr>
        <cdr:cNvSpPr/>
      </cdr:nvSpPr>
      <cdr:spPr>
        <a:xfrm xmlns:a="http://schemas.openxmlformats.org/drawingml/2006/main">
          <a:off x="1904546" y="4978910"/>
          <a:ext cx="292334" cy="302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334" h="302373">
              <a:moveTo>
                <a:pt x="292333" y="0"/>
              </a:moveTo>
              <a:lnTo>
                <a:pt x="0" y="302372"/>
              </a:lnTo>
              <a:lnTo>
                <a:pt x="0" y="302372"/>
              </a:lnTo>
              <a:lnTo>
                <a:pt x="29233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0.61361</cdr:x>
      <cdr:y>0.54322</cdr:y>
    </cdr:from>
    <cdr:to>
      <cdr:x>0.65274</cdr:x>
      <cdr:y>0.58208</cdr:y>
    </cdr:to>
    <cdr:sp macro="" textlink="">
      <cdr:nvSpPr>
        <cdr:cNvPr id="343" name="FracNo 754 StartRow 3733">
          <a:extLst xmlns:a="http://schemas.openxmlformats.org/drawingml/2006/main">
            <a:ext uri="{FF2B5EF4-FFF2-40B4-BE49-F238E27FC236}">
              <a16:creationId xmlns:a16="http://schemas.microsoft.com/office/drawing/2014/main" id="{E66A39F5-189B-1BED-C294-B23DE0C37170}"/>
            </a:ext>
          </a:extLst>
        </cdr:cNvPr>
        <cdr:cNvSpPr/>
      </cdr:nvSpPr>
      <cdr:spPr>
        <a:xfrm xmlns:a="http://schemas.openxmlformats.org/drawingml/2006/main">
          <a:off x="4488680" y="4139371"/>
          <a:ext cx="286227" cy="296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227" h="296057">
              <a:moveTo>
                <a:pt x="273096" y="13581"/>
              </a:moveTo>
              <a:lnTo>
                <a:pt x="0" y="296056"/>
              </a:lnTo>
              <a:lnTo>
                <a:pt x="0" y="296056"/>
              </a:lnTo>
              <a:lnTo>
                <a:pt x="273096" y="13581"/>
              </a:lnTo>
              <a:lnTo>
                <a:pt x="286226" y="0"/>
              </a:lnTo>
              <a:lnTo>
                <a:pt x="2862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0.17281</cdr:x>
      <cdr:y>0.20924</cdr:y>
    </cdr:from>
    <cdr:to>
      <cdr:x>0.21067</cdr:x>
      <cdr:y>0.24683</cdr:y>
    </cdr:to>
    <cdr:sp macro="" textlink="">
      <cdr:nvSpPr>
        <cdr:cNvPr id="344" name="FracNo 565 StartRow 3742">
          <a:extLst xmlns:a="http://schemas.openxmlformats.org/drawingml/2006/main">
            <a:ext uri="{FF2B5EF4-FFF2-40B4-BE49-F238E27FC236}">
              <a16:creationId xmlns:a16="http://schemas.microsoft.com/office/drawing/2014/main" id="{1D7C7785-7B58-C4A4-A32C-E3950440B6E1}"/>
            </a:ext>
          </a:extLst>
        </cdr:cNvPr>
        <cdr:cNvSpPr/>
      </cdr:nvSpPr>
      <cdr:spPr>
        <a:xfrm xmlns:a="http://schemas.openxmlformats.org/drawingml/2006/main">
          <a:off x="1264133" y="1594398"/>
          <a:ext cx="276937" cy="2864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937" h="286448">
              <a:moveTo>
                <a:pt x="276936" y="0"/>
              </a:moveTo>
              <a:lnTo>
                <a:pt x="0" y="286447"/>
              </a:lnTo>
              <a:lnTo>
                <a:pt x="0" y="286447"/>
              </a:lnTo>
              <a:lnTo>
                <a:pt x="27693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0.16381</cdr:x>
      <cdr:y>0.61564</cdr:y>
    </cdr:from>
    <cdr:to>
      <cdr:x>0.20164</cdr:x>
      <cdr:y>0.6532</cdr:y>
    </cdr:to>
    <cdr:sp macro="" textlink="">
      <cdr:nvSpPr>
        <cdr:cNvPr id="345" name="FracNo 647 StartRow 3750">
          <a:extLst xmlns:a="http://schemas.openxmlformats.org/drawingml/2006/main">
            <a:ext uri="{FF2B5EF4-FFF2-40B4-BE49-F238E27FC236}">
              <a16:creationId xmlns:a16="http://schemas.microsoft.com/office/drawing/2014/main" id="{7D652727-0E85-A086-DCCB-3B0517FD0FFF}"/>
            </a:ext>
          </a:extLst>
        </cdr:cNvPr>
        <cdr:cNvSpPr/>
      </cdr:nvSpPr>
      <cdr:spPr>
        <a:xfrm xmlns:a="http://schemas.openxmlformats.org/drawingml/2006/main">
          <a:off x="1198326" y="4691157"/>
          <a:ext cx="276707" cy="286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707" h="286210">
              <a:moveTo>
                <a:pt x="215224" y="63594"/>
              </a:moveTo>
              <a:lnTo>
                <a:pt x="34267" y="250765"/>
              </a:lnTo>
              <a:lnTo>
                <a:pt x="0" y="286209"/>
              </a:lnTo>
              <a:lnTo>
                <a:pt x="0" y="286209"/>
              </a:lnTo>
              <a:lnTo>
                <a:pt x="34267" y="250765"/>
              </a:lnTo>
              <a:lnTo>
                <a:pt x="215224" y="63594"/>
              </a:lnTo>
              <a:lnTo>
                <a:pt x="276706" y="0"/>
              </a:lnTo>
              <a:lnTo>
                <a:pt x="2767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0.90485</cdr:x>
      <cdr:y>0.72514</cdr:y>
    </cdr:from>
    <cdr:to>
      <cdr:x>0.94246</cdr:x>
      <cdr:y>0.76249</cdr:y>
    </cdr:to>
    <cdr:sp macro="" textlink="">
      <cdr:nvSpPr>
        <cdr:cNvPr id="346" name="FracNo 260 StartRow 3761">
          <a:extLst xmlns:a="http://schemas.openxmlformats.org/drawingml/2006/main">
            <a:ext uri="{FF2B5EF4-FFF2-40B4-BE49-F238E27FC236}">
              <a16:creationId xmlns:a16="http://schemas.microsoft.com/office/drawing/2014/main" id="{A8C862B4-F952-CABF-26D4-4E60BAFB49BB}"/>
            </a:ext>
          </a:extLst>
        </cdr:cNvPr>
        <cdr:cNvSpPr/>
      </cdr:nvSpPr>
      <cdr:spPr>
        <a:xfrm xmlns:a="http://schemas.openxmlformats.org/drawingml/2006/main">
          <a:off x="6619129" y="5525564"/>
          <a:ext cx="275179" cy="284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179" h="284629">
              <a:moveTo>
                <a:pt x="0" y="284628"/>
              </a:moveTo>
              <a:lnTo>
                <a:pt x="0" y="284628"/>
              </a:lnTo>
              <a:lnTo>
                <a:pt x="275178" y="0"/>
              </a:lnTo>
              <a:lnTo>
                <a:pt x="2751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0.34836</cdr:y>
    </cdr:from>
    <cdr:to>
      <cdr:x>0.13043</cdr:x>
      <cdr:y>0.38915</cdr:y>
    </cdr:to>
    <cdr:sp macro="" textlink="">
      <cdr:nvSpPr>
        <cdr:cNvPr id="347" name="FracNo 738 StartRow 3768">
          <a:extLst xmlns:a="http://schemas.openxmlformats.org/drawingml/2006/main">
            <a:ext uri="{FF2B5EF4-FFF2-40B4-BE49-F238E27FC236}">
              <a16:creationId xmlns:a16="http://schemas.microsoft.com/office/drawing/2014/main" id="{F3023716-13FE-C503-2DFC-0F0BBB3EDE54}"/>
            </a:ext>
          </a:extLst>
        </cdr:cNvPr>
        <cdr:cNvSpPr/>
      </cdr:nvSpPr>
      <cdr:spPr>
        <a:xfrm xmlns:a="http://schemas.openxmlformats.org/drawingml/2006/main">
          <a:off x="671676" y="2654483"/>
          <a:ext cx="282419" cy="310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419" h="310870">
              <a:moveTo>
                <a:pt x="226483" y="76608"/>
              </a:moveTo>
              <a:lnTo>
                <a:pt x="151152" y="154526"/>
              </a:lnTo>
              <a:lnTo>
                <a:pt x="0" y="310869"/>
              </a:lnTo>
              <a:lnTo>
                <a:pt x="0" y="273365"/>
              </a:lnTo>
              <a:lnTo>
                <a:pt x="139122" y="129466"/>
              </a:lnTo>
              <a:lnTo>
                <a:pt x="210953" y="55168"/>
              </a:lnTo>
              <a:lnTo>
                <a:pt x="264289" y="0"/>
              </a:lnTo>
              <a:lnTo>
                <a:pt x="2824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0.44582</cdr:x>
      <cdr:y>0.63964</cdr:y>
    </cdr:from>
    <cdr:to>
      <cdr:x>0.4803</cdr:x>
      <cdr:y>0.67388</cdr:y>
    </cdr:to>
    <cdr:sp macro="" textlink="">
      <cdr:nvSpPr>
        <cdr:cNvPr id="348" name="FracNo 82 StartRow 3779">
          <a:extLst xmlns:a="http://schemas.openxmlformats.org/drawingml/2006/main">
            <a:ext uri="{FF2B5EF4-FFF2-40B4-BE49-F238E27FC236}">
              <a16:creationId xmlns:a16="http://schemas.microsoft.com/office/drawing/2014/main" id="{83860B57-CA94-DD1E-BD80-CD00C1AFEC83}"/>
            </a:ext>
          </a:extLst>
        </cdr:cNvPr>
        <cdr:cNvSpPr/>
      </cdr:nvSpPr>
      <cdr:spPr>
        <a:xfrm xmlns:a="http://schemas.openxmlformats.org/drawingml/2006/main">
          <a:off x="3261229" y="4874044"/>
          <a:ext cx="252271" cy="260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271" h="260936">
              <a:moveTo>
                <a:pt x="252270" y="0"/>
              </a:moveTo>
              <a:lnTo>
                <a:pt x="186646" y="67878"/>
              </a:lnTo>
              <a:lnTo>
                <a:pt x="0" y="260935"/>
              </a:lnTo>
              <a:lnTo>
                <a:pt x="0" y="260935"/>
              </a:lnTo>
              <a:lnTo>
                <a:pt x="186646" y="67878"/>
              </a:lnTo>
              <a:lnTo>
                <a:pt x="25227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0.22751</cdr:x>
      <cdr:y>0.17246</cdr:y>
    </cdr:from>
    <cdr:to>
      <cdr:x>0.26177</cdr:x>
      <cdr:y>0.20647</cdr:y>
    </cdr:to>
    <cdr:sp macro="" textlink="">
      <cdr:nvSpPr>
        <cdr:cNvPr id="349" name="FracNo 580 StartRow 3789">
          <a:extLst xmlns:a="http://schemas.openxmlformats.org/drawingml/2006/main">
            <a:ext uri="{FF2B5EF4-FFF2-40B4-BE49-F238E27FC236}">
              <a16:creationId xmlns:a16="http://schemas.microsoft.com/office/drawing/2014/main" id="{BEE61CC0-6E2F-987E-6CE6-6CBF8D329E19}"/>
            </a:ext>
          </a:extLst>
        </cdr:cNvPr>
        <cdr:cNvSpPr/>
      </cdr:nvSpPr>
      <cdr:spPr>
        <a:xfrm xmlns:a="http://schemas.openxmlformats.org/drawingml/2006/main">
          <a:off x="1664306" y="1314134"/>
          <a:ext cx="250565" cy="259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0565" h="259170">
              <a:moveTo>
                <a:pt x="250564" y="0"/>
              </a:moveTo>
              <a:lnTo>
                <a:pt x="0" y="259169"/>
              </a:lnTo>
              <a:lnTo>
                <a:pt x="0" y="259169"/>
              </a:lnTo>
              <a:lnTo>
                <a:pt x="25056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0.28969</cdr:x>
      <cdr:y>0.10721</cdr:y>
    </cdr:from>
    <cdr:to>
      <cdr:x>0.32566</cdr:x>
      <cdr:y>0.14293</cdr:y>
    </cdr:to>
    <cdr:sp macro="" textlink="">
      <cdr:nvSpPr>
        <cdr:cNvPr id="350" name="FracNo 599 StartRow 3797">
          <a:extLst xmlns:a="http://schemas.openxmlformats.org/drawingml/2006/main">
            <a:ext uri="{FF2B5EF4-FFF2-40B4-BE49-F238E27FC236}">
              <a16:creationId xmlns:a16="http://schemas.microsoft.com/office/drawing/2014/main" id="{86EEBC89-0CB0-4F67-CB23-4B9C9CD3579E}"/>
            </a:ext>
          </a:extLst>
        </cdr:cNvPr>
        <cdr:cNvSpPr/>
      </cdr:nvSpPr>
      <cdr:spPr>
        <a:xfrm xmlns:a="http://schemas.openxmlformats.org/drawingml/2006/main">
          <a:off x="2119161" y="816950"/>
          <a:ext cx="263131" cy="272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131" h="272168">
              <a:moveTo>
                <a:pt x="139240" y="146895"/>
              </a:moveTo>
              <a:lnTo>
                <a:pt x="18129" y="272167"/>
              </a:lnTo>
              <a:lnTo>
                <a:pt x="0" y="253415"/>
              </a:lnTo>
              <a:lnTo>
                <a:pt x="121111" y="128144"/>
              </a:lnTo>
              <a:lnTo>
                <a:pt x="245001" y="0"/>
              </a:lnTo>
              <a:lnTo>
                <a:pt x="2631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0.79308</cdr:x>
      <cdr:y>0.88453</cdr:y>
    </cdr:from>
    <cdr:to>
      <cdr:x>0.82555</cdr:x>
      <cdr:y>0.91677</cdr:y>
    </cdr:to>
    <cdr:sp macro="" textlink="">
      <cdr:nvSpPr>
        <cdr:cNvPr id="351" name="FracNo 256 StartRow 3806">
          <a:extLst xmlns:a="http://schemas.openxmlformats.org/drawingml/2006/main">
            <a:ext uri="{FF2B5EF4-FFF2-40B4-BE49-F238E27FC236}">
              <a16:creationId xmlns:a16="http://schemas.microsoft.com/office/drawing/2014/main" id="{7294F9D9-4EEA-4A1D-4C7C-35E3F9EB55B1}"/>
            </a:ext>
          </a:extLst>
        </cdr:cNvPr>
        <cdr:cNvSpPr/>
      </cdr:nvSpPr>
      <cdr:spPr>
        <a:xfrm xmlns:a="http://schemas.openxmlformats.org/drawingml/2006/main">
          <a:off x="5801546" y="6740131"/>
          <a:ext cx="237534" cy="245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534" h="245692">
              <a:moveTo>
                <a:pt x="22309" y="222615"/>
              </a:moveTo>
              <a:lnTo>
                <a:pt x="0" y="245691"/>
              </a:lnTo>
              <a:lnTo>
                <a:pt x="0" y="245691"/>
              </a:lnTo>
              <a:lnTo>
                <a:pt x="22309" y="222615"/>
              </a:lnTo>
              <a:lnTo>
                <a:pt x="237533" y="0"/>
              </a:lnTo>
              <a:lnTo>
                <a:pt x="2375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0.65815</cdr:x>
      <cdr:y>0.85338</cdr:y>
    </cdr:from>
    <cdr:to>
      <cdr:x>0.68988</cdr:x>
      <cdr:y>0.88488</cdr:y>
    </cdr:to>
    <cdr:sp macro="" textlink="">
      <cdr:nvSpPr>
        <cdr:cNvPr id="352" name="FracNo 483 StartRow 3815">
          <a:extLst xmlns:a="http://schemas.openxmlformats.org/drawingml/2006/main">
            <a:ext uri="{FF2B5EF4-FFF2-40B4-BE49-F238E27FC236}">
              <a16:creationId xmlns:a16="http://schemas.microsoft.com/office/drawing/2014/main" id="{AA68BA55-FC61-3029-8646-FCCB09564760}"/>
            </a:ext>
          </a:extLst>
        </cdr:cNvPr>
        <cdr:cNvSpPr/>
      </cdr:nvSpPr>
      <cdr:spPr>
        <a:xfrm xmlns:a="http://schemas.openxmlformats.org/drawingml/2006/main">
          <a:off x="4814499" y="6502735"/>
          <a:ext cx="232078" cy="240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078" h="240047">
              <a:moveTo>
                <a:pt x="0" y="240046"/>
              </a:moveTo>
              <a:lnTo>
                <a:pt x="0" y="240046"/>
              </a:lnTo>
              <a:lnTo>
                <a:pt x="5598" y="234257"/>
              </a:lnTo>
              <a:lnTo>
                <a:pt x="232077" y="0"/>
              </a:lnTo>
              <a:lnTo>
                <a:pt x="232077" y="0"/>
              </a:lnTo>
              <a:lnTo>
                <a:pt x="5598" y="2342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0.26022</cdr:x>
      <cdr:y>0.14106</cdr:y>
    </cdr:from>
    <cdr:to>
      <cdr:x>0.29277</cdr:x>
      <cdr:y>0.17339</cdr:y>
    </cdr:to>
    <cdr:sp macro="" textlink="">
      <cdr:nvSpPr>
        <cdr:cNvPr id="353" name="FracNo 595 StartRow 3824">
          <a:extLst xmlns:a="http://schemas.openxmlformats.org/drawingml/2006/main">
            <a:ext uri="{FF2B5EF4-FFF2-40B4-BE49-F238E27FC236}">
              <a16:creationId xmlns:a16="http://schemas.microsoft.com/office/drawing/2014/main" id="{C4BC1404-A3EF-FD74-2A40-AC8EDDA92827}"/>
            </a:ext>
          </a:extLst>
        </cdr:cNvPr>
        <cdr:cNvSpPr/>
      </cdr:nvSpPr>
      <cdr:spPr>
        <a:xfrm xmlns:a="http://schemas.openxmlformats.org/drawingml/2006/main">
          <a:off x="1903567" y="1074906"/>
          <a:ext cx="238113" cy="246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113" h="246290">
              <a:moveTo>
                <a:pt x="96094" y="128144"/>
              </a:moveTo>
              <a:lnTo>
                <a:pt x="0" y="227537"/>
              </a:lnTo>
              <a:lnTo>
                <a:pt x="18130" y="246289"/>
              </a:lnTo>
              <a:lnTo>
                <a:pt x="114223" y="146895"/>
              </a:lnTo>
              <a:lnTo>
                <a:pt x="238112" y="18751"/>
              </a:lnTo>
              <a:lnTo>
                <a:pt x="2199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0.35303</cdr:x>
      <cdr:y>0.14245</cdr:y>
    </cdr:from>
    <cdr:to>
      <cdr:x>0.38245</cdr:x>
      <cdr:y>0.17167</cdr:y>
    </cdr:to>
    <cdr:sp macro="" textlink="">
      <cdr:nvSpPr>
        <cdr:cNvPr id="354" name="FracNo 568 StartRow 3833">
          <a:extLst xmlns:a="http://schemas.openxmlformats.org/drawingml/2006/main">
            <a:ext uri="{FF2B5EF4-FFF2-40B4-BE49-F238E27FC236}">
              <a16:creationId xmlns:a16="http://schemas.microsoft.com/office/drawing/2014/main" id="{B68283C9-E7E9-8F59-3C19-1755A29BA716}"/>
            </a:ext>
          </a:extLst>
        </cdr:cNvPr>
        <cdr:cNvSpPr/>
      </cdr:nvSpPr>
      <cdr:spPr>
        <a:xfrm xmlns:a="http://schemas.openxmlformats.org/drawingml/2006/main">
          <a:off x="2582475" y="1085491"/>
          <a:ext cx="215224" cy="2226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224" h="222615">
              <a:moveTo>
                <a:pt x="0" y="222614"/>
              </a:moveTo>
              <a:lnTo>
                <a:pt x="0" y="222614"/>
              </a:lnTo>
              <a:lnTo>
                <a:pt x="163411" y="53591"/>
              </a:lnTo>
              <a:lnTo>
                <a:pt x="215223" y="0"/>
              </a:lnTo>
              <a:lnTo>
                <a:pt x="215223" y="0"/>
              </a:lnTo>
              <a:lnTo>
                <a:pt x="163411" y="535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0.41923</cdr:x>
      <cdr:y>0.55319</cdr:y>
    </cdr:from>
    <cdr:to>
      <cdr:x>0.44865</cdr:x>
      <cdr:y>0.5824</cdr:y>
    </cdr:to>
    <cdr:sp macro="" textlink="">
      <cdr:nvSpPr>
        <cdr:cNvPr id="355" name="FracNo 89 StartRow 3842">
          <a:extLst xmlns:a="http://schemas.openxmlformats.org/drawingml/2006/main">
            <a:ext uri="{FF2B5EF4-FFF2-40B4-BE49-F238E27FC236}">
              <a16:creationId xmlns:a16="http://schemas.microsoft.com/office/drawing/2014/main" id="{DB30B2AC-6FA6-1315-4E79-E473ED3AFC77}"/>
            </a:ext>
          </a:extLst>
        </cdr:cNvPr>
        <cdr:cNvSpPr/>
      </cdr:nvSpPr>
      <cdr:spPr>
        <a:xfrm xmlns:a="http://schemas.openxmlformats.org/drawingml/2006/main">
          <a:off x="3066726" y="4215270"/>
          <a:ext cx="215225" cy="2226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225" h="222616">
              <a:moveTo>
                <a:pt x="215224" y="0"/>
              </a:moveTo>
              <a:lnTo>
                <a:pt x="0" y="222615"/>
              </a:lnTo>
              <a:lnTo>
                <a:pt x="0" y="222615"/>
              </a:lnTo>
              <a:lnTo>
                <a:pt x="21522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0.6553</cdr:x>
      <cdr:y>0.51702</cdr:y>
    </cdr:from>
    <cdr:to>
      <cdr:x>0.68425</cdr:x>
      <cdr:y>0.54577</cdr:y>
    </cdr:to>
    <cdr:sp macro="" textlink="">
      <cdr:nvSpPr>
        <cdr:cNvPr id="356" name="FracNo 169 StartRow 3850">
          <a:extLst xmlns:a="http://schemas.openxmlformats.org/drawingml/2006/main">
            <a:ext uri="{FF2B5EF4-FFF2-40B4-BE49-F238E27FC236}">
              <a16:creationId xmlns:a16="http://schemas.microsoft.com/office/drawing/2014/main" id="{9BDFECE9-2902-6F33-5A8C-0BFC3AB9CF9B}"/>
            </a:ext>
          </a:extLst>
        </cdr:cNvPr>
        <cdr:cNvSpPr/>
      </cdr:nvSpPr>
      <cdr:spPr>
        <a:xfrm xmlns:a="http://schemas.openxmlformats.org/drawingml/2006/main">
          <a:off x="4793653" y="3939721"/>
          <a:ext cx="211770" cy="2190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770" h="219042">
              <a:moveTo>
                <a:pt x="89169" y="126811"/>
              </a:moveTo>
              <a:lnTo>
                <a:pt x="26444" y="191689"/>
              </a:lnTo>
              <a:lnTo>
                <a:pt x="0" y="219041"/>
              </a:lnTo>
              <a:lnTo>
                <a:pt x="0" y="219041"/>
              </a:lnTo>
              <a:lnTo>
                <a:pt x="26444" y="191689"/>
              </a:lnTo>
              <a:lnTo>
                <a:pt x="89169" y="126811"/>
              </a:lnTo>
              <a:lnTo>
                <a:pt x="211769" y="0"/>
              </a:lnTo>
              <a:lnTo>
                <a:pt x="2117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0.40253</cdr:x>
      <cdr:y>0.78848</cdr:y>
    </cdr:from>
    <cdr:to>
      <cdr:x>0.43101</cdr:x>
      <cdr:y>0.81676</cdr:y>
    </cdr:to>
    <cdr:sp macro="" textlink="">
      <cdr:nvSpPr>
        <cdr:cNvPr id="357" name="FracNo 489 StartRow 3861">
          <a:extLst xmlns:a="http://schemas.openxmlformats.org/drawingml/2006/main">
            <a:ext uri="{FF2B5EF4-FFF2-40B4-BE49-F238E27FC236}">
              <a16:creationId xmlns:a16="http://schemas.microsoft.com/office/drawing/2014/main" id="{48E0204D-12D7-01E3-FD7A-EE798CD62A24}"/>
            </a:ext>
          </a:extLst>
        </cdr:cNvPr>
        <cdr:cNvSpPr/>
      </cdr:nvSpPr>
      <cdr:spPr>
        <a:xfrm xmlns:a="http://schemas.openxmlformats.org/drawingml/2006/main">
          <a:off x="2944566" y="6008231"/>
          <a:ext cx="208332" cy="215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332" h="215486">
              <a:moveTo>
                <a:pt x="128884" y="82176"/>
              </a:moveTo>
              <a:lnTo>
                <a:pt x="0" y="215485"/>
              </a:lnTo>
              <a:lnTo>
                <a:pt x="0" y="215485"/>
              </a:lnTo>
              <a:lnTo>
                <a:pt x="128884" y="82176"/>
              </a:lnTo>
              <a:lnTo>
                <a:pt x="208331" y="0"/>
              </a:lnTo>
              <a:lnTo>
                <a:pt x="2083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0.80841</cdr:y>
    </cdr:from>
    <cdr:to>
      <cdr:x>0.11977</cdr:x>
      <cdr:y>0.83616</cdr:y>
    </cdr:to>
    <cdr:sp macro="" textlink="">
      <cdr:nvSpPr>
        <cdr:cNvPr id="358" name="FracNo 20 StartRow 3870">
          <a:extLst xmlns:a="http://schemas.openxmlformats.org/drawingml/2006/main">
            <a:ext uri="{FF2B5EF4-FFF2-40B4-BE49-F238E27FC236}">
              <a16:creationId xmlns:a16="http://schemas.microsoft.com/office/drawing/2014/main" id="{F051CD88-3BD0-1BA6-9680-0E734B4C63EC}"/>
            </a:ext>
          </a:extLst>
        </cdr:cNvPr>
        <cdr:cNvSpPr/>
      </cdr:nvSpPr>
      <cdr:spPr>
        <a:xfrm xmlns:a="http://schemas.openxmlformats.org/drawingml/2006/main">
          <a:off x="671676" y="6160051"/>
          <a:ext cx="204492" cy="2115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492" h="211515">
              <a:moveTo>
                <a:pt x="204491" y="0"/>
              </a:moveTo>
              <a:lnTo>
                <a:pt x="0" y="211514"/>
              </a:lnTo>
              <a:lnTo>
                <a:pt x="0" y="211514"/>
              </a:lnTo>
              <a:lnTo>
                <a:pt x="20449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0.36558</cdr:x>
      <cdr:y>0.84548</cdr:y>
    </cdr:from>
    <cdr:to>
      <cdr:x>0.39223</cdr:x>
      <cdr:y>0.87195</cdr:y>
    </cdr:to>
    <cdr:sp macro="" textlink="">
      <cdr:nvSpPr>
        <cdr:cNvPr id="359" name="FracNo 488 StartRow 3878">
          <a:extLst xmlns:a="http://schemas.openxmlformats.org/drawingml/2006/main">
            <a:ext uri="{FF2B5EF4-FFF2-40B4-BE49-F238E27FC236}">
              <a16:creationId xmlns:a16="http://schemas.microsoft.com/office/drawing/2014/main" id="{369AF715-60AE-8D24-5780-BE337E715086}"/>
            </a:ext>
          </a:extLst>
        </cdr:cNvPr>
        <cdr:cNvSpPr/>
      </cdr:nvSpPr>
      <cdr:spPr>
        <a:xfrm xmlns:a="http://schemas.openxmlformats.org/drawingml/2006/main">
          <a:off x="2674265" y="6442580"/>
          <a:ext cx="194999" cy="201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999" h="201695">
              <a:moveTo>
                <a:pt x="133516" y="63594"/>
              </a:moveTo>
              <a:lnTo>
                <a:pt x="71621" y="127614"/>
              </a:lnTo>
              <a:lnTo>
                <a:pt x="0" y="201694"/>
              </a:lnTo>
              <a:lnTo>
                <a:pt x="0" y="201694"/>
              </a:lnTo>
              <a:lnTo>
                <a:pt x="71621" y="127614"/>
              </a:lnTo>
              <a:lnTo>
                <a:pt x="133516" y="63594"/>
              </a:lnTo>
              <a:lnTo>
                <a:pt x="194998" y="0"/>
              </a:lnTo>
              <a:lnTo>
                <a:pt x="1949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0.15904</cdr:x>
      <cdr:y>0.76939</cdr:y>
    </cdr:from>
    <cdr:to>
      <cdr:x>0.18429</cdr:x>
      <cdr:y>0.79447</cdr:y>
    </cdr:to>
    <cdr:sp macro="" textlink="">
      <cdr:nvSpPr>
        <cdr:cNvPr id="360" name="FracNo 9 StartRow 3889">
          <a:extLst xmlns:a="http://schemas.openxmlformats.org/drawingml/2006/main">
            <a:ext uri="{FF2B5EF4-FFF2-40B4-BE49-F238E27FC236}">
              <a16:creationId xmlns:a16="http://schemas.microsoft.com/office/drawing/2014/main" id="{FF9CF674-13CE-2BB2-4393-E4176DBB1B2A}"/>
            </a:ext>
          </a:extLst>
        </cdr:cNvPr>
        <cdr:cNvSpPr/>
      </cdr:nvSpPr>
      <cdr:spPr>
        <a:xfrm xmlns:a="http://schemas.openxmlformats.org/drawingml/2006/main">
          <a:off x="1163405" y="5862786"/>
          <a:ext cx="184717" cy="191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717" h="191060">
              <a:moveTo>
                <a:pt x="68564" y="120141"/>
              </a:moveTo>
              <a:lnTo>
                <a:pt x="0" y="191059"/>
              </a:lnTo>
              <a:lnTo>
                <a:pt x="0" y="191059"/>
              </a:lnTo>
              <a:lnTo>
                <a:pt x="68564" y="120141"/>
              </a:lnTo>
              <a:lnTo>
                <a:pt x="184716" y="0"/>
              </a:lnTo>
              <a:lnTo>
                <a:pt x="1847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0.18194</cdr:x>
      <cdr:y>0.74252</cdr:y>
    </cdr:from>
    <cdr:to>
      <cdr:x>0.20666</cdr:x>
      <cdr:y>0.76706</cdr:y>
    </cdr:to>
    <cdr:sp macro="" textlink="">
      <cdr:nvSpPr>
        <cdr:cNvPr id="361" name="FracNo 10 StartRow 3898">
          <a:extLst xmlns:a="http://schemas.openxmlformats.org/drawingml/2006/main">
            <a:ext uri="{FF2B5EF4-FFF2-40B4-BE49-F238E27FC236}">
              <a16:creationId xmlns:a16="http://schemas.microsoft.com/office/drawing/2014/main" id="{DEE5DAAE-033D-878C-903A-D68E5F7E8289}"/>
            </a:ext>
          </a:extLst>
        </cdr:cNvPr>
        <cdr:cNvSpPr/>
      </cdr:nvSpPr>
      <cdr:spPr>
        <a:xfrm xmlns:a="http://schemas.openxmlformats.org/drawingml/2006/main">
          <a:off x="1330931" y="5658000"/>
          <a:ext cx="180798" cy="187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798" h="187007">
              <a:moveTo>
                <a:pt x="101350" y="82175"/>
              </a:moveTo>
              <a:lnTo>
                <a:pt x="0" y="187006"/>
              </a:lnTo>
              <a:lnTo>
                <a:pt x="0" y="187006"/>
              </a:lnTo>
              <a:lnTo>
                <a:pt x="101350" y="82175"/>
              </a:lnTo>
              <a:lnTo>
                <a:pt x="180797" y="0"/>
              </a:lnTo>
              <a:lnTo>
                <a:pt x="1807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0.27028</cdr:x>
      <cdr:y>0.51153</cdr:y>
    </cdr:from>
    <cdr:to>
      <cdr:x>0.29393</cdr:x>
      <cdr:y>0.53501</cdr:y>
    </cdr:to>
    <cdr:sp macro="" textlink="">
      <cdr:nvSpPr>
        <cdr:cNvPr id="362" name="FracNo 654 StartRow 3907">
          <a:extLst xmlns:a="http://schemas.openxmlformats.org/drawingml/2006/main">
            <a:ext uri="{FF2B5EF4-FFF2-40B4-BE49-F238E27FC236}">
              <a16:creationId xmlns:a16="http://schemas.microsoft.com/office/drawing/2014/main" id="{1F990AC3-000E-3E0A-EFB0-8B3AB3B1F0A6}"/>
            </a:ext>
          </a:extLst>
        </cdr:cNvPr>
        <cdr:cNvSpPr/>
      </cdr:nvSpPr>
      <cdr:spPr>
        <a:xfrm xmlns:a="http://schemas.openxmlformats.org/drawingml/2006/main">
          <a:off x="1977131" y="3897855"/>
          <a:ext cx="173005" cy="178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005" h="178948">
              <a:moveTo>
                <a:pt x="173004" y="0"/>
              </a:moveTo>
              <a:lnTo>
                <a:pt x="0" y="178947"/>
              </a:lnTo>
              <a:lnTo>
                <a:pt x="0" y="178947"/>
              </a:lnTo>
              <a:lnTo>
                <a:pt x="17300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0.62004</cdr:y>
    </cdr:from>
    <cdr:to>
      <cdr:x>0.11533</cdr:x>
      <cdr:y>0.64339</cdr:y>
    </cdr:to>
    <cdr:sp macro="" textlink="">
      <cdr:nvSpPr>
        <cdr:cNvPr id="363" name="FracNo 643 StartRow 3915">
          <a:extLst xmlns:a="http://schemas.openxmlformats.org/drawingml/2006/main">
            <a:ext uri="{FF2B5EF4-FFF2-40B4-BE49-F238E27FC236}">
              <a16:creationId xmlns:a16="http://schemas.microsoft.com/office/drawing/2014/main" id="{E8C5FE8D-A3DF-7E3F-17F0-551CAB7515F8}"/>
            </a:ext>
          </a:extLst>
        </cdr:cNvPr>
        <cdr:cNvSpPr/>
      </cdr:nvSpPr>
      <cdr:spPr>
        <a:xfrm xmlns:a="http://schemas.openxmlformats.org/drawingml/2006/main">
          <a:off x="671676" y="4724710"/>
          <a:ext cx="172021" cy="177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021" h="177929">
              <a:moveTo>
                <a:pt x="172020" y="0"/>
              </a:moveTo>
              <a:lnTo>
                <a:pt x="0" y="177928"/>
              </a:lnTo>
              <a:lnTo>
                <a:pt x="0" y="177928"/>
              </a:lnTo>
              <a:lnTo>
                <a:pt x="17202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0.91943</cdr:x>
      <cdr:y>0.32923</cdr:y>
    </cdr:from>
    <cdr:to>
      <cdr:x>0.94246</cdr:x>
      <cdr:y>0.35211</cdr:y>
    </cdr:to>
    <cdr:sp macro="" textlink="">
      <cdr:nvSpPr>
        <cdr:cNvPr id="364" name="FracNo 411 StartRow 3923">
          <a:extLst xmlns:a="http://schemas.openxmlformats.org/drawingml/2006/main">
            <a:ext uri="{FF2B5EF4-FFF2-40B4-BE49-F238E27FC236}">
              <a16:creationId xmlns:a16="http://schemas.microsoft.com/office/drawing/2014/main" id="{0AA342E2-2857-8377-A33E-4EAC1A49F9A4}"/>
            </a:ext>
          </a:extLst>
        </cdr:cNvPr>
        <cdr:cNvSpPr/>
      </cdr:nvSpPr>
      <cdr:spPr>
        <a:xfrm xmlns:a="http://schemas.openxmlformats.org/drawingml/2006/main">
          <a:off x="6725784" y="2508768"/>
          <a:ext cx="168524" cy="174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524" h="174312">
              <a:moveTo>
                <a:pt x="0" y="174311"/>
              </a:moveTo>
              <a:lnTo>
                <a:pt x="0" y="174311"/>
              </a:lnTo>
              <a:lnTo>
                <a:pt x="168523" y="0"/>
              </a:lnTo>
              <a:lnTo>
                <a:pt x="1685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0.32076</cdr:x>
      <cdr:y>0.08544</cdr:y>
    </cdr:from>
    <cdr:to>
      <cdr:x>0.34523</cdr:x>
      <cdr:y>0.10727</cdr:y>
    </cdr:to>
    <cdr:sp macro="" textlink="">
      <cdr:nvSpPr>
        <cdr:cNvPr id="365" name="FracNo 600 StartRow 3930">
          <a:extLst xmlns:a="http://schemas.openxmlformats.org/drawingml/2006/main">
            <a:ext uri="{FF2B5EF4-FFF2-40B4-BE49-F238E27FC236}">
              <a16:creationId xmlns:a16="http://schemas.microsoft.com/office/drawing/2014/main" id="{1859A79A-CF30-A1A7-8771-E799DA11D711}"/>
            </a:ext>
          </a:extLst>
        </cdr:cNvPr>
        <cdr:cNvSpPr/>
      </cdr:nvSpPr>
      <cdr:spPr>
        <a:xfrm xmlns:a="http://schemas.openxmlformats.org/drawingml/2006/main">
          <a:off x="2346444" y="651036"/>
          <a:ext cx="178946" cy="166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946" h="166340">
              <a:moveTo>
                <a:pt x="116716" y="26863"/>
              </a:moveTo>
              <a:lnTo>
                <a:pt x="0" y="147588"/>
              </a:lnTo>
              <a:lnTo>
                <a:pt x="18129" y="166339"/>
              </a:lnTo>
              <a:lnTo>
                <a:pt x="149675" y="30276"/>
              </a:lnTo>
              <a:lnTo>
                <a:pt x="178945" y="0"/>
              </a:lnTo>
              <a:lnTo>
                <a:pt x="1426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0.25935</cdr:x>
      <cdr:y>0.08544</cdr:y>
    </cdr:from>
    <cdr:to>
      <cdr:x>0.27894</cdr:x>
      <cdr:y>0.1049</cdr:y>
    </cdr:to>
    <cdr:sp macro="" textlink="">
      <cdr:nvSpPr>
        <cdr:cNvPr id="366" name="FracNo 570 StartRow 3939">
          <a:extLst xmlns:a="http://schemas.openxmlformats.org/drawingml/2006/main">
            <a:ext uri="{FF2B5EF4-FFF2-40B4-BE49-F238E27FC236}">
              <a16:creationId xmlns:a16="http://schemas.microsoft.com/office/drawing/2014/main" id="{5D902888-ED67-97D6-4685-01C7E5646ECE}"/>
            </a:ext>
          </a:extLst>
        </cdr:cNvPr>
        <cdr:cNvSpPr/>
      </cdr:nvSpPr>
      <cdr:spPr>
        <a:xfrm xmlns:a="http://schemas.openxmlformats.org/drawingml/2006/main">
          <a:off x="1897180" y="651036"/>
          <a:ext cx="143342" cy="1482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342" h="148264">
              <a:moveTo>
                <a:pt x="29286" y="117972"/>
              </a:moveTo>
              <a:lnTo>
                <a:pt x="0" y="148263"/>
              </a:lnTo>
              <a:lnTo>
                <a:pt x="0" y="148263"/>
              </a:lnTo>
              <a:lnTo>
                <a:pt x="29286" y="117972"/>
              </a:lnTo>
              <a:lnTo>
                <a:pt x="143341" y="0"/>
              </a:lnTo>
              <a:lnTo>
                <a:pt x="1433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0.5011</cdr:x>
      <cdr:y>0.16099</cdr:y>
    </cdr:from>
    <cdr:to>
      <cdr:x>0.52018</cdr:x>
      <cdr:y>0.17994</cdr:y>
    </cdr:to>
    <cdr:sp macro="" textlink="">
      <cdr:nvSpPr>
        <cdr:cNvPr id="367" name="FracNo 335 StartRow 3948">
          <a:extLst xmlns:a="http://schemas.openxmlformats.org/drawingml/2006/main">
            <a:ext uri="{FF2B5EF4-FFF2-40B4-BE49-F238E27FC236}">
              <a16:creationId xmlns:a16="http://schemas.microsoft.com/office/drawing/2014/main" id="{F98BA566-589B-5AEA-15FF-64FEC1EC3567}"/>
            </a:ext>
          </a:extLst>
        </cdr:cNvPr>
        <cdr:cNvSpPr/>
      </cdr:nvSpPr>
      <cdr:spPr>
        <a:xfrm xmlns:a="http://schemas.openxmlformats.org/drawingml/2006/main">
          <a:off x="3665661" y="1226756"/>
          <a:ext cx="139557" cy="144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557" h="144349">
              <a:moveTo>
                <a:pt x="0" y="144348"/>
              </a:moveTo>
              <a:lnTo>
                <a:pt x="0" y="144348"/>
              </a:lnTo>
              <a:lnTo>
                <a:pt x="139556" y="0"/>
              </a:lnTo>
              <a:lnTo>
                <a:pt x="1395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0.49154</cdr:x>
      <cdr:y>0.58229</cdr:y>
    </cdr:from>
    <cdr:to>
      <cdr:x>0.50993</cdr:x>
      <cdr:y>0.60056</cdr:y>
    </cdr:to>
    <cdr:sp macro="" textlink="">
      <cdr:nvSpPr>
        <cdr:cNvPr id="368" name="FracNo 83 StartRow 3955">
          <a:extLst xmlns:a="http://schemas.openxmlformats.org/drawingml/2006/main">
            <a:ext uri="{FF2B5EF4-FFF2-40B4-BE49-F238E27FC236}">
              <a16:creationId xmlns:a16="http://schemas.microsoft.com/office/drawing/2014/main" id="{81FA62C5-0367-8665-6B2E-A029F0464441}"/>
            </a:ext>
          </a:extLst>
        </cdr:cNvPr>
        <cdr:cNvSpPr/>
      </cdr:nvSpPr>
      <cdr:spPr>
        <a:xfrm xmlns:a="http://schemas.openxmlformats.org/drawingml/2006/main">
          <a:off x="3595677" y="4437051"/>
          <a:ext cx="134590" cy="1392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590" h="139213">
              <a:moveTo>
                <a:pt x="0" y="139212"/>
              </a:moveTo>
              <a:lnTo>
                <a:pt x="0" y="139212"/>
              </a:lnTo>
              <a:lnTo>
                <a:pt x="134589" y="0"/>
              </a:lnTo>
              <a:lnTo>
                <a:pt x="1345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0.60268</cdr:x>
      <cdr:y>0.08544</cdr:y>
    </cdr:from>
    <cdr:to>
      <cdr:x>0.62052</cdr:x>
      <cdr:y>0.10315</cdr:y>
    </cdr:to>
    <cdr:sp macro="" textlink="">
      <cdr:nvSpPr>
        <cdr:cNvPr id="369" name="FracNo 328 StartRow 3962">
          <a:extLst xmlns:a="http://schemas.openxmlformats.org/drawingml/2006/main">
            <a:ext uri="{FF2B5EF4-FFF2-40B4-BE49-F238E27FC236}">
              <a16:creationId xmlns:a16="http://schemas.microsoft.com/office/drawing/2014/main" id="{26C1C106-021A-1ED8-533A-CD4C90BF90CB}"/>
            </a:ext>
          </a:extLst>
        </cdr:cNvPr>
        <cdr:cNvSpPr/>
      </cdr:nvSpPr>
      <cdr:spPr>
        <a:xfrm xmlns:a="http://schemas.openxmlformats.org/drawingml/2006/main">
          <a:off x="4408729" y="651036"/>
          <a:ext cx="130464" cy="134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464" h="134944">
              <a:moveTo>
                <a:pt x="0" y="134943"/>
              </a:moveTo>
              <a:lnTo>
                <a:pt x="0" y="134943"/>
              </a:lnTo>
              <a:lnTo>
                <a:pt x="130463" y="0"/>
              </a:lnTo>
              <a:lnTo>
                <a:pt x="1304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0.50794</cdr:x>
      <cdr:y>0.56281</cdr:y>
    </cdr:from>
    <cdr:to>
      <cdr:x>0.52556</cdr:x>
      <cdr:y>0.58031</cdr:y>
    </cdr:to>
    <cdr:sp macro="" textlink="">
      <cdr:nvSpPr>
        <cdr:cNvPr id="370" name="FracNo 99 StartRow 3969">
          <a:extLst xmlns:a="http://schemas.openxmlformats.org/drawingml/2006/main">
            <a:ext uri="{FF2B5EF4-FFF2-40B4-BE49-F238E27FC236}">
              <a16:creationId xmlns:a16="http://schemas.microsoft.com/office/drawing/2014/main" id="{F9E15273-AF63-A289-E0B6-F055907A4B49}"/>
            </a:ext>
          </a:extLst>
        </cdr:cNvPr>
        <cdr:cNvSpPr/>
      </cdr:nvSpPr>
      <cdr:spPr>
        <a:xfrm xmlns:a="http://schemas.openxmlformats.org/drawingml/2006/main">
          <a:off x="3715658" y="4288632"/>
          <a:ext cx="128885" cy="133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885" h="133311">
              <a:moveTo>
                <a:pt x="128884" y="0"/>
              </a:moveTo>
              <a:lnTo>
                <a:pt x="0" y="133310"/>
              </a:lnTo>
              <a:lnTo>
                <a:pt x="0" y="133310"/>
              </a:lnTo>
              <a:lnTo>
                <a:pt x="12888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0.55198</cdr:y>
    </cdr:from>
    <cdr:to>
      <cdr:x>0.10851</cdr:x>
      <cdr:y>0.56855</cdr:y>
    </cdr:to>
    <cdr:sp macro="" textlink="">
      <cdr:nvSpPr>
        <cdr:cNvPr id="371" name="FracNo 649 StartRow 3977">
          <a:extLst xmlns:a="http://schemas.openxmlformats.org/drawingml/2006/main">
            <a:ext uri="{FF2B5EF4-FFF2-40B4-BE49-F238E27FC236}">
              <a16:creationId xmlns:a16="http://schemas.microsoft.com/office/drawing/2014/main" id="{79843559-1747-5C7B-38AC-88B9CCF645C3}"/>
            </a:ext>
          </a:extLst>
        </cdr:cNvPr>
        <cdr:cNvSpPr/>
      </cdr:nvSpPr>
      <cdr:spPr>
        <a:xfrm xmlns:a="http://schemas.openxmlformats.org/drawingml/2006/main">
          <a:off x="671676" y="4206103"/>
          <a:ext cx="122080" cy="126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080" h="126273">
              <a:moveTo>
                <a:pt x="122079" y="0"/>
              </a:moveTo>
              <a:lnTo>
                <a:pt x="0" y="126272"/>
              </a:lnTo>
              <a:lnTo>
                <a:pt x="0" y="126272"/>
              </a:lnTo>
              <a:lnTo>
                <a:pt x="12207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0.77644</cdr:x>
      <cdr:y>0.91517</cdr:y>
    </cdr:from>
    <cdr:to>
      <cdr:x>0.79147</cdr:x>
      <cdr:y>0.9301</cdr:y>
    </cdr:to>
    <cdr:sp macro="" textlink="">
      <cdr:nvSpPr>
        <cdr:cNvPr id="372" name="FracNo 250 StartRow 3985">
          <a:extLst xmlns:a="http://schemas.openxmlformats.org/drawingml/2006/main">
            <a:ext uri="{FF2B5EF4-FFF2-40B4-BE49-F238E27FC236}">
              <a16:creationId xmlns:a16="http://schemas.microsoft.com/office/drawing/2014/main" id="{FA7D24C0-05C3-CBB9-9815-30091006F975}"/>
            </a:ext>
          </a:extLst>
        </cdr:cNvPr>
        <cdr:cNvSpPr/>
      </cdr:nvSpPr>
      <cdr:spPr>
        <a:xfrm xmlns:a="http://schemas.openxmlformats.org/drawingml/2006/main">
          <a:off x="5679798" y="6973629"/>
          <a:ext cx="109961" cy="113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961" h="113737">
              <a:moveTo>
                <a:pt x="82912" y="27976"/>
              </a:moveTo>
              <a:lnTo>
                <a:pt x="0" y="113736"/>
              </a:lnTo>
              <a:lnTo>
                <a:pt x="0" y="113736"/>
              </a:lnTo>
              <a:lnTo>
                <a:pt x="82912" y="27976"/>
              </a:lnTo>
              <a:lnTo>
                <a:pt x="109960" y="0"/>
              </a:lnTo>
              <a:lnTo>
                <a:pt x="1099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0.68313</cdr:x>
      <cdr:y>0.50215</cdr:y>
    </cdr:from>
    <cdr:to>
      <cdr:x>0.69698</cdr:x>
      <cdr:y>0.51591</cdr:y>
    </cdr:to>
    <cdr:sp macro="" textlink="">
      <cdr:nvSpPr>
        <cdr:cNvPr id="373" name="FracNo 165 StartRow 3994">
          <a:extLst xmlns:a="http://schemas.openxmlformats.org/drawingml/2006/main">
            <a:ext uri="{FF2B5EF4-FFF2-40B4-BE49-F238E27FC236}">
              <a16:creationId xmlns:a16="http://schemas.microsoft.com/office/drawing/2014/main" id="{F23DF140-CD0A-A493-D531-5FB306A9563B}"/>
            </a:ext>
          </a:extLst>
        </cdr:cNvPr>
        <cdr:cNvSpPr/>
      </cdr:nvSpPr>
      <cdr:spPr>
        <a:xfrm xmlns:a="http://schemas.openxmlformats.org/drawingml/2006/main">
          <a:off x="4997209" y="3826394"/>
          <a:ext cx="101351" cy="104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351" h="104832">
              <a:moveTo>
                <a:pt x="101350" y="0"/>
              </a:moveTo>
              <a:lnTo>
                <a:pt x="0" y="104831"/>
              </a:lnTo>
              <a:lnTo>
                <a:pt x="0" y="104831"/>
              </a:lnTo>
              <a:lnTo>
                <a:pt x="10135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0.70379</cdr:x>
      <cdr:y>0.28606</cdr:y>
    </cdr:from>
    <cdr:to>
      <cdr:x>0.71752</cdr:x>
      <cdr:y>0.2997</cdr:y>
    </cdr:to>
    <cdr:sp macro="" textlink="">
      <cdr:nvSpPr>
        <cdr:cNvPr id="374" name="FracNo 419 StartRow 4002">
          <a:extLst xmlns:a="http://schemas.openxmlformats.org/drawingml/2006/main">
            <a:ext uri="{FF2B5EF4-FFF2-40B4-BE49-F238E27FC236}">
              <a16:creationId xmlns:a16="http://schemas.microsoft.com/office/drawing/2014/main" id="{F700ECFC-5EC7-3ACE-0334-8F04FA8E573B}"/>
            </a:ext>
          </a:extLst>
        </cdr:cNvPr>
        <cdr:cNvSpPr/>
      </cdr:nvSpPr>
      <cdr:spPr>
        <a:xfrm xmlns:a="http://schemas.openxmlformats.org/drawingml/2006/main">
          <a:off x="5148383" y="2179787"/>
          <a:ext cx="100450" cy="103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450" h="103900">
              <a:moveTo>
                <a:pt x="0" y="103899"/>
              </a:moveTo>
              <a:lnTo>
                <a:pt x="0" y="103899"/>
              </a:lnTo>
              <a:lnTo>
                <a:pt x="100449" y="0"/>
              </a:lnTo>
              <a:lnTo>
                <a:pt x="1004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0.57652</cdr:x>
      <cdr:y>0.35613</cdr:y>
    </cdr:from>
    <cdr:to>
      <cdr:x>0.59024</cdr:x>
      <cdr:y>0.36975</cdr:y>
    </cdr:to>
    <cdr:sp macro="" textlink="">
      <cdr:nvSpPr>
        <cdr:cNvPr id="375" name="FracNo 323 StartRow 4009">
          <a:extLst xmlns:a="http://schemas.openxmlformats.org/drawingml/2006/main">
            <a:ext uri="{FF2B5EF4-FFF2-40B4-BE49-F238E27FC236}">
              <a16:creationId xmlns:a16="http://schemas.microsoft.com/office/drawing/2014/main" id="{344B0B16-8CF6-C851-57C2-64E6F52844E3}"/>
            </a:ext>
          </a:extLst>
        </cdr:cNvPr>
        <cdr:cNvSpPr/>
      </cdr:nvSpPr>
      <cdr:spPr>
        <a:xfrm xmlns:a="http://schemas.openxmlformats.org/drawingml/2006/main">
          <a:off x="4217369" y="2713742"/>
          <a:ext cx="100342" cy="103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342" h="103788">
              <a:moveTo>
                <a:pt x="100341" y="0"/>
              </a:moveTo>
              <a:lnTo>
                <a:pt x="20351" y="82737"/>
              </a:lnTo>
              <a:lnTo>
                <a:pt x="0" y="103787"/>
              </a:lnTo>
              <a:lnTo>
                <a:pt x="0" y="103787"/>
              </a:lnTo>
              <a:lnTo>
                <a:pt x="20351" y="82737"/>
              </a:lnTo>
              <a:lnTo>
                <a:pt x="10034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0.65156</cdr:x>
      <cdr:y>0.42247</cdr:y>
    </cdr:from>
    <cdr:to>
      <cdr:x>0.66339</cdr:x>
      <cdr:y>0.43422</cdr:y>
    </cdr:to>
    <cdr:sp macro="" textlink="">
      <cdr:nvSpPr>
        <cdr:cNvPr id="376" name="FracNo 95 StartRow 4019">
          <a:extLst xmlns:a="http://schemas.openxmlformats.org/drawingml/2006/main">
            <a:ext uri="{FF2B5EF4-FFF2-40B4-BE49-F238E27FC236}">
              <a16:creationId xmlns:a16="http://schemas.microsoft.com/office/drawing/2014/main" id="{4AB046BC-8E71-EAF1-F5F9-C9F1C61E6031}"/>
            </a:ext>
          </a:extLst>
        </cdr:cNvPr>
        <cdr:cNvSpPr/>
      </cdr:nvSpPr>
      <cdr:spPr>
        <a:xfrm xmlns:a="http://schemas.openxmlformats.org/drawingml/2006/main">
          <a:off x="4766290" y="3219232"/>
          <a:ext cx="86546" cy="89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546" h="89518">
              <a:moveTo>
                <a:pt x="0" y="89517"/>
              </a:moveTo>
              <a:lnTo>
                <a:pt x="0" y="89517"/>
              </a:lnTo>
              <a:lnTo>
                <a:pt x="53807" y="33862"/>
              </a:lnTo>
              <a:lnTo>
                <a:pt x="86545" y="0"/>
              </a:lnTo>
              <a:lnTo>
                <a:pt x="86545" y="0"/>
              </a:lnTo>
              <a:lnTo>
                <a:pt x="53807" y="338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0.37373</cdr:x>
      <cdr:y>0.16408</cdr:y>
    </cdr:from>
    <cdr:to>
      <cdr:x>0.38534</cdr:x>
      <cdr:y>0.1756</cdr:y>
    </cdr:to>
    <cdr:sp macro="" textlink="">
      <cdr:nvSpPr>
        <cdr:cNvPr id="377" name="FracNo 331 StartRow 4028">
          <a:extLst xmlns:a="http://schemas.openxmlformats.org/drawingml/2006/main">
            <a:ext uri="{FF2B5EF4-FFF2-40B4-BE49-F238E27FC236}">
              <a16:creationId xmlns:a16="http://schemas.microsoft.com/office/drawing/2014/main" id="{880BCDD8-4718-E87B-1000-C1762C2D75CB}"/>
            </a:ext>
          </a:extLst>
        </cdr:cNvPr>
        <cdr:cNvSpPr/>
      </cdr:nvSpPr>
      <cdr:spPr>
        <a:xfrm xmlns:a="http://schemas.openxmlformats.org/drawingml/2006/main">
          <a:off x="2733918" y="1250275"/>
          <a:ext cx="84897" cy="878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897" h="87812">
              <a:moveTo>
                <a:pt x="22309" y="64736"/>
              </a:moveTo>
              <a:lnTo>
                <a:pt x="11968" y="75432"/>
              </a:lnTo>
              <a:lnTo>
                <a:pt x="0" y="87811"/>
              </a:lnTo>
              <a:lnTo>
                <a:pt x="0" y="87811"/>
              </a:lnTo>
              <a:lnTo>
                <a:pt x="11968" y="75432"/>
              </a:lnTo>
              <a:lnTo>
                <a:pt x="22309" y="64736"/>
              </a:lnTo>
              <a:lnTo>
                <a:pt x="84896" y="0"/>
              </a:lnTo>
              <a:lnTo>
                <a:pt x="848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0.14304</cdr:x>
      <cdr:y>0.78967</cdr:y>
    </cdr:from>
    <cdr:to>
      <cdr:x>0.15421</cdr:x>
      <cdr:y>0.80077</cdr:y>
    </cdr:to>
    <cdr:sp macro="" textlink="">
      <cdr:nvSpPr>
        <cdr:cNvPr id="378" name="FracNo 5 StartRow 4039">
          <a:extLst xmlns:a="http://schemas.openxmlformats.org/drawingml/2006/main">
            <a:ext uri="{FF2B5EF4-FFF2-40B4-BE49-F238E27FC236}">
              <a16:creationId xmlns:a16="http://schemas.microsoft.com/office/drawing/2014/main" id="{EF63BF6E-772B-0322-AB21-F7B879FF234E}"/>
            </a:ext>
          </a:extLst>
        </cdr:cNvPr>
        <cdr:cNvSpPr/>
      </cdr:nvSpPr>
      <cdr:spPr>
        <a:xfrm xmlns:a="http://schemas.openxmlformats.org/drawingml/2006/main">
          <a:off x="1046373" y="6017321"/>
          <a:ext cx="81722" cy="84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722" h="84528">
              <a:moveTo>
                <a:pt x="20238" y="63593"/>
              </a:moveTo>
              <a:lnTo>
                <a:pt x="0" y="84527"/>
              </a:lnTo>
              <a:lnTo>
                <a:pt x="0" y="84527"/>
              </a:lnTo>
              <a:lnTo>
                <a:pt x="20238" y="63593"/>
              </a:lnTo>
              <a:lnTo>
                <a:pt x="81721" y="0"/>
              </a:lnTo>
              <a:lnTo>
                <a:pt x="817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0.72781</cdr:x>
      <cdr:y>0.2638</cdr:y>
    </cdr:from>
    <cdr:to>
      <cdr:x>0.74127</cdr:x>
      <cdr:y>0.27717</cdr:y>
    </cdr:to>
    <cdr:sp macro="" textlink="">
      <cdr:nvSpPr>
        <cdr:cNvPr id="379" name="FracNo 424 StartRow 4048">
          <a:extLst xmlns:a="http://schemas.openxmlformats.org/drawingml/2006/main">
            <a:ext uri="{FF2B5EF4-FFF2-40B4-BE49-F238E27FC236}">
              <a16:creationId xmlns:a16="http://schemas.microsoft.com/office/drawing/2014/main" id="{4B3095B2-0C1F-346A-61A0-142151376228}"/>
            </a:ext>
          </a:extLst>
        </cdr:cNvPr>
        <cdr:cNvSpPr/>
      </cdr:nvSpPr>
      <cdr:spPr>
        <a:xfrm xmlns:a="http://schemas.openxmlformats.org/drawingml/2006/main">
          <a:off x="5324058" y="2010147"/>
          <a:ext cx="98469" cy="101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469" h="101851">
              <a:moveTo>
                <a:pt x="55847" y="25333"/>
              </a:moveTo>
              <a:lnTo>
                <a:pt x="0" y="83098"/>
              </a:lnTo>
              <a:lnTo>
                <a:pt x="18129" y="101850"/>
              </a:lnTo>
              <a:lnTo>
                <a:pt x="73976" y="44085"/>
              </a:lnTo>
              <a:lnTo>
                <a:pt x="98468" y="18752"/>
              </a:lnTo>
              <a:lnTo>
                <a:pt x="803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0.71832</cdr:x>
      <cdr:y>0.27607</cdr:y>
    </cdr:from>
    <cdr:to>
      <cdr:x>0.72919</cdr:x>
      <cdr:y>0.28686</cdr:y>
    </cdr:to>
    <cdr:sp macro="" textlink="">
      <cdr:nvSpPr>
        <cdr:cNvPr id="380" name="FracNo 418 StartRow 4057">
          <a:extLst xmlns:a="http://schemas.openxmlformats.org/drawingml/2006/main">
            <a:ext uri="{FF2B5EF4-FFF2-40B4-BE49-F238E27FC236}">
              <a16:creationId xmlns:a16="http://schemas.microsoft.com/office/drawing/2014/main" id="{927D4480-A907-CEA6-0FC0-1DFCAEDA2A26}"/>
            </a:ext>
          </a:extLst>
        </cdr:cNvPr>
        <cdr:cNvSpPr/>
      </cdr:nvSpPr>
      <cdr:spPr>
        <a:xfrm xmlns:a="http://schemas.openxmlformats.org/drawingml/2006/main">
          <a:off x="5254689" y="2103670"/>
          <a:ext cx="79448" cy="82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48" h="82176">
              <a:moveTo>
                <a:pt x="79447" y="0"/>
              </a:moveTo>
              <a:lnTo>
                <a:pt x="0" y="82175"/>
              </a:lnTo>
              <a:lnTo>
                <a:pt x="0" y="82175"/>
              </a:lnTo>
              <a:lnTo>
                <a:pt x="7944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0.43231</cdr:x>
      <cdr:y>0.77968</cdr:y>
    </cdr:from>
    <cdr:to>
      <cdr:x>0.44247</cdr:x>
      <cdr:y>0.78977</cdr:y>
    </cdr:to>
    <cdr:sp macro="" textlink="">
      <cdr:nvSpPr>
        <cdr:cNvPr id="381" name="FracNo 496 StartRow 4065">
          <a:extLst xmlns:a="http://schemas.openxmlformats.org/drawingml/2006/main">
            <a:ext uri="{FF2B5EF4-FFF2-40B4-BE49-F238E27FC236}">
              <a16:creationId xmlns:a16="http://schemas.microsoft.com/office/drawing/2014/main" id="{1BFADE91-4AC2-9609-31BC-CAF6850CF39F}"/>
            </a:ext>
          </a:extLst>
        </cdr:cNvPr>
        <cdr:cNvSpPr/>
      </cdr:nvSpPr>
      <cdr:spPr>
        <a:xfrm xmlns:a="http://schemas.openxmlformats.org/drawingml/2006/main">
          <a:off x="3162407" y="5941140"/>
          <a:ext cx="74374" cy="76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374" h="76929">
              <a:moveTo>
                <a:pt x="74373" y="0"/>
              </a:moveTo>
              <a:lnTo>
                <a:pt x="0" y="76928"/>
              </a:lnTo>
              <a:lnTo>
                <a:pt x="0" y="76928"/>
              </a:lnTo>
              <a:lnTo>
                <a:pt x="7437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0.42704</cdr:x>
      <cdr:y>0.92066</cdr:y>
    </cdr:from>
    <cdr:to>
      <cdr:x>0.43655</cdr:x>
      <cdr:y>0.9301</cdr:y>
    </cdr:to>
    <cdr:sp macro="" textlink="">
      <cdr:nvSpPr>
        <cdr:cNvPr id="382" name="FracNo 495 StartRow 4073">
          <a:extLst xmlns:a="http://schemas.openxmlformats.org/drawingml/2006/main">
            <a:ext uri="{FF2B5EF4-FFF2-40B4-BE49-F238E27FC236}">
              <a16:creationId xmlns:a16="http://schemas.microsoft.com/office/drawing/2014/main" id="{4CC086E7-3780-E39E-C1F9-5E5AB644DAC6}"/>
            </a:ext>
          </a:extLst>
        </cdr:cNvPr>
        <cdr:cNvSpPr/>
      </cdr:nvSpPr>
      <cdr:spPr>
        <a:xfrm xmlns:a="http://schemas.openxmlformats.org/drawingml/2006/main">
          <a:off x="3123898" y="7015448"/>
          <a:ext cx="69530" cy="719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530" h="71918">
              <a:moveTo>
                <a:pt x="69529" y="0"/>
              </a:moveTo>
              <a:lnTo>
                <a:pt x="0" y="71917"/>
              </a:lnTo>
              <a:lnTo>
                <a:pt x="0" y="71917"/>
              </a:lnTo>
              <a:lnTo>
                <a:pt x="6952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0.76119</cdr:x>
      <cdr:y>0.26105</cdr:y>
    </cdr:from>
    <cdr:to>
      <cdr:x>0.7704</cdr:x>
      <cdr:y>0.27019</cdr:y>
    </cdr:to>
    <cdr:sp macro="" textlink="">
      <cdr:nvSpPr>
        <cdr:cNvPr id="383" name="FracNo 410 StartRow 4081">
          <a:extLst xmlns:a="http://schemas.openxmlformats.org/drawingml/2006/main">
            <a:ext uri="{FF2B5EF4-FFF2-40B4-BE49-F238E27FC236}">
              <a16:creationId xmlns:a16="http://schemas.microsoft.com/office/drawing/2014/main" id="{2C7882D2-2283-CE05-FE3E-7639618FF657}"/>
            </a:ext>
          </a:extLst>
        </cdr:cNvPr>
        <cdr:cNvSpPr/>
      </cdr:nvSpPr>
      <cdr:spPr>
        <a:xfrm xmlns:a="http://schemas.openxmlformats.org/drawingml/2006/main">
          <a:off x="5568224" y="1989174"/>
          <a:ext cx="67371" cy="696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371" h="69684">
              <a:moveTo>
                <a:pt x="67370" y="0"/>
              </a:moveTo>
              <a:lnTo>
                <a:pt x="0" y="69683"/>
              </a:lnTo>
              <a:lnTo>
                <a:pt x="0" y="69683"/>
              </a:lnTo>
              <a:lnTo>
                <a:pt x="6737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0.43111</cdr:x>
      <cdr:y>0.66816</cdr:y>
    </cdr:from>
    <cdr:to>
      <cdr:x>0.44005</cdr:x>
      <cdr:y>0.67704</cdr:y>
    </cdr:to>
    <cdr:sp macro="" textlink="">
      <cdr:nvSpPr>
        <cdr:cNvPr id="384" name="FracNo 497 StartRow 4089">
          <a:extLst xmlns:a="http://schemas.openxmlformats.org/drawingml/2006/main">
            <a:ext uri="{FF2B5EF4-FFF2-40B4-BE49-F238E27FC236}">
              <a16:creationId xmlns:a16="http://schemas.microsoft.com/office/drawing/2014/main" id="{A5128C07-2787-87D1-FB1A-F7455C0155B1}"/>
            </a:ext>
          </a:extLst>
        </cdr:cNvPr>
        <cdr:cNvSpPr/>
      </cdr:nvSpPr>
      <cdr:spPr>
        <a:xfrm xmlns:a="http://schemas.openxmlformats.org/drawingml/2006/main">
          <a:off x="3153678" y="5091383"/>
          <a:ext cx="65404" cy="67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404" h="67650">
              <a:moveTo>
                <a:pt x="65403" y="0"/>
              </a:moveTo>
              <a:lnTo>
                <a:pt x="0" y="67649"/>
              </a:lnTo>
              <a:lnTo>
                <a:pt x="0" y="67649"/>
              </a:lnTo>
              <a:lnTo>
                <a:pt x="6540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0.20304</cdr:x>
      <cdr:y>0.60892</cdr:y>
    </cdr:from>
    <cdr:to>
      <cdr:x>0.2112</cdr:x>
      <cdr:y>0.61703</cdr:y>
    </cdr:to>
    <cdr:sp macro="" textlink="">
      <cdr:nvSpPr>
        <cdr:cNvPr id="385" name="FracNo 652 StartRow 4097">
          <a:extLst xmlns:a="http://schemas.openxmlformats.org/drawingml/2006/main">
            <a:ext uri="{FF2B5EF4-FFF2-40B4-BE49-F238E27FC236}">
              <a16:creationId xmlns:a16="http://schemas.microsoft.com/office/drawing/2014/main" id="{296F172C-8478-0273-4088-B7CAC7E4CA83}"/>
            </a:ext>
          </a:extLst>
        </cdr:cNvPr>
        <cdr:cNvSpPr/>
      </cdr:nvSpPr>
      <cdr:spPr>
        <a:xfrm xmlns:a="http://schemas.openxmlformats.org/drawingml/2006/main">
          <a:off x="1485270" y="4639991"/>
          <a:ext cx="59706" cy="61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706" h="61757">
              <a:moveTo>
                <a:pt x="59705" y="0"/>
              </a:moveTo>
              <a:lnTo>
                <a:pt x="0" y="61756"/>
              </a:lnTo>
              <a:lnTo>
                <a:pt x="0" y="61756"/>
              </a:lnTo>
              <a:lnTo>
                <a:pt x="5970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0.1688</cdr:x>
      <cdr:y>0.92142</cdr:y>
    </cdr:from>
    <cdr:to>
      <cdr:x>0.18002</cdr:x>
      <cdr:y>0.9301</cdr:y>
    </cdr:to>
    <cdr:sp macro="" textlink="">
      <cdr:nvSpPr>
        <cdr:cNvPr id="386" name="FracNo 29 StartRow 4105">
          <a:extLst xmlns:a="http://schemas.openxmlformats.org/drawingml/2006/main">
            <a:ext uri="{FF2B5EF4-FFF2-40B4-BE49-F238E27FC236}">
              <a16:creationId xmlns:a16="http://schemas.microsoft.com/office/drawing/2014/main" id="{A27176D2-1F59-F577-64E7-A74FF770D2D2}"/>
            </a:ext>
          </a:extLst>
        </cdr:cNvPr>
        <cdr:cNvSpPr/>
      </cdr:nvSpPr>
      <cdr:spPr>
        <a:xfrm xmlns:a="http://schemas.openxmlformats.org/drawingml/2006/main">
          <a:off x="1234781" y="7021216"/>
          <a:ext cx="82083" cy="66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083" h="66150">
              <a:moveTo>
                <a:pt x="51037" y="13360"/>
              </a:moveTo>
              <a:lnTo>
                <a:pt x="0" y="66149"/>
              </a:lnTo>
              <a:lnTo>
                <a:pt x="36259" y="66149"/>
              </a:lnTo>
              <a:lnTo>
                <a:pt x="72827" y="28325"/>
              </a:lnTo>
              <a:lnTo>
                <a:pt x="82082" y="18752"/>
              </a:lnTo>
              <a:lnTo>
                <a:pt x="639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0.93669</cdr:x>
      <cdr:y>0.22675</cdr:y>
    </cdr:from>
    <cdr:to>
      <cdr:x>0.94246</cdr:x>
      <cdr:y>0.23249</cdr:y>
    </cdr:to>
    <cdr:sp macro="" textlink="">
      <cdr:nvSpPr>
        <cdr:cNvPr id="387" name="FracNo 416 StartRow 4114">
          <a:extLst xmlns:a="http://schemas.openxmlformats.org/drawingml/2006/main">
            <a:ext uri="{FF2B5EF4-FFF2-40B4-BE49-F238E27FC236}">
              <a16:creationId xmlns:a16="http://schemas.microsoft.com/office/drawing/2014/main" id="{EDEB2321-59EF-BD8E-B891-1744F0F094AE}"/>
            </a:ext>
          </a:extLst>
        </cdr:cNvPr>
        <cdr:cNvSpPr/>
      </cdr:nvSpPr>
      <cdr:spPr>
        <a:xfrm xmlns:a="http://schemas.openxmlformats.org/drawingml/2006/main">
          <a:off x="6852042" y="1727821"/>
          <a:ext cx="42266" cy="437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66" h="43717">
              <a:moveTo>
                <a:pt x="0" y="43716"/>
              </a:moveTo>
              <a:lnTo>
                <a:pt x="0" y="43716"/>
              </a:lnTo>
              <a:lnTo>
                <a:pt x="42265" y="0"/>
              </a:lnTo>
              <a:lnTo>
                <a:pt x="422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0.85947</cdr:x>
      <cdr:y>0.50335</cdr:y>
    </cdr:from>
    <cdr:to>
      <cdr:x>0.86405</cdr:x>
      <cdr:y>0.5079</cdr:y>
    </cdr:to>
    <cdr:sp macro="" textlink="">
      <cdr:nvSpPr>
        <cdr:cNvPr id="388" name="FracNo 166 StartRow 4121">
          <a:extLst xmlns:a="http://schemas.openxmlformats.org/drawingml/2006/main">
            <a:ext uri="{FF2B5EF4-FFF2-40B4-BE49-F238E27FC236}">
              <a16:creationId xmlns:a16="http://schemas.microsoft.com/office/drawing/2014/main" id="{6DAC86DC-E33D-4A11-C4EB-0921B2045269}"/>
            </a:ext>
          </a:extLst>
        </cdr:cNvPr>
        <cdr:cNvSpPr/>
      </cdr:nvSpPr>
      <cdr:spPr>
        <a:xfrm xmlns:a="http://schemas.openxmlformats.org/drawingml/2006/main">
          <a:off x="6287230" y="3835511"/>
          <a:ext cx="33505" cy="34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05" h="34655">
              <a:moveTo>
                <a:pt x="0" y="34654"/>
              </a:moveTo>
              <a:lnTo>
                <a:pt x="0" y="34654"/>
              </a:lnTo>
              <a:lnTo>
                <a:pt x="33504" y="0"/>
              </a:lnTo>
              <a:lnTo>
                <a:pt x="335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0.61112</cdr:x>
      <cdr:y>0.7093</cdr:y>
    </cdr:from>
    <cdr:to>
      <cdr:x>0.61566</cdr:x>
      <cdr:y>0.71381</cdr:y>
    </cdr:to>
    <cdr:sp macro="" textlink="">
      <cdr:nvSpPr>
        <cdr:cNvPr id="389" name="FracNo 487 StartRow 4128">
          <a:extLst xmlns:a="http://schemas.openxmlformats.org/drawingml/2006/main">
            <a:ext uri="{FF2B5EF4-FFF2-40B4-BE49-F238E27FC236}">
              <a16:creationId xmlns:a16="http://schemas.microsoft.com/office/drawing/2014/main" id="{5AE43435-863E-5F10-9202-D049313A0D00}"/>
            </a:ext>
          </a:extLst>
        </cdr:cNvPr>
        <cdr:cNvSpPr/>
      </cdr:nvSpPr>
      <cdr:spPr>
        <a:xfrm xmlns:a="http://schemas.openxmlformats.org/drawingml/2006/main">
          <a:off x="4470441" y="5404830"/>
          <a:ext cx="33239" cy="343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39" h="34382">
              <a:moveTo>
                <a:pt x="0" y="34381"/>
              </a:moveTo>
              <a:lnTo>
                <a:pt x="0" y="34381"/>
              </a:lnTo>
              <a:lnTo>
                <a:pt x="33238" y="0"/>
              </a:lnTo>
              <a:lnTo>
                <a:pt x="332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0.86011</cdr:x>
      <cdr:y>0.49546</cdr:y>
    </cdr:from>
    <cdr:to>
      <cdr:x>0.86412</cdr:x>
      <cdr:y>0.49943</cdr:y>
    </cdr:to>
    <cdr:sp macro="" textlink="">
      <cdr:nvSpPr>
        <cdr:cNvPr id="390" name="FracNo 171 StartRow 4135">
          <a:extLst xmlns:a="http://schemas.openxmlformats.org/drawingml/2006/main">
            <a:ext uri="{FF2B5EF4-FFF2-40B4-BE49-F238E27FC236}">
              <a16:creationId xmlns:a16="http://schemas.microsoft.com/office/drawing/2014/main" id="{7AE67C82-2801-D59E-E5AA-DD43D9F518EA}"/>
            </a:ext>
          </a:extLst>
        </cdr:cNvPr>
        <cdr:cNvSpPr/>
      </cdr:nvSpPr>
      <cdr:spPr>
        <a:xfrm xmlns:a="http://schemas.openxmlformats.org/drawingml/2006/main">
          <a:off x="6291895" y="3775369"/>
          <a:ext cx="29308" cy="30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08" h="30314">
              <a:moveTo>
                <a:pt x="29307" y="0"/>
              </a:moveTo>
              <a:lnTo>
                <a:pt x="0" y="30313"/>
              </a:lnTo>
              <a:lnTo>
                <a:pt x="0" y="30313"/>
              </a:lnTo>
              <a:lnTo>
                <a:pt x="2930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0.94136</cdr:x>
      <cdr:y>0.48624</cdr:y>
    </cdr:from>
    <cdr:to>
      <cdr:x>0.94246</cdr:x>
      <cdr:y>0.48734</cdr:y>
    </cdr:to>
    <cdr:sp macro="" textlink="">
      <cdr:nvSpPr>
        <cdr:cNvPr id="391" name="FracNo 170 StartRow 4143">
          <a:extLst xmlns:a="http://schemas.openxmlformats.org/drawingml/2006/main">
            <a:ext uri="{FF2B5EF4-FFF2-40B4-BE49-F238E27FC236}">
              <a16:creationId xmlns:a16="http://schemas.microsoft.com/office/drawing/2014/main" id="{EE406D4F-795A-209D-0215-6BFED5383F95}"/>
            </a:ext>
          </a:extLst>
        </cdr:cNvPr>
        <cdr:cNvSpPr/>
      </cdr:nvSpPr>
      <cdr:spPr>
        <a:xfrm xmlns:a="http://schemas.openxmlformats.org/drawingml/2006/main">
          <a:off x="6886256" y="3705182"/>
          <a:ext cx="8052" cy="8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2" h="8328">
              <a:moveTo>
                <a:pt x="0" y="8327"/>
              </a:moveTo>
              <a:lnTo>
                <a:pt x="0" y="8327"/>
              </a:lnTo>
              <a:lnTo>
                <a:pt x="8051" y="0"/>
              </a:lnTo>
              <a:lnTo>
                <a:pt x="80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215"/>
  <sheetViews>
    <sheetView tabSelected="1" workbookViewId="0">
      <pane xSplit="1" ySplit="2" topLeftCell="B18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defaultRowHeight="15" x14ac:dyDescent="0.25"/>
  <sheetData>
    <row r="1" spans="1:149" x14ac:dyDescent="0.25">
      <c r="A1" t="s">
        <v>0</v>
      </c>
      <c r="B1" t="s">
        <v>65</v>
      </c>
      <c r="C1" t="s">
        <v>66</v>
      </c>
      <c r="D1" t="s">
        <v>44</v>
      </c>
      <c r="E1" t="s">
        <v>45</v>
      </c>
      <c r="F1" t="s">
        <v>46</v>
      </c>
      <c r="G1" t="s">
        <v>47</v>
      </c>
      <c r="H1" t="s">
        <v>68</v>
      </c>
      <c r="V1" t="s">
        <v>69</v>
      </c>
      <c r="AJ1" t="s">
        <v>70</v>
      </c>
      <c r="AX1" t="s">
        <v>71</v>
      </c>
      <c r="BL1" t="s">
        <v>48</v>
      </c>
      <c r="BM1" t="s">
        <v>49</v>
      </c>
      <c r="BN1" t="s">
        <v>50</v>
      </c>
      <c r="BO1" t="s">
        <v>51</v>
      </c>
      <c r="BP1" t="s">
        <v>52</v>
      </c>
      <c r="BQ1" t="s">
        <v>53</v>
      </c>
      <c r="BR1" t="s">
        <v>54</v>
      </c>
      <c r="BS1" t="s">
        <v>55</v>
      </c>
    </row>
    <row r="2" spans="1:149" x14ac:dyDescent="0.25">
      <c r="H2" t="s">
        <v>43</v>
      </c>
      <c r="I2" t="s">
        <v>1</v>
      </c>
      <c r="J2" t="s">
        <v>72</v>
      </c>
      <c r="K2" t="s">
        <v>67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41</v>
      </c>
      <c r="T2" t="s">
        <v>42</v>
      </c>
      <c r="U2" t="s">
        <v>73</v>
      </c>
      <c r="V2" t="s">
        <v>43</v>
      </c>
      <c r="W2" t="s">
        <v>1</v>
      </c>
      <c r="X2" t="s">
        <v>72</v>
      </c>
      <c r="Y2" t="s">
        <v>67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41</v>
      </c>
      <c r="AH2" t="s">
        <v>42</v>
      </c>
      <c r="AI2" t="s">
        <v>73</v>
      </c>
      <c r="AJ2" t="s">
        <v>43</v>
      </c>
      <c r="AK2" t="s">
        <v>1</v>
      </c>
      <c r="AL2" t="s">
        <v>72</v>
      </c>
      <c r="AM2" t="s">
        <v>67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41</v>
      </c>
      <c r="AV2" t="s">
        <v>42</v>
      </c>
      <c r="AW2" t="s">
        <v>73</v>
      </c>
      <c r="AX2" t="s">
        <v>43</v>
      </c>
      <c r="AY2" t="s">
        <v>1</v>
      </c>
      <c r="AZ2" t="s">
        <v>72</v>
      </c>
      <c r="BA2" t="s">
        <v>67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41</v>
      </c>
      <c r="BJ2" t="s">
        <v>42</v>
      </c>
      <c r="BK2" t="s">
        <v>73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74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 t="s">
        <v>74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 t="s">
        <v>74</v>
      </c>
      <c r="AK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 t="s">
        <v>74</v>
      </c>
      <c r="AY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1:149" x14ac:dyDescent="0.25">
      <c r="A4">
        <v>1</v>
      </c>
      <c r="B4">
        <v>6.5458908507104702E-2</v>
      </c>
      <c r="C4">
        <v>6.5458908507104702E-2</v>
      </c>
      <c r="D4" s="1">
        <v>-4.14640850710472E-5</v>
      </c>
      <c r="E4">
        <v>6.1312499999999995E-4</v>
      </c>
      <c r="F4">
        <v>-6.5458908507104701E-4</v>
      </c>
      <c r="G4">
        <v>0</v>
      </c>
      <c r="H4" t="s">
        <v>74</v>
      </c>
      <c r="I4">
        <v>0</v>
      </c>
      <c r="J4" t="s">
        <v>75</v>
      </c>
      <c r="K4">
        <v>3.14159265358979</v>
      </c>
      <c r="L4">
        <v>0.99199999999999999</v>
      </c>
      <c r="M4">
        <v>0</v>
      </c>
      <c r="N4">
        <v>5.8245346242475203E-2</v>
      </c>
      <c r="O4">
        <v>0</v>
      </c>
      <c r="P4">
        <v>1.6E-2</v>
      </c>
      <c r="Q4">
        <v>0</v>
      </c>
      <c r="R4">
        <v>0</v>
      </c>
      <c r="S4">
        <v>0</v>
      </c>
      <c r="T4">
        <v>0</v>
      </c>
      <c r="U4">
        <v>1</v>
      </c>
      <c r="V4" t="s">
        <v>74</v>
      </c>
      <c r="W4">
        <v>0</v>
      </c>
      <c r="X4" t="s">
        <v>76</v>
      </c>
      <c r="Y4">
        <v>-1.5707963267949001</v>
      </c>
      <c r="Z4">
        <v>0.99199999999999999</v>
      </c>
      <c r="AA4">
        <v>0</v>
      </c>
      <c r="AB4">
        <v>5.8245346242475203E-2</v>
      </c>
      <c r="AC4">
        <v>0</v>
      </c>
      <c r="AD4">
        <v>1.6E-2</v>
      </c>
      <c r="AE4">
        <v>0</v>
      </c>
      <c r="AF4">
        <v>0</v>
      </c>
      <c r="AG4">
        <v>0</v>
      </c>
      <c r="AH4">
        <v>0</v>
      </c>
      <c r="AI4">
        <v>1</v>
      </c>
      <c r="AJ4" t="s">
        <v>74</v>
      </c>
      <c r="AK4">
        <v>0</v>
      </c>
      <c r="AL4" t="s">
        <v>77</v>
      </c>
      <c r="AM4">
        <v>0</v>
      </c>
      <c r="AN4">
        <v>0.99199999999999999</v>
      </c>
      <c r="AO4">
        <v>0</v>
      </c>
      <c r="AP4">
        <v>5.8245346242475203E-2</v>
      </c>
      <c r="AQ4">
        <v>0</v>
      </c>
      <c r="AR4">
        <v>1.6E-2</v>
      </c>
      <c r="AS4">
        <v>0</v>
      </c>
      <c r="AT4">
        <v>0</v>
      </c>
      <c r="AU4">
        <v>0</v>
      </c>
      <c r="AV4">
        <v>0</v>
      </c>
      <c r="AW4">
        <v>1</v>
      </c>
      <c r="AX4" t="s">
        <v>74</v>
      </c>
      <c r="AY4">
        <v>0</v>
      </c>
      <c r="AZ4" t="s">
        <v>76</v>
      </c>
      <c r="BA4">
        <v>-1.5707963267949001</v>
      </c>
      <c r="BB4">
        <v>0.99199999999999999</v>
      </c>
      <c r="BC4">
        <v>0</v>
      </c>
      <c r="BD4">
        <v>5.8245346242475203E-2</v>
      </c>
      <c r="BE4">
        <v>0</v>
      </c>
      <c r="BF4">
        <v>1.6E-2</v>
      </c>
      <c r="BG4">
        <v>0</v>
      </c>
      <c r="BH4">
        <v>0</v>
      </c>
      <c r="BI4">
        <v>0</v>
      </c>
      <c r="BJ4">
        <v>0</v>
      </c>
      <c r="BK4">
        <v>1</v>
      </c>
      <c r="BL4">
        <v>1.1649069248495E-4</v>
      </c>
      <c r="BM4">
        <v>0</v>
      </c>
      <c r="BN4" s="1">
        <v>4.3481320615740699E-7</v>
      </c>
      <c r="BO4">
        <v>0</v>
      </c>
      <c r="BP4">
        <v>0</v>
      </c>
      <c r="BQ4">
        <v>0</v>
      </c>
      <c r="BR4" s="1">
        <v>6.1429546266408705E-5</v>
      </c>
      <c r="BS4">
        <v>0</v>
      </c>
    </row>
    <row r="5" spans="1:149" x14ac:dyDescent="0.25">
      <c r="A5">
        <v>2</v>
      </c>
      <c r="B5">
        <v>6.6309234660295993E-2</v>
      </c>
      <c r="C5">
        <v>0.13176814316740099</v>
      </c>
      <c r="D5">
        <v>-4.8752992543378402E-4</v>
      </c>
      <c r="E5">
        <v>6.1312499999999995E-4</v>
      </c>
      <c r="F5">
        <v>-1.3176814316740099E-3</v>
      </c>
      <c r="G5" s="1">
        <v>1.0842021724855E-19</v>
      </c>
      <c r="H5" t="s">
        <v>74</v>
      </c>
      <c r="I5">
        <v>0</v>
      </c>
      <c r="J5" t="s">
        <v>75</v>
      </c>
      <c r="K5">
        <v>3.14159265358979</v>
      </c>
      <c r="L5">
        <v>0.98778077199057501</v>
      </c>
      <c r="M5">
        <v>0</v>
      </c>
      <c r="N5">
        <v>5.7997613988155797E-2</v>
      </c>
      <c r="O5">
        <v>0</v>
      </c>
      <c r="P5">
        <v>1.6E-2</v>
      </c>
      <c r="Q5">
        <v>0</v>
      </c>
      <c r="R5">
        <v>0</v>
      </c>
      <c r="S5">
        <v>0</v>
      </c>
      <c r="T5">
        <v>0</v>
      </c>
      <c r="U5">
        <v>1</v>
      </c>
      <c r="V5" t="s">
        <v>78</v>
      </c>
      <c r="W5">
        <v>3849331.6849450301</v>
      </c>
      <c r="X5" t="s">
        <v>76</v>
      </c>
      <c r="Y5">
        <v>-1.5707963267949001</v>
      </c>
      <c r="Z5">
        <v>0.98726135938496695</v>
      </c>
      <c r="AA5">
        <v>0</v>
      </c>
      <c r="AB5">
        <v>5.7667177965911802E-2</v>
      </c>
      <c r="AC5">
        <v>0</v>
      </c>
      <c r="AD5">
        <v>1.7043262471541198E-2</v>
      </c>
      <c r="AE5">
        <v>0</v>
      </c>
      <c r="AF5">
        <v>0</v>
      </c>
      <c r="AG5">
        <v>6.3661977236734698E-3</v>
      </c>
      <c r="AH5">
        <v>0</v>
      </c>
      <c r="AI5">
        <v>0.99574674595824098</v>
      </c>
      <c r="AJ5" t="s">
        <v>74</v>
      </c>
      <c r="AK5">
        <v>0</v>
      </c>
      <c r="AL5" t="s">
        <v>77</v>
      </c>
      <c r="AM5">
        <v>0</v>
      </c>
      <c r="AN5">
        <v>0.99199999999999999</v>
      </c>
      <c r="AO5">
        <v>0</v>
      </c>
      <c r="AP5">
        <v>5.8245346242475203E-2</v>
      </c>
      <c r="AQ5">
        <v>0</v>
      </c>
      <c r="AR5">
        <v>1.6E-2</v>
      </c>
      <c r="AS5">
        <v>0</v>
      </c>
      <c r="AT5">
        <v>0</v>
      </c>
      <c r="AU5">
        <v>0</v>
      </c>
      <c r="AV5">
        <v>0</v>
      </c>
      <c r="AW5">
        <v>1</v>
      </c>
      <c r="AX5" t="s">
        <v>74</v>
      </c>
      <c r="AY5">
        <v>0</v>
      </c>
      <c r="AZ5" t="s">
        <v>76</v>
      </c>
      <c r="BA5">
        <v>-1.5707963267949001</v>
      </c>
      <c r="BB5">
        <v>0.99199999999999999</v>
      </c>
      <c r="BC5">
        <v>0</v>
      </c>
      <c r="BD5">
        <v>5.8245346242475203E-2</v>
      </c>
      <c r="BE5">
        <v>0</v>
      </c>
      <c r="BF5">
        <v>1.6E-2</v>
      </c>
      <c r="BG5">
        <v>0</v>
      </c>
      <c r="BH5">
        <v>0</v>
      </c>
      <c r="BI5">
        <v>0</v>
      </c>
      <c r="BJ5">
        <v>0</v>
      </c>
      <c r="BK5">
        <v>1</v>
      </c>
      <c r="BL5">
        <v>1.16077742219509E-4</v>
      </c>
      <c r="BM5" s="1">
        <v>3.1830988618367301E-6</v>
      </c>
      <c r="BN5" s="1">
        <v>4.3240155854408502E-7</v>
      </c>
      <c r="BO5" s="1">
        <v>4.9999999999981601E-8</v>
      </c>
      <c r="BP5">
        <v>0</v>
      </c>
      <c r="BQ5">
        <v>0</v>
      </c>
      <c r="BR5" s="1">
        <v>6.6480020545750106E-5</v>
      </c>
      <c r="BS5" s="1">
        <v>1.82156151856191E-6</v>
      </c>
    </row>
    <row r="6" spans="1:149" x14ac:dyDescent="0.25">
      <c r="A6">
        <v>3</v>
      </c>
      <c r="B6">
        <v>1.00124963501063E-4</v>
      </c>
      <c r="C6">
        <v>0.13186826813090199</v>
      </c>
      <c r="D6">
        <v>-4.87980159897613E-4</v>
      </c>
      <c r="E6">
        <v>6.1312499999999995E-4</v>
      </c>
      <c r="F6">
        <v>-1.3186826813090199E-3</v>
      </c>
      <c r="G6" s="1">
        <v>1.0842021724855E-19</v>
      </c>
      <c r="H6" t="s">
        <v>74</v>
      </c>
      <c r="I6">
        <v>0</v>
      </c>
      <c r="J6" t="s">
        <v>75</v>
      </c>
      <c r="K6">
        <v>3.14159265358979</v>
      </c>
      <c r="L6">
        <v>0.98358364263087195</v>
      </c>
      <c r="M6">
        <v>0</v>
      </c>
      <c r="N6">
        <v>5.7751179257530399E-2</v>
      </c>
      <c r="O6">
        <v>0</v>
      </c>
      <c r="P6">
        <v>1.6E-2</v>
      </c>
      <c r="Q6">
        <v>0</v>
      </c>
      <c r="R6">
        <v>0</v>
      </c>
      <c r="S6">
        <v>0</v>
      </c>
      <c r="T6">
        <v>0</v>
      </c>
      <c r="U6">
        <v>0.99574781728566297</v>
      </c>
      <c r="V6" t="s">
        <v>78</v>
      </c>
      <c r="W6">
        <v>3853216.9898270699</v>
      </c>
      <c r="X6" t="s">
        <v>76</v>
      </c>
      <c r="Y6">
        <v>-1.5707963267949001</v>
      </c>
      <c r="Z6">
        <v>0.98299667871666396</v>
      </c>
      <c r="AA6">
        <v>0</v>
      </c>
      <c r="AB6">
        <v>5.7377768949595301E-2</v>
      </c>
      <c r="AC6">
        <v>0</v>
      </c>
      <c r="AD6">
        <v>1.7004279738140601E-2</v>
      </c>
      <c r="AE6">
        <v>1.78445968682379E-4</v>
      </c>
      <c r="AF6">
        <v>0</v>
      </c>
      <c r="AG6">
        <v>1.2599568937745401E-2</v>
      </c>
      <c r="AH6" s="1">
        <v>9.9482880569191004E-5</v>
      </c>
      <c r="AI6">
        <v>0.98729965355583504</v>
      </c>
      <c r="AJ6" t="s">
        <v>74</v>
      </c>
      <c r="AK6">
        <v>0</v>
      </c>
      <c r="AL6" t="s">
        <v>77</v>
      </c>
      <c r="AM6">
        <v>0</v>
      </c>
      <c r="AN6">
        <v>0.99199999999999999</v>
      </c>
      <c r="AO6">
        <v>0</v>
      </c>
      <c r="AP6">
        <v>5.8245346242475203E-2</v>
      </c>
      <c r="AQ6">
        <v>0</v>
      </c>
      <c r="AR6">
        <v>1.6E-2</v>
      </c>
      <c r="AS6">
        <v>0</v>
      </c>
      <c r="AT6">
        <v>0</v>
      </c>
      <c r="AU6">
        <v>0</v>
      </c>
      <c r="AV6">
        <v>0</v>
      </c>
      <c r="AW6">
        <v>1</v>
      </c>
      <c r="AX6" t="s">
        <v>74</v>
      </c>
      <c r="AY6">
        <v>0</v>
      </c>
      <c r="AZ6" t="s">
        <v>76</v>
      </c>
      <c r="BA6">
        <v>-1.5707963267949001</v>
      </c>
      <c r="BB6">
        <v>0.99199999999999999</v>
      </c>
      <c r="BC6">
        <v>0</v>
      </c>
      <c r="BD6">
        <v>5.8245346242475203E-2</v>
      </c>
      <c r="BE6">
        <v>0</v>
      </c>
      <c r="BF6">
        <v>1.6E-2</v>
      </c>
      <c r="BG6">
        <v>0</v>
      </c>
      <c r="BH6">
        <v>0</v>
      </c>
      <c r="BI6">
        <v>0</v>
      </c>
      <c r="BJ6">
        <v>0</v>
      </c>
      <c r="BK6">
        <v>1</v>
      </c>
      <c r="BL6">
        <v>1.15809820346038E-4</v>
      </c>
      <c r="BM6" s="1">
        <v>6.3495259091573201E-6</v>
      </c>
      <c r="BN6" s="1">
        <v>4.31288331882718E-7</v>
      </c>
      <c r="BO6" s="1">
        <v>9.9738119749933402E-8</v>
      </c>
      <c r="BP6">
        <v>0</v>
      </c>
      <c r="BQ6">
        <v>0</v>
      </c>
      <c r="BR6" s="1">
        <v>6.6318263967244097E-5</v>
      </c>
      <c r="BS6" s="1">
        <v>3.63393153927479E-6</v>
      </c>
    </row>
    <row r="7" spans="1:149" x14ac:dyDescent="0.25">
      <c r="A7">
        <v>4</v>
      </c>
      <c r="B7" s="1">
        <v>6.6496616110514096E-5</v>
      </c>
      <c r="C7">
        <v>0.13193476474701199</v>
      </c>
      <c r="D7">
        <v>-4.88279027223143E-4</v>
      </c>
      <c r="E7">
        <v>6.1312499999999995E-4</v>
      </c>
      <c r="F7">
        <v>-1.3193476474701201E-3</v>
      </c>
      <c r="G7" s="1">
        <v>1.0842021724855E-19</v>
      </c>
      <c r="H7" t="s">
        <v>74</v>
      </c>
      <c r="I7">
        <v>0</v>
      </c>
      <c r="J7" t="s">
        <v>75</v>
      </c>
      <c r="K7">
        <v>3.14159265358979</v>
      </c>
      <c r="L7">
        <v>0.979386661412881</v>
      </c>
      <c r="M7">
        <v>0</v>
      </c>
      <c r="N7">
        <v>5.7504753225055501E-2</v>
      </c>
      <c r="O7">
        <v>0</v>
      </c>
      <c r="P7">
        <v>1.6E-2</v>
      </c>
      <c r="Q7">
        <v>0</v>
      </c>
      <c r="R7">
        <v>0</v>
      </c>
      <c r="S7">
        <v>0</v>
      </c>
      <c r="T7">
        <v>0</v>
      </c>
      <c r="U7">
        <v>0.99080491937855797</v>
      </c>
      <c r="V7" t="s">
        <v>78</v>
      </c>
      <c r="W7">
        <v>3855796.06977819</v>
      </c>
      <c r="X7" t="s">
        <v>76</v>
      </c>
      <c r="Y7">
        <v>-1.5707963267949001</v>
      </c>
      <c r="Z7">
        <v>0.97876088515557402</v>
      </c>
      <c r="AA7">
        <v>0</v>
      </c>
      <c r="AB7">
        <v>5.7106651571313498E-2</v>
      </c>
      <c r="AC7">
        <v>0</v>
      </c>
      <c r="AD7">
        <v>1.6907070050108702E-2</v>
      </c>
      <c r="AE7">
        <v>3.57884680670851E-4</v>
      </c>
      <c r="AF7">
        <v>0</v>
      </c>
      <c r="AG7">
        <v>1.8766109418438499E-2</v>
      </c>
      <c r="AH7">
        <v>2.65572970347813E-4</v>
      </c>
      <c r="AI7">
        <v>0.97819802393214295</v>
      </c>
      <c r="AJ7" t="s">
        <v>74</v>
      </c>
      <c r="AK7">
        <v>0</v>
      </c>
      <c r="AL7" t="s">
        <v>77</v>
      </c>
      <c r="AM7">
        <v>0</v>
      </c>
      <c r="AN7">
        <v>0.99199999999999999</v>
      </c>
      <c r="AO7">
        <v>0</v>
      </c>
      <c r="AP7">
        <v>5.8245346242475203E-2</v>
      </c>
      <c r="AQ7">
        <v>0</v>
      </c>
      <c r="AR7">
        <v>1.6E-2</v>
      </c>
      <c r="AS7">
        <v>0</v>
      </c>
      <c r="AT7">
        <v>0</v>
      </c>
      <c r="AU7">
        <v>0</v>
      </c>
      <c r="AV7">
        <v>0</v>
      </c>
      <c r="AW7">
        <v>1</v>
      </c>
      <c r="AX7" t="s">
        <v>74</v>
      </c>
      <c r="AY7">
        <v>0</v>
      </c>
      <c r="AZ7" t="s">
        <v>76</v>
      </c>
      <c r="BA7">
        <v>-1.5707963267949001</v>
      </c>
      <c r="BB7">
        <v>0.99199999999999999</v>
      </c>
      <c r="BC7">
        <v>0</v>
      </c>
      <c r="BD7">
        <v>5.8245346242475203E-2</v>
      </c>
      <c r="BE7">
        <v>0</v>
      </c>
      <c r="BF7">
        <v>1.6E-2</v>
      </c>
      <c r="BG7">
        <v>0</v>
      </c>
      <c r="BH7">
        <v>0</v>
      </c>
      <c r="BI7">
        <v>0</v>
      </c>
      <c r="BJ7">
        <v>0</v>
      </c>
      <c r="BK7">
        <v>1</v>
      </c>
      <c r="BL7">
        <v>1.1555104864066E-4</v>
      </c>
      <c r="BM7" s="1">
        <v>9.5158411943931704E-6</v>
      </c>
      <c r="BN7" s="1">
        <v>4.3025741091754999E-7</v>
      </c>
      <c r="BO7" s="1">
        <v>1.49474483945164E-7</v>
      </c>
      <c r="BP7">
        <v>0</v>
      </c>
      <c r="BQ7">
        <v>0</v>
      </c>
      <c r="BR7" s="1">
        <v>6.6159328543227401E-5</v>
      </c>
      <c r="BS7" s="1">
        <v>5.4464099911477602E-6</v>
      </c>
    </row>
    <row r="8" spans="1:149" x14ac:dyDescent="0.25">
      <c r="A8">
        <v>5</v>
      </c>
      <c r="B8" s="1">
        <v>5.00323440335439E-5</v>
      </c>
      <c r="C8">
        <v>0.13198479709104599</v>
      </c>
      <c r="D8">
        <v>-4.8850382153742896E-4</v>
      </c>
      <c r="E8">
        <v>6.1312499999999995E-4</v>
      </c>
      <c r="F8">
        <v>-1.31984797091046E-3</v>
      </c>
      <c r="G8" s="1">
        <v>1.0842021724855E-19</v>
      </c>
      <c r="H8" t="s">
        <v>74</v>
      </c>
      <c r="I8">
        <v>0</v>
      </c>
      <c r="J8" t="s">
        <v>75</v>
      </c>
      <c r="K8">
        <v>3.14159265358979</v>
      </c>
      <c r="L8">
        <v>0.97518988073954804</v>
      </c>
      <c r="M8">
        <v>0</v>
      </c>
      <c r="N8">
        <v>5.7258338967573701E-2</v>
      </c>
      <c r="O8">
        <v>0</v>
      </c>
      <c r="P8">
        <v>1.6E-2</v>
      </c>
      <c r="Q8">
        <v>0</v>
      </c>
      <c r="R8">
        <v>0</v>
      </c>
      <c r="S8">
        <v>0</v>
      </c>
      <c r="T8">
        <v>0</v>
      </c>
      <c r="U8">
        <v>0.98586333775506596</v>
      </c>
      <c r="V8" t="s">
        <v>78</v>
      </c>
      <c r="W8">
        <v>3857735.9355968102</v>
      </c>
      <c r="X8" t="s">
        <v>76</v>
      </c>
      <c r="Y8">
        <v>-1.5707963267949001</v>
      </c>
      <c r="Z8">
        <v>0.97453726191343903</v>
      </c>
      <c r="AA8">
        <v>0</v>
      </c>
      <c r="AB8">
        <v>5.6843160809412499E-2</v>
      </c>
      <c r="AC8">
        <v>0</v>
      </c>
      <c r="AD8">
        <v>1.67854633459057E-2</v>
      </c>
      <c r="AE8">
        <v>5.3795034806725702E-4</v>
      </c>
      <c r="AF8">
        <v>0</v>
      </c>
      <c r="AG8">
        <v>2.4865115600737502E-2</v>
      </c>
      <c r="AH8">
        <v>4.9889476597569904E-4</v>
      </c>
      <c r="AI8">
        <v>0.96913416450674705</v>
      </c>
      <c r="AJ8" t="s">
        <v>74</v>
      </c>
      <c r="AK8">
        <v>0</v>
      </c>
      <c r="AL8" t="s">
        <v>77</v>
      </c>
      <c r="AM8">
        <v>0</v>
      </c>
      <c r="AN8">
        <v>0.99199999999999999</v>
      </c>
      <c r="AO8">
        <v>0</v>
      </c>
      <c r="AP8">
        <v>5.8245346242475203E-2</v>
      </c>
      <c r="AQ8">
        <v>0</v>
      </c>
      <c r="AR8">
        <v>1.6E-2</v>
      </c>
      <c r="AS8">
        <v>0</v>
      </c>
      <c r="AT8">
        <v>0</v>
      </c>
      <c r="AU8">
        <v>0</v>
      </c>
      <c r="AV8">
        <v>0</v>
      </c>
      <c r="AW8">
        <v>1</v>
      </c>
      <c r="AX8" t="s">
        <v>74</v>
      </c>
      <c r="AY8">
        <v>0</v>
      </c>
      <c r="AZ8" t="s">
        <v>76</v>
      </c>
      <c r="BA8">
        <v>-1.5707963267949001</v>
      </c>
      <c r="BB8">
        <v>0.99199999999999999</v>
      </c>
      <c r="BC8">
        <v>0</v>
      </c>
      <c r="BD8">
        <v>5.8245346242475203E-2</v>
      </c>
      <c r="BE8">
        <v>0</v>
      </c>
      <c r="BF8">
        <v>1.6E-2</v>
      </c>
      <c r="BG8">
        <v>0</v>
      </c>
      <c r="BH8">
        <v>0</v>
      </c>
      <c r="BI8">
        <v>0</v>
      </c>
      <c r="BJ8">
        <v>0</v>
      </c>
      <c r="BK8">
        <v>1</v>
      </c>
      <c r="BL8">
        <v>1.15296096130968E-4</v>
      </c>
      <c r="BM8" s="1">
        <v>1.2682005183356601E-5</v>
      </c>
      <c r="BN8" s="1">
        <v>4.2926080068997097E-7</v>
      </c>
      <c r="BO8" s="1">
        <v>1.99208471584104E-7</v>
      </c>
      <c r="BP8">
        <v>0</v>
      </c>
      <c r="BQ8">
        <v>0</v>
      </c>
      <c r="BR8" s="1">
        <v>6.6001391913306001E-5</v>
      </c>
      <c r="BS8" s="1">
        <v>7.25891835592085E-6</v>
      </c>
    </row>
    <row r="9" spans="1:149" x14ac:dyDescent="0.25">
      <c r="A9">
        <v>6</v>
      </c>
      <c r="B9" s="1">
        <v>4.0224316327977897E-5</v>
      </c>
      <c r="C9">
        <v>0.13202502140737399</v>
      </c>
      <c r="D9">
        <v>-4.8868450336974104E-4</v>
      </c>
      <c r="E9">
        <v>6.1312499999999995E-4</v>
      </c>
      <c r="F9">
        <v>-1.3202502140737401E-3</v>
      </c>
      <c r="G9">
        <v>0</v>
      </c>
      <c r="H9" t="s">
        <v>74</v>
      </c>
      <c r="I9">
        <v>0</v>
      </c>
      <c r="J9" t="s">
        <v>75</v>
      </c>
      <c r="K9">
        <v>3.14159265358979</v>
      </c>
      <c r="L9">
        <v>0.97099331218288298</v>
      </c>
      <c r="M9">
        <v>0</v>
      </c>
      <c r="N9">
        <v>5.7011937164536099E-2</v>
      </c>
      <c r="O9">
        <v>0</v>
      </c>
      <c r="P9">
        <v>1.6E-2</v>
      </c>
      <c r="Q9">
        <v>0</v>
      </c>
      <c r="R9">
        <v>0</v>
      </c>
      <c r="S9">
        <v>0</v>
      </c>
      <c r="T9">
        <v>0</v>
      </c>
      <c r="U9">
        <v>0.98106006597651996</v>
      </c>
      <c r="V9" t="s">
        <v>78</v>
      </c>
      <c r="W9">
        <v>3859295.1321079</v>
      </c>
      <c r="X9" t="s">
        <v>76</v>
      </c>
      <c r="Y9">
        <v>-1.5707963267949001</v>
      </c>
      <c r="Z9">
        <v>0.97032048184983499</v>
      </c>
      <c r="AA9">
        <v>0</v>
      </c>
      <c r="AB9">
        <v>5.6583901001239799E-2</v>
      </c>
      <c r="AC9">
        <v>0</v>
      </c>
      <c r="AD9">
        <v>1.66503251730367E-2</v>
      </c>
      <c r="AE9">
        <v>7.1843697428171697E-4</v>
      </c>
      <c r="AF9">
        <v>0</v>
      </c>
      <c r="AG9">
        <v>3.08959730181135E-2</v>
      </c>
      <c r="AH9">
        <v>8.0004527350954399E-4</v>
      </c>
      <c r="AI9">
        <v>0.96024527809603</v>
      </c>
      <c r="AJ9" t="s">
        <v>74</v>
      </c>
      <c r="AK9">
        <v>0</v>
      </c>
      <c r="AL9" t="s">
        <v>77</v>
      </c>
      <c r="AM9">
        <v>0</v>
      </c>
      <c r="AN9">
        <v>0.99199999999999999</v>
      </c>
      <c r="AO9">
        <v>0</v>
      </c>
      <c r="AP9">
        <v>5.8245346242475203E-2</v>
      </c>
      <c r="AQ9">
        <v>0</v>
      </c>
      <c r="AR9">
        <v>1.6E-2</v>
      </c>
      <c r="AS9">
        <v>0</v>
      </c>
      <c r="AT9">
        <v>0</v>
      </c>
      <c r="AU9">
        <v>0</v>
      </c>
      <c r="AV9">
        <v>0</v>
      </c>
      <c r="AW9">
        <v>1</v>
      </c>
      <c r="AX9" t="s">
        <v>74</v>
      </c>
      <c r="AY9">
        <v>0</v>
      </c>
      <c r="AZ9" t="s">
        <v>76</v>
      </c>
      <c r="BA9">
        <v>-1.5707963267949001</v>
      </c>
      <c r="BB9">
        <v>0.99199999999999999</v>
      </c>
      <c r="BC9">
        <v>0</v>
      </c>
      <c r="BD9">
        <v>5.8245346242475203E-2</v>
      </c>
      <c r="BE9">
        <v>0</v>
      </c>
      <c r="BF9">
        <v>1.6E-2</v>
      </c>
      <c r="BG9">
        <v>0</v>
      </c>
      <c r="BH9">
        <v>0</v>
      </c>
      <c r="BI9">
        <v>0</v>
      </c>
      <c r="BJ9">
        <v>0</v>
      </c>
      <c r="BK9">
        <v>1</v>
      </c>
      <c r="BL9">
        <v>1.15043265325363E-4</v>
      </c>
      <c r="BM9" s="1">
        <v>1.58480091458115E-5</v>
      </c>
      <c r="BN9" s="1">
        <v>4.2828322019663399E-7</v>
      </c>
      <c r="BO9" s="1">
        <v>2.4893994553252698E-7</v>
      </c>
      <c r="BP9">
        <v>0</v>
      </c>
      <c r="BQ9">
        <v>0</v>
      </c>
      <c r="BR9" s="1">
        <v>6.5843959860037996E-5</v>
      </c>
      <c r="BS9" s="1">
        <v>9.0714236805035903E-6</v>
      </c>
    </row>
    <row r="10" spans="1:149" x14ac:dyDescent="0.25">
      <c r="A10">
        <v>7</v>
      </c>
      <c r="B10" s="1">
        <v>3.3706612746375597E-5</v>
      </c>
      <c r="C10">
        <v>0.13205872802012</v>
      </c>
      <c r="D10">
        <v>-4.8883587816595301E-4</v>
      </c>
      <c r="E10">
        <v>6.1312499999999995E-4</v>
      </c>
      <c r="F10">
        <v>-1.3205872802011999E-3</v>
      </c>
      <c r="G10">
        <v>0</v>
      </c>
      <c r="H10" t="s">
        <v>74</v>
      </c>
      <c r="I10">
        <v>0</v>
      </c>
      <c r="J10" t="s">
        <v>75</v>
      </c>
      <c r="K10">
        <v>3.14159265358979</v>
      </c>
      <c r="L10">
        <v>0.96679695986526804</v>
      </c>
      <c r="M10">
        <v>0</v>
      </c>
      <c r="N10">
        <v>5.6765548057988897E-2</v>
      </c>
      <c r="O10">
        <v>0</v>
      </c>
      <c r="P10">
        <v>1.6E-2</v>
      </c>
      <c r="Q10">
        <v>0</v>
      </c>
      <c r="R10">
        <v>0</v>
      </c>
      <c r="S10">
        <v>0</v>
      </c>
      <c r="T10">
        <v>0</v>
      </c>
      <c r="U10">
        <v>0.97639471715130499</v>
      </c>
      <c r="V10" t="s">
        <v>78</v>
      </c>
      <c r="W10">
        <v>3860601.4231229001</v>
      </c>
      <c r="X10" t="s">
        <v>76</v>
      </c>
      <c r="Y10">
        <v>-1.5707963267949001</v>
      </c>
      <c r="Z10">
        <v>0.96610814894885999</v>
      </c>
      <c r="AA10">
        <v>0</v>
      </c>
      <c r="AB10">
        <v>5.6327345486840298E-2</v>
      </c>
      <c r="AC10">
        <v>0</v>
      </c>
      <c r="AD10">
        <v>1.6506583689152799E-2</v>
      </c>
      <c r="AE10">
        <v>8.9920334461290202E-4</v>
      </c>
      <c r="AF10">
        <v>0</v>
      </c>
      <c r="AG10">
        <v>3.6858109280409099E-2</v>
      </c>
      <c r="AH10">
        <v>1.1695906630367901E-3</v>
      </c>
      <c r="AI10">
        <v>0.951531153905534</v>
      </c>
      <c r="AJ10" t="s">
        <v>74</v>
      </c>
      <c r="AK10">
        <v>0</v>
      </c>
      <c r="AL10" t="s">
        <v>77</v>
      </c>
      <c r="AM10">
        <v>0</v>
      </c>
      <c r="AN10">
        <v>0.99199999999999999</v>
      </c>
      <c r="AO10">
        <v>0</v>
      </c>
      <c r="AP10">
        <v>5.8245346242475203E-2</v>
      </c>
      <c r="AQ10">
        <v>0</v>
      </c>
      <c r="AR10">
        <v>1.6E-2</v>
      </c>
      <c r="AS10">
        <v>0</v>
      </c>
      <c r="AT10">
        <v>0</v>
      </c>
      <c r="AU10">
        <v>0</v>
      </c>
      <c r="AV10">
        <v>0</v>
      </c>
      <c r="AW10">
        <v>1</v>
      </c>
      <c r="AX10" t="s">
        <v>74</v>
      </c>
      <c r="AY10">
        <v>0</v>
      </c>
      <c r="AZ10" t="s">
        <v>76</v>
      </c>
      <c r="BA10">
        <v>-1.5707963267949001</v>
      </c>
      <c r="BB10">
        <v>0.99199999999999999</v>
      </c>
      <c r="BC10">
        <v>0</v>
      </c>
      <c r="BD10">
        <v>5.8245346242475203E-2</v>
      </c>
      <c r="BE10">
        <v>0</v>
      </c>
      <c r="BF10">
        <v>1.6E-2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1.1479179301488999E-4</v>
      </c>
      <c r="BM10" s="1">
        <v>1.9013849971722999E-5</v>
      </c>
      <c r="BN10" s="1">
        <v>4.27317799281994E-7</v>
      </c>
      <c r="BO10" s="1">
        <v>2.9866885693811699E-7</v>
      </c>
      <c r="BP10">
        <v>0</v>
      </c>
      <c r="BQ10">
        <v>0</v>
      </c>
      <c r="BR10" s="1">
        <v>6.56868319509327E-5</v>
      </c>
      <c r="BS10" s="1">
        <v>1.0883907378913499E-5</v>
      </c>
      <c r="ES10" s="1"/>
    </row>
    <row r="11" spans="1:149" x14ac:dyDescent="0.25">
      <c r="A11">
        <v>8</v>
      </c>
      <c r="B11" s="1">
        <v>2.9059288511954101E-5</v>
      </c>
      <c r="C11">
        <v>0.13208778730863199</v>
      </c>
      <c r="D11">
        <v>-4.8896636005563501E-4</v>
      </c>
      <c r="E11">
        <v>6.1312499999999995E-4</v>
      </c>
      <c r="F11">
        <v>-1.3208778730863201E-3</v>
      </c>
      <c r="G11">
        <v>0</v>
      </c>
      <c r="H11" t="s">
        <v>74</v>
      </c>
      <c r="I11">
        <v>0</v>
      </c>
      <c r="J11" t="s">
        <v>75</v>
      </c>
      <c r="K11">
        <v>3.14159265358979</v>
      </c>
      <c r="L11">
        <v>0.96260082661592095</v>
      </c>
      <c r="M11">
        <v>0</v>
      </c>
      <c r="N11">
        <v>5.6519171814049501E-2</v>
      </c>
      <c r="O11">
        <v>0</v>
      </c>
      <c r="P11">
        <v>1.6E-2</v>
      </c>
      <c r="Q11">
        <v>0</v>
      </c>
      <c r="R11">
        <v>0</v>
      </c>
      <c r="S11">
        <v>0</v>
      </c>
      <c r="T11">
        <v>0</v>
      </c>
      <c r="U11">
        <v>0.971837780621156</v>
      </c>
      <c r="V11" t="s">
        <v>78</v>
      </c>
      <c r="W11">
        <v>3861727.4184958101</v>
      </c>
      <c r="X11" t="s">
        <v>76</v>
      </c>
      <c r="Y11">
        <v>-1.5707963267949001</v>
      </c>
      <c r="Z11">
        <v>0.96189897690014803</v>
      </c>
      <c r="AA11">
        <v>0</v>
      </c>
      <c r="AB11">
        <v>5.6072674317164499E-2</v>
      </c>
      <c r="AC11">
        <v>0</v>
      </c>
      <c r="AD11">
        <v>1.63569057174263E-2</v>
      </c>
      <c r="AE11">
        <v>1.0801483087859E-3</v>
      </c>
      <c r="AF11">
        <v>0</v>
      </c>
      <c r="AG11">
        <v>4.27509684291223E-2</v>
      </c>
      <c r="AH11">
        <v>1.60808262418489E-3</v>
      </c>
      <c r="AI11">
        <v>0.94296244006615604</v>
      </c>
      <c r="AJ11" t="s">
        <v>74</v>
      </c>
      <c r="AK11">
        <v>0</v>
      </c>
      <c r="AL11" t="s">
        <v>77</v>
      </c>
      <c r="AM11">
        <v>0</v>
      </c>
      <c r="AN11">
        <v>0.99199999999999999</v>
      </c>
      <c r="AO11">
        <v>0</v>
      </c>
      <c r="AP11">
        <v>5.8245346242475203E-2</v>
      </c>
      <c r="AQ11">
        <v>0</v>
      </c>
      <c r="AR11">
        <v>1.6E-2</v>
      </c>
      <c r="AS11">
        <v>0</v>
      </c>
      <c r="AT11">
        <v>0</v>
      </c>
      <c r="AU11">
        <v>0</v>
      </c>
      <c r="AV11">
        <v>0</v>
      </c>
      <c r="AW11">
        <v>1</v>
      </c>
      <c r="AX11" t="s">
        <v>74</v>
      </c>
      <c r="AY11">
        <v>0</v>
      </c>
      <c r="AZ11" t="s">
        <v>76</v>
      </c>
      <c r="BA11">
        <v>-1.5707963267949001</v>
      </c>
      <c r="BB11">
        <v>0.99199999999999999</v>
      </c>
      <c r="BC11">
        <v>0</v>
      </c>
      <c r="BD11">
        <v>5.8245346242475203E-2</v>
      </c>
      <c r="BE11">
        <v>0</v>
      </c>
      <c r="BF11">
        <v>1.6E-2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1.1454126930808201E-4</v>
      </c>
      <c r="BM11" s="1">
        <v>2.2179525526653599E-5</v>
      </c>
      <c r="BN11" s="1">
        <v>4.2636084804785098E-7</v>
      </c>
      <c r="BO11" s="1">
        <v>3.4839517227321099E-7</v>
      </c>
      <c r="BP11">
        <v>0</v>
      </c>
      <c r="BQ11">
        <v>0</v>
      </c>
      <c r="BR11" s="1">
        <v>6.5529908212479197E-5</v>
      </c>
      <c r="BS11" s="1">
        <v>1.26963570127812E-5</v>
      </c>
    </row>
    <row r="12" spans="1:149" x14ac:dyDescent="0.25">
      <c r="A12">
        <v>9</v>
      </c>
      <c r="B12" s="1">
        <v>2.5577857321989099E-5</v>
      </c>
      <c r="C12">
        <v>0.13211336516595401</v>
      </c>
      <c r="D12">
        <v>-4.89081192951038E-4</v>
      </c>
      <c r="E12">
        <v>6.1312499999999995E-4</v>
      </c>
      <c r="F12">
        <v>-1.3211336516595401E-3</v>
      </c>
      <c r="G12" s="1">
        <v>1.0842021724855E-19</v>
      </c>
      <c r="H12" t="s">
        <v>74</v>
      </c>
      <c r="I12">
        <v>0</v>
      </c>
      <c r="J12" t="s">
        <v>75</v>
      </c>
      <c r="K12">
        <v>3.14159265358979</v>
      </c>
      <c r="L12">
        <v>0.95840491537510997</v>
      </c>
      <c r="M12">
        <v>0</v>
      </c>
      <c r="N12">
        <v>5.62728086053563E-2</v>
      </c>
      <c r="O12">
        <v>0</v>
      </c>
      <c r="P12">
        <v>1.6E-2</v>
      </c>
      <c r="Q12">
        <v>0</v>
      </c>
      <c r="R12">
        <v>0</v>
      </c>
      <c r="S12">
        <v>0</v>
      </c>
      <c r="T12">
        <v>0</v>
      </c>
      <c r="U12">
        <v>0.96735985086634202</v>
      </c>
      <c r="V12" t="s">
        <v>78</v>
      </c>
      <c r="W12">
        <v>3862718.3706440199</v>
      </c>
      <c r="X12" t="s">
        <v>76</v>
      </c>
      <c r="Y12">
        <v>-1.5707963267949001</v>
      </c>
      <c r="Z12">
        <v>0.95769219478451495</v>
      </c>
      <c r="AA12">
        <v>0</v>
      </c>
      <c r="AB12">
        <v>5.5819395356736398E-2</v>
      </c>
      <c r="AC12">
        <v>0</v>
      </c>
      <c r="AD12">
        <v>1.6202901711252798E-2</v>
      </c>
      <c r="AE12">
        <v>1.26119752710944E-3</v>
      </c>
      <c r="AF12">
        <v>0</v>
      </c>
      <c r="AG12">
        <v>4.8573996802699401E-2</v>
      </c>
      <c r="AH12">
        <v>2.1160703820698999E-3</v>
      </c>
      <c r="AI12">
        <v>0.93450988126974099</v>
      </c>
      <c r="AJ12" t="s">
        <v>74</v>
      </c>
      <c r="AK12">
        <v>0</v>
      </c>
      <c r="AL12" t="s">
        <v>77</v>
      </c>
      <c r="AM12">
        <v>0</v>
      </c>
      <c r="AN12">
        <v>0.99199999999999999</v>
      </c>
      <c r="AO12">
        <v>0</v>
      </c>
      <c r="AP12">
        <v>5.8245346242475203E-2</v>
      </c>
      <c r="AQ12">
        <v>0</v>
      </c>
      <c r="AR12">
        <v>1.6E-2</v>
      </c>
      <c r="AS12">
        <v>0</v>
      </c>
      <c r="AT12">
        <v>0</v>
      </c>
      <c r="AU12">
        <v>0</v>
      </c>
      <c r="AV12">
        <v>0</v>
      </c>
      <c r="AW12">
        <v>1</v>
      </c>
      <c r="AX12" t="s">
        <v>74</v>
      </c>
      <c r="AY12">
        <v>0</v>
      </c>
      <c r="AZ12" t="s">
        <v>76</v>
      </c>
      <c r="BA12">
        <v>-1.5707963267949001</v>
      </c>
      <c r="BB12">
        <v>0.99199999999999999</v>
      </c>
      <c r="BC12">
        <v>0</v>
      </c>
      <c r="BD12">
        <v>5.8245346242475203E-2</v>
      </c>
      <c r="BE12">
        <v>0</v>
      </c>
      <c r="BF12">
        <v>1.6E-2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1.14291448223522E-4</v>
      </c>
      <c r="BM12" s="1">
        <v>2.53450335923846E-5</v>
      </c>
      <c r="BN12" s="1">
        <v>4.2541015175208099E-7</v>
      </c>
      <c r="BO12" s="1">
        <v>3.98118856694111E-7</v>
      </c>
      <c r="BP12">
        <v>0</v>
      </c>
      <c r="BQ12">
        <v>0</v>
      </c>
      <c r="BR12" s="1">
        <v>6.5373131937511195E-5</v>
      </c>
      <c r="BS12" s="1">
        <v>1.4508763298468499E-5</v>
      </c>
    </row>
    <row r="13" spans="1:149" x14ac:dyDescent="0.25">
      <c r="A13">
        <v>10</v>
      </c>
      <c r="B13" s="1">
        <v>2.2872606585226202E-5</v>
      </c>
      <c r="C13">
        <v>0.13213623777253899</v>
      </c>
      <c r="D13">
        <v>-4.8918386737375498E-4</v>
      </c>
      <c r="E13">
        <v>6.1312499999999995E-4</v>
      </c>
      <c r="F13">
        <v>-1.32136237772539E-3</v>
      </c>
      <c r="G13">
        <v>0</v>
      </c>
      <c r="H13" t="s">
        <v>74</v>
      </c>
      <c r="I13">
        <v>0</v>
      </c>
      <c r="J13" t="s">
        <v>75</v>
      </c>
      <c r="K13">
        <v>3.14159265358979</v>
      </c>
      <c r="L13">
        <v>0.95420922946060505</v>
      </c>
      <c r="M13">
        <v>0</v>
      </c>
      <c r="N13">
        <v>5.60264586267121E-2</v>
      </c>
      <c r="O13">
        <v>0</v>
      </c>
      <c r="P13">
        <v>1.6E-2</v>
      </c>
      <c r="Q13">
        <v>0</v>
      </c>
      <c r="R13">
        <v>0</v>
      </c>
      <c r="S13">
        <v>0</v>
      </c>
      <c r="T13">
        <v>0</v>
      </c>
      <c r="U13">
        <v>0.96293805225976403</v>
      </c>
      <c r="V13" t="s">
        <v>78</v>
      </c>
      <c r="W13">
        <v>3863604.4010745799</v>
      </c>
      <c r="X13" t="s">
        <v>76</v>
      </c>
      <c r="Y13">
        <v>-1.5707963267949001</v>
      </c>
      <c r="Z13">
        <v>0.95348730430819995</v>
      </c>
      <c r="AA13">
        <v>0</v>
      </c>
      <c r="AB13">
        <v>5.5567189688893202E-2</v>
      </c>
      <c r="AC13">
        <v>0</v>
      </c>
      <c r="AD13">
        <v>1.60456206780159E-2</v>
      </c>
      <c r="AE13">
        <v>1.4422948989052499E-3</v>
      </c>
      <c r="AF13">
        <v>0</v>
      </c>
      <c r="AG13">
        <v>5.4326636006775703E-2</v>
      </c>
      <c r="AH13">
        <v>2.6941073250291302E-3</v>
      </c>
      <c r="AI13">
        <v>0.92615074801596298</v>
      </c>
      <c r="AJ13" t="s">
        <v>74</v>
      </c>
      <c r="AK13">
        <v>0</v>
      </c>
      <c r="AL13" t="s">
        <v>77</v>
      </c>
      <c r="AM13">
        <v>0</v>
      </c>
      <c r="AN13">
        <v>0.99199999999999999</v>
      </c>
      <c r="AO13">
        <v>0</v>
      </c>
      <c r="AP13">
        <v>5.8245346242475203E-2</v>
      </c>
      <c r="AQ13">
        <v>0</v>
      </c>
      <c r="AR13">
        <v>1.6E-2</v>
      </c>
      <c r="AS13">
        <v>0</v>
      </c>
      <c r="AT13">
        <v>0</v>
      </c>
      <c r="AU13">
        <v>0</v>
      </c>
      <c r="AV13">
        <v>0</v>
      </c>
      <c r="AW13">
        <v>1</v>
      </c>
      <c r="AX13" t="s">
        <v>74</v>
      </c>
      <c r="AY13">
        <v>0</v>
      </c>
      <c r="AZ13" t="s">
        <v>76</v>
      </c>
      <c r="BA13">
        <v>-1.5707963267949001</v>
      </c>
      <c r="BB13">
        <v>0.99199999999999999</v>
      </c>
      <c r="BC13">
        <v>0</v>
      </c>
      <c r="BD13">
        <v>5.8245346242475203E-2</v>
      </c>
      <c r="BE13">
        <v>0</v>
      </c>
      <c r="BF13">
        <v>1.6E-2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1.14042170400278E-4</v>
      </c>
      <c r="BM13" s="1">
        <v>2.85103716659024E-5</v>
      </c>
      <c r="BN13" s="1">
        <v>4.2446427512020798E-7</v>
      </c>
      <c r="BO13" s="1">
        <v>4.47839870883569E-7</v>
      </c>
      <c r="BP13">
        <v>0</v>
      </c>
      <c r="BQ13">
        <v>0</v>
      </c>
      <c r="BR13" s="1">
        <v>6.5216467999964798E-5</v>
      </c>
      <c r="BS13" s="1">
        <v>1.6321118795926199E-5</v>
      </c>
    </row>
    <row r="14" spans="1:149" x14ac:dyDescent="0.25">
      <c r="A14">
        <v>11</v>
      </c>
      <c r="B14" s="1">
        <v>2.0710297109274601E-5</v>
      </c>
      <c r="C14">
        <v>0.13215694806964901</v>
      </c>
      <c r="D14">
        <v>-4.8927682462409998E-4</v>
      </c>
      <c r="E14">
        <v>6.1312499999999995E-4</v>
      </c>
      <c r="F14">
        <v>-1.3215694806964901E-3</v>
      </c>
      <c r="G14" s="1">
        <v>1.0842021724855E-19</v>
      </c>
      <c r="H14" t="s">
        <v>74</v>
      </c>
      <c r="I14">
        <v>0</v>
      </c>
      <c r="J14" t="s">
        <v>75</v>
      </c>
      <c r="K14">
        <v>3.14159265358979</v>
      </c>
      <c r="L14">
        <v>0.95001377255152197</v>
      </c>
      <c r="M14">
        <v>0</v>
      </c>
      <c r="N14">
        <v>5.5780122094136603E-2</v>
      </c>
      <c r="O14">
        <v>0</v>
      </c>
      <c r="P14">
        <v>1.6E-2</v>
      </c>
      <c r="Q14">
        <v>0</v>
      </c>
      <c r="R14">
        <v>0</v>
      </c>
      <c r="S14">
        <v>0</v>
      </c>
      <c r="T14">
        <v>0</v>
      </c>
      <c r="U14">
        <v>0.95855601224530496</v>
      </c>
      <c r="V14" t="s">
        <v>78</v>
      </c>
      <c r="W14">
        <v>3864406.5770242298</v>
      </c>
      <c r="X14" t="s">
        <v>76</v>
      </c>
      <c r="Y14">
        <v>-1.5707963267949001</v>
      </c>
      <c r="Z14">
        <v>0.94928396513616098</v>
      </c>
      <c r="AA14">
        <v>0</v>
      </c>
      <c r="AB14">
        <v>5.5315838677303497E-2</v>
      </c>
      <c r="AC14">
        <v>0</v>
      </c>
      <c r="AD14">
        <v>1.5885785225080301E-2</v>
      </c>
      <c r="AE14">
        <v>1.6233968526080599E-3</v>
      </c>
      <c r="AF14">
        <v>0</v>
      </c>
      <c r="AG14">
        <v>6.0008319801393997E-2</v>
      </c>
      <c r="AH14">
        <v>3.3427541417730801E-3</v>
      </c>
      <c r="AI14">
        <v>0.91786881190616398</v>
      </c>
      <c r="AJ14" t="s">
        <v>74</v>
      </c>
      <c r="AK14">
        <v>0</v>
      </c>
      <c r="AL14" t="s">
        <v>77</v>
      </c>
      <c r="AM14">
        <v>0</v>
      </c>
      <c r="AN14">
        <v>0.99199999999999999</v>
      </c>
      <c r="AO14">
        <v>0</v>
      </c>
      <c r="AP14">
        <v>5.8245346242475203E-2</v>
      </c>
      <c r="AQ14">
        <v>0</v>
      </c>
      <c r="AR14">
        <v>1.6E-2</v>
      </c>
      <c r="AS14">
        <v>0</v>
      </c>
      <c r="AT14">
        <v>0</v>
      </c>
      <c r="AU14">
        <v>0</v>
      </c>
      <c r="AV14">
        <v>0</v>
      </c>
      <c r="AW14">
        <v>1</v>
      </c>
      <c r="AX14" t="s">
        <v>74</v>
      </c>
      <c r="AY14">
        <v>0</v>
      </c>
      <c r="AZ14" t="s">
        <v>76</v>
      </c>
      <c r="BA14">
        <v>-1.5707963267949001</v>
      </c>
      <c r="BB14">
        <v>0.99199999999999999</v>
      </c>
      <c r="BC14">
        <v>0</v>
      </c>
      <c r="BD14">
        <v>5.8245346242475203E-2</v>
      </c>
      <c r="BE14">
        <v>0</v>
      </c>
      <c r="BF14">
        <v>1.6E-2</v>
      </c>
      <c r="BG14">
        <v>0</v>
      </c>
      <c r="BH14">
        <v>0</v>
      </c>
      <c r="BI14">
        <v>0</v>
      </c>
      <c r="BJ14">
        <v>0</v>
      </c>
      <c r="BK14">
        <v>1</v>
      </c>
      <c r="BL14">
        <v>1.13793326628195E-4</v>
      </c>
      <c r="BM14" s="1">
        <v>3.1675536971583603E-5</v>
      </c>
      <c r="BN14" s="1">
        <v>4.2352223412296798E-7</v>
      </c>
      <c r="BO14" s="1">
        <v>4.9755817124219404E-7</v>
      </c>
      <c r="BP14">
        <v>0</v>
      </c>
      <c r="BQ14">
        <v>0</v>
      </c>
      <c r="BR14" s="1">
        <v>6.5059893201495705E-5</v>
      </c>
      <c r="BS14" s="1">
        <v>1.8133417249671701E-5</v>
      </c>
    </row>
    <row r="15" spans="1:149" x14ac:dyDescent="0.25">
      <c r="A15">
        <v>12</v>
      </c>
      <c r="B15" s="1">
        <v>1.8942733563803701E-5</v>
      </c>
      <c r="C15">
        <v>0.13217589080321199</v>
      </c>
      <c r="D15">
        <v>-4.8936183943951704E-4</v>
      </c>
      <c r="E15">
        <v>6.1312499999999995E-4</v>
      </c>
      <c r="F15">
        <v>-1.3217589080321199E-3</v>
      </c>
      <c r="G15" s="1">
        <v>1.0842021724855E-19</v>
      </c>
      <c r="H15" t="s">
        <v>74</v>
      </c>
      <c r="I15">
        <v>0</v>
      </c>
      <c r="J15" t="s">
        <v>75</v>
      </c>
      <c r="K15">
        <v>3.14159265358979</v>
      </c>
      <c r="L15">
        <v>0.94581854861976</v>
      </c>
      <c r="M15">
        <v>0</v>
      </c>
      <c r="N15">
        <v>5.5533799240840002E-2</v>
      </c>
      <c r="O15">
        <v>0</v>
      </c>
      <c r="P15">
        <v>1.6E-2</v>
      </c>
      <c r="Q15">
        <v>0</v>
      </c>
      <c r="R15">
        <v>0</v>
      </c>
      <c r="S15">
        <v>0</v>
      </c>
      <c r="T15">
        <v>0</v>
      </c>
      <c r="U15">
        <v>0.95420238409824198</v>
      </c>
      <c r="V15" t="s">
        <v>78</v>
      </c>
      <c r="W15">
        <v>3865140.2136156601</v>
      </c>
      <c r="X15" t="s">
        <v>76</v>
      </c>
      <c r="Y15">
        <v>-1.5707963267949001</v>
      </c>
      <c r="Z15">
        <v>0.94508193486681003</v>
      </c>
      <c r="AA15">
        <v>0</v>
      </c>
      <c r="AB15">
        <v>5.5065185819135901E-2</v>
      </c>
      <c r="AC15">
        <v>0</v>
      </c>
      <c r="AD15">
        <v>1.5723915180274502E-2</v>
      </c>
      <c r="AE15">
        <v>1.8044685326998901E-3</v>
      </c>
      <c r="AF15">
        <v>0</v>
      </c>
      <c r="AG15">
        <v>6.5618472942918699E-2</v>
      </c>
      <c r="AH15">
        <v>4.0625800829216302E-3</v>
      </c>
      <c r="AI15">
        <v>0.909652869283884</v>
      </c>
      <c r="AJ15" t="s">
        <v>74</v>
      </c>
      <c r="AK15">
        <v>0</v>
      </c>
      <c r="AL15" t="s">
        <v>77</v>
      </c>
      <c r="AM15">
        <v>0</v>
      </c>
      <c r="AN15">
        <v>0.99199999999999999</v>
      </c>
      <c r="AO15">
        <v>0</v>
      </c>
      <c r="AP15">
        <v>5.8245346242475203E-2</v>
      </c>
      <c r="AQ15">
        <v>0</v>
      </c>
      <c r="AR15">
        <v>1.6E-2</v>
      </c>
      <c r="AS15">
        <v>0</v>
      </c>
      <c r="AT15">
        <v>0</v>
      </c>
      <c r="AU15">
        <v>0</v>
      </c>
      <c r="AV15">
        <v>0</v>
      </c>
      <c r="AW15">
        <v>1</v>
      </c>
      <c r="AX15" t="s">
        <v>74</v>
      </c>
      <c r="AY15">
        <v>0</v>
      </c>
      <c r="AZ15" t="s">
        <v>76</v>
      </c>
      <c r="BA15">
        <v>-1.5707963267949001</v>
      </c>
      <c r="BB15">
        <v>0.99199999999999999</v>
      </c>
      <c r="BC15">
        <v>0</v>
      </c>
      <c r="BD15">
        <v>5.8245346242475203E-2</v>
      </c>
      <c r="BE15">
        <v>0</v>
      </c>
      <c r="BF15">
        <v>1.6E-2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1.1354483877246299E-4</v>
      </c>
      <c r="BM15" s="1">
        <v>3.4840526512920202E-5</v>
      </c>
      <c r="BN15" s="1">
        <v>4.2258332431865502E-7</v>
      </c>
      <c r="BO15" s="1">
        <v>5.4727371070095202E-7</v>
      </c>
      <c r="BP15">
        <v>0</v>
      </c>
      <c r="BQ15">
        <v>0</v>
      </c>
      <c r="BR15" s="1">
        <v>6.4903391457270704E-5</v>
      </c>
      <c r="BS15" s="1">
        <v>1.9945653218015201E-5</v>
      </c>
    </row>
    <row r="16" spans="1:149" x14ac:dyDescent="0.25">
      <c r="A16">
        <v>13</v>
      </c>
      <c r="B16" s="1">
        <v>1.74712151738467E-5</v>
      </c>
      <c r="C16">
        <v>0.132193362018386</v>
      </c>
      <c r="D16">
        <v>-4.8944024266726503E-4</v>
      </c>
      <c r="E16">
        <v>6.1312499999999995E-4</v>
      </c>
      <c r="F16">
        <v>-1.32193362018386E-3</v>
      </c>
      <c r="G16" s="1">
        <v>1.0842021724855E-19</v>
      </c>
      <c r="H16" t="s">
        <v>74</v>
      </c>
      <c r="I16">
        <v>0</v>
      </c>
      <c r="J16" t="s">
        <v>75</v>
      </c>
      <c r="K16">
        <v>3.14159265358979</v>
      </c>
      <c r="L16">
        <v>0.94162356186892204</v>
      </c>
      <c r="M16">
        <v>0</v>
      </c>
      <c r="N16">
        <v>5.5287490313637201E-2</v>
      </c>
      <c r="O16">
        <v>0</v>
      </c>
      <c r="P16">
        <v>1.6E-2</v>
      </c>
      <c r="Q16">
        <v>0</v>
      </c>
      <c r="R16">
        <v>0</v>
      </c>
      <c r="S16">
        <v>0</v>
      </c>
      <c r="T16">
        <v>0</v>
      </c>
      <c r="U16">
        <v>0.94986937628791401</v>
      </c>
      <c r="V16" t="s">
        <v>78</v>
      </c>
      <c r="W16">
        <v>3865816.7954147202</v>
      </c>
      <c r="X16" t="s">
        <v>76</v>
      </c>
      <c r="Y16">
        <v>-1.5707963267949001</v>
      </c>
      <c r="Z16">
        <v>0.94088103509406296</v>
      </c>
      <c r="AA16">
        <v>0</v>
      </c>
      <c r="AB16">
        <v>5.4815115189942601E-2</v>
      </c>
      <c r="AC16">
        <v>0</v>
      </c>
      <c r="AD16">
        <v>1.5560397742862501E-2</v>
      </c>
      <c r="AE16">
        <v>1.9854812462893499E-3</v>
      </c>
      <c r="AF16">
        <v>0</v>
      </c>
      <c r="AG16">
        <v>7.1156510903821898E-2</v>
      </c>
      <c r="AH16">
        <v>4.8541633333797499E-3</v>
      </c>
      <c r="AI16">
        <v>0.90149527088048098</v>
      </c>
      <c r="AJ16" t="s">
        <v>74</v>
      </c>
      <c r="AK16">
        <v>0</v>
      </c>
      <c r="AL16" t="s">
        <v>77</v>
      </c>
      <c r="AM16">
        <v>0</v>
      </c>
      <c r="AN16">
        <v>0.99199999999999999</v>
      </c>
      <c r="AO16">
        <v>0</v>
      </c>
      <c r="AP16">
        <v>5.8245346242475203E-2</v>
      </c>
      <c r="AQ16">
        <v>0</v>
      </c>
      <c r="AR16">
        <v>1.6E-2</v>
      </c>
      <c r="AS16">
        <v>0</v>
      </c>
      <c r="AT16">
        <v>0</v>
      </c>
      <c r="AU16">
        <v>0</v>
      </c>
      <c r="AV16">
        <v>0</v>
      </c>
      <c r="AW16">
        <v>1</v>
      </c>
      <c r="AX16" t="s">
        <v>74</v>
      </c>
      <c r="AY16">
        <v>0</v>
      </c>
      <c r="AZ16" t="s">
        <v>76</v>
      </c>
      <c r="BA16">
        <v>-1.5707963267949001</v>
      </c>
      <c r="BB16">
        <v>0.99199999999999999</v>
      </c>
      <c r="BC16">
        <v>0</v>
      </c>
      <c r="BD16">
        <v>5.8245346242475203E-2</v>
      </c>
      <c r="BE16">
        <v>0</v>
      </c>
      <c r="BF16">
        <v>1.6E-2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1.1329664899426499E-4</v>
      </c>
      <c r="BM16" s="1">
        <v>3.8005337118600803E-5</v>
      </c>
      <c r="BN16" s="1">
        <v>4.2164702385784698E-7</v>
      </c>
      <c r="BO16" s="1">
        <v>5.9698643944499903E-7</v>
      </c>
      <c r="BP16">
        <v>0</v>
      </c>
      <c r="BQ16">
        <v>0</v>
      </c>
      <c r="BR16" s="1">
        <v>6.4746951181898104E-5</v>
      </c>
      <c r="BS16" s="1">
        <v>2.1757821844227101E-5</v>
      </c>
    </row>
    <row r="17" spans="1:71" x14ac:dyDescent="0.25">
      <c r="A17">
        <v>14</v>
      </c>
      <c r="B17" s="1">
        <v>1.6227452779877399E-5</v>
      </c>
      <c r="C17">
        <v>0.13220958947116601</v>
      </c>
      <c r="D17">
        <v>-4.89513058068003E-4</v>
      </c>
      <c r="E17">
        <v>6.1312499999999995E-4</v>
      </c>
      <c r="F17">
        <v>-1.3220958947116599E-3</v>
      </c>
      <c r="G17">
        <v>0</v>
      </c>
      <c r="H17" t="s">
        <v>74</v>
      </c>
      <c r="I17">
        <v>0</v>
      </c>
      <c r="J17" t="s">
        <v>75</v>
      </c>
      <c r="K17">
        <v>3.14159265358979</v>
      </c>
      <c r="L17">
        <v>0.937428816691667</v>
      </c>
      <c r="M17">
        <v>0</v>
      </c>
      <c r="N17">
        <v>5.5041195570443499E-2</v>
      </c>
      <c r="O17">
        <v>0</v>
      </c>
      <c r="P17">
        <v>1.6E-2</v>
      </c>
      <c r="Q17">
        <v>0</v>
      </c>
      <c r="R17">
        <v>0</v>
      </c>
      <c r="S17">
        <v>0</v>
      </c>
      <c r="T17">
        <v>0</v>
      </c>
      <c r="U17">
        <v>0.94555162111596303</v>
      </c>
      <c r="V17" t="s">
        <v>78</v>
      </c>
      <c r="W17">
        <v>3866445.1569789802</v>
      </c>
      <c r="X17" t="s">
        <v>76</v>
      </c>
      <c r="Y17">
        <v>-1.5707963267949001</v>
      </c>
      <c r="Z17">
        <v>0.93668113103067696</v>
      </c>
      <c r="AA17">
        <v>0</v>
      </c>
      <c r="AB17">
        <v>5.4565538505211099E-2</v>
      </c>
      <c r="AC17">
        <v>0</v>
      </c>
      <c r="AD17">
        <v>1.53955297144388E-2</v>
      </c>
      <c r="AE17">
        <v>2.1664107402117301E-3</v>
      </c>
      <c r="AF17">
        <v>0</v>
      </c>
      <c r="AG17">
        <v>7.66218399273106E-2</v>
      </c>
      <c r="AH17">
        <v>5.7180910220617897E-3</v>
      </c>
      <c r="AI17">
        <v>0.89339079047080106</v>
      </c>
      <c r="AJ17" t="s">
        <v>74</v>
      </c>
      <c r="AK17">
        <v>0</v>
      </c>
      <c r="AL17" t="s">
        <v>77</v>
      </c>
      <c r="AM17">
        <v>0</v>
      </c>
      <c r="AN17">
        <v>0.99199999999999999</v>
      </c>
      <c r="AO17">
        <v>0</v>
      </c>
      <c r="AP17">
        <v>5.8245346242475203E-2</v>
      </c>
      <c r="AQ17">
        <v>0</v>
      </c>
      <c r="AR17">
        <v>1.6E-2</v>
      </c>
      <c r="AS17">
        <v>0</v>
      </c>
      <c r="AT17">
        <v>0</v>
      </c>
      <c r="AU17">
        <v>0</v>
      </c>
      <c r="AV17">
        <v>0</v>
      </c>
      <c r="AW17">
        <v>1</v>
      </c>
      <c r="AX17" t="s">
        <v>74</v>
      </c>
      <c r="AY17">
        <v>0</v>
      </c>
      <c r="AZ17" t="s">
        <v>76</v>
      </c>
      <c r="BA17">
        <v>-1.5707963267949001</v>
      </c>
      <c r="BB17">
        <v>0.99199999999999999</v>
      </c>
      <c r="BC17">
        <v>0</v>
      </c>
      <c r="BD17">
        <v>5.8245346242475203E-2</v>
      </c>
      <c r="BE17">
        <v>0</v>
      </c>
      <c r="BF17">
        <v>1.6E-2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1.1304871328030301E-4</v>
      </c>
      <c r="BM17" s="1">
        <v>4.11699654746862E-5</v>
      </c>
      <c r="BN17" s="1">
        <v>4.20712935262314E-7</v>
      </c>
      <c r="BO17" s="1">
        <v>6.4669630541909796E-7</v>
      </c>
      <c r="BP17">
        <v>0</v>
      </c>
      <c r="BQ17">
        <v>0</v>
      </c>
      <c r="BR17" s="1">
        <v>6.4590563772741005E-5</v>
      </c>
      <c r="BS17" s="1">
        <v>2.3569918704582099E-5</v>
      </c>
    </row>
    <row r="18" spans="1:71" x14ac:dyDescent="0.25">
      <c r="A18">
        <v>15</v>
      </c>
      <c r="B18" s="1">
        <v>1.51626874026071E-5</v>
      </c>
      <c r="C18">
        <v>0.13222475215856899</v>
      </c>
      <c r="D18">
        <v>-4.8958109016106601E-4</v>
      </c>
      <c r="E18">
        <v>6.1312499999999995E-4</v>
      </c>
      <c r="F18">
        <v>-1.3222475215856899E-3</v>
      </c>
      <c r="G18">
        <v>0</v>
      </c>
      <c r="H18" t="s">
        <v>74</v>
      </c>
      <c r="I18">
        <v>0</v>
      </c>
      <c r="J18" t="s">
        <v>75</v>
      </c>
      <c r="K18">
        <v>3.14159265358979</v>
      </c>
      <c r="L18">
        <v>0.93323431764339104</v>
      </c>
      <c r="M18">
        <v>0</v>
      </c>
      <c r="N18">
        <v>5.4794915278729303E-2</v>
      </c>
      <c r="O18">
        <v>0</v>
      </c>
      <c r="P18">
        <v>1.6E-2</v>
      </c>
      <c r="Q18">
        <v>0</v>
      </c>
      <c r="R18">
        <v>0</v>
      </c>
      <c r="S18">
        <v>0</v>
      </c>
      <c r="T18">
        <v>0</v>
      </c>
      <c r="U18">
        <v>0.94124538104942501</v>
      </c>
      <c r="V18" t="s">
        <v>78</v>
      </c>
      <c r="W18">
        <v>3867032.24091978</v>
      </c>
      <c r="X18" t="s">
        <v>76</v>
      </c>
      <c r="Y18">
        <v>-1.5707963267949001</v>
      </c>
      <c r="Z18">
        <v>0.93248211866844599</v>
      </c>
      <c r="AA18">
        <v>0</v>
      </c>
      <c r="AB18">
        <v>5.4316386967231602E-2</v>
      </c>
      <c r="AC18">
        <v>0</v>
      </c>
      <c r="AD18">
        <v>1.5229544157969E-2</v>
      </c>
      <c r="AE18">
        <v>2.3472360242390699E-3</v>
      </c>
      <c r="AF18">
        <v>0</v>
      </c>
      <c r="AG18">
        <v>8.2013857164437598E-2</v>
      </c>
      <c r="AH18">
        <v>6.6549591244887902E-3</v>
      </c>
      <c r="AI18">
        <v>0.88533583111993197</v>
      </c>
      <c r="AJ18" t="s">
        <v>74</v>
      </c>
      <c r="AK18">
        <v>0</v>
      </c>
      <c r="AL18" t="s">
        <v>77</v>
      </c>
      <c r="AM18">
        <v>0</v>
      </c>
      <c r="AN18">
        <v>0.99199999999999999</v>
      </c>
      <c r="AO18">
        <v>0</v>
      </c>
      <c r="AP18">
        <v>5.8245346242475203E-2</v>
      </c>
      <c r="AQ18">
        <v>0</v>
      </c>
      <c r="AR18">
        <v>1.6E-2</v>
      </c>
      <c r="AS18">
        <v>0</v>
      </c>
      <c r="AT18">
        <v>0</v>
      </c>
      <c r="AU18">
        <v>0</v>
      </c>
      <c r="AV18">
        <v>0</v>
      </c>
      <c r="AW18">
        <v>1</v>
      </c>
      <c r="AX18" t="s">
        <v>74</v>
      </c>
      <c r="AY18">
        <v>0</v>
      </c>
      <c r="AZ18" t="s">
        <v>76</v>
      </c>
      <c r="BA18">
        <v>-1.5707963267949001</v>
      </c>
      <c r="BB18">
        <v>0.99199999999999999</v>
      </c>
      <c r="BC18">
        <v>0</v>
      </c>
      <c r="BD18">
        <v>5.8245346242475203E-2</v>
      </c>
      <c r="BE18">
        <v>0</v>
      </c>
      <c r="BF18">
        <v>1.6E-2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1.12800997365456E-4</v>
      </c>
      <c r="BM18" s="1">
        <v>4.4334408144463199E-5</v>
      </c>
      <c r="BN18" s="1">
        <v>4.19780748737107E-7</v>
      </c>
      <c r="BO18" s="1">
        <v>6.9640325463948495E-7</v>
      </c>
      <c r="BP18">
        <v>0</v>
      </c>
      <c r="BQ18">
        <v>0</v>
      </c>
      <c r="BR18" s="1">
        <v>6.44342226818642E-5</v>
      </c>
      <c r="BS18" s="1">
        <v>2.5381939701637501E-5</v>
      </c>
    </row>
    <row r="19" spans="1:71" x14ac:dyDescent="0.25">
      <c r="A19">
        <v>16</v>
      </c>
      <c r="B19" s="1">
        <v>1.42411711085754E-5</v>
      </c>
      <c r="C19">
        <v>0.13223899332967701</v>
      </c>
      <c r="D19">
        <v>-4.8964498274158897E-4</v>
      </c>
      <c r="E19">
        <v>6.1312499999999995E-4</v>
      </c>
      <c r="F19">
        <v>-1.3223899332967699E-3</v>
      </c>
      <c r="G19">
        <v>0</v>
      </c>
      <c r="H19" t="s">
        <v>74</v>
      </c>
      <c r="I19">
        <v>0</v>
      </c>
      <c r="J19" t="s">
        <v>75</v>
      </c>
      <c r="K19">
        <v>3.14159265358979</v>
      </c>
      <c r="L19">
        <v>0.92904006942765704</v>
      </c>
      <c r="M19">
        <v>0</v>
      </c>
      <c r="N19">
        <v>5.4548649714664402E-2</v>
      </c>
      <c r="O19">
        <v>0</v>
      </c>
      <c r="P19">
        <v>1.6E-2</v>
      </c>
      <c r="Q19">
        <v>0</v>
      </c>
      <c r="R19">
        <v>0</v>
      </c>
      <c r="S19">
        <v>0</v>
      </c>
      <c r="T19">
        <v>0</v>
      </c>
      <c r="U19">
        <v>0.93694801397565497</v>
      </c>
      <c r="V19" t="s">
        <v>78</v>
      </c>
      <c r="W19">
        <v>3867583.6028766702</v>
      </c>
      <c r="X19" t="s">
        <v>76</v>
      </c>
      <c r="Y19">
        <v>-1.5707963267949001</v>
      </c>
      <c r="Z19">
        <v>0.92828391635937002</v>
      </c>
      <c r="AA19">
        <v>0</v>
      </c>
      <c r="AB19">
        <v>5.4067605917685099E-2</v>
      </c>
      <c r="AC19">
        <v>0</v>
      </c>
      <c r="AD19">
        <v>1.50626278991351E-2</v>
      </c>
      <c r="AE19">
        <v>2.5279385545531798E-3</v>
      </c>
      <c r="AF19">
        <v>0</v>
      </c>
      <c r="AG19">
        <v>8.7331950788683096E-2</v>
      </c>
      <c r="AH19">
        <v>7.6653723701936302E-3</v>
      </c>
      <c r="AI19">
        <v>0.87732789032131897</v>
      </c>
      <c r="AJ19" t="s">
        <v>74</v>
      </c>
      <c r="AK19">
        <v>0</v>
      </c>
      <c r="AL19" t="s">
        <v>77</v>
      </c>
      <c r="AM19">
        <v>0</v>
      </c>
      <c r="AN19">
        <v>0.99199999999999999</v>
      </c>
      <c r="AO19">
        <v>0</v>
      </c>
      <c r="AP19">
        <v>5.8245346242475203E-2</v>
      </c>
      <c r="AQ19">
        <v>0</v>
      </c>
      <c r="AR19">
        <v>1.6E-2</v>
      </c>
      <c r="AS19">
        <v>0</v>
      </c>
      <c r="AT19">
        <v>0</v>
      </c>
      <c r="AU19">
        <v>0</v>
      </c>
      <c r="AV19">
        <v>0</v>
      </c>
      <c r="AW19">
        <v>1</v>
      </c>
      <c r="AX19" t="s">
        <v>74</v>
      </c>
      <c r="AY19">
        <v>0</v>
      </c>
      <c r="AZ19" t="s">
        <v>76</v>
      </c>
      <c r="BA19">
        <v>-1.5707963267949001</v>
      </c>
      <c r="BB19">
        <v>0.99199999999999999</v>
      </c>
      <c r="BC19">
        <v>0</v>
      </c>
      <c r="BD19">
        <v>5.8245346242475203E-2</v>
      </c>
      <c r="BE19">
        <v>0</v>
      </c>
      <c r="BF19">
        <v>1.6E-2</v>
      </c>
      <c r="BG19">
        <v>0</v>
      </c>
      <c r="BH19">
        <v>0</v>
      </c>
      <c r="BI19">
        <v>0</v>
      </c>
      <c r="BJ19">
        <v>0</v>
      </c>
      <c r="BK19">
        <v>1</v>
      </c>
      <c r="BL19">
        <v>1.1255347405865001E-4</v>
      </c>
      <c r="BM19" s="1">
        <v>4.74986615794384E-5</v>
      </c>
      <c r="BN19" s="1">
        <v>4.18850218107855E-7</v>
      </c>
      <c r="BO19" s="1">
        <v>7.4610723136655702E-7</v>
      </c>
      <c r="BP19">
        <v>0</v>
      </c>
      <c r="BQ19">
        <v>0</v>
      </c>
      <c r="BR19" s="1">
        <v>6.4277922822811407E-5</v>
      </c>
      <c r="BS19" s="1">
        <v>2.7193880986101201E-5</v>
      </c>
    </row>
    <row r="20" spans="1:71" x14ac:dyDescent="0.25">
      <c r="A20">
        <v>17</v>
      </c>
      <c r="B20" s="1">
        <v>1.3436096882561399E-5</v>
      </c>
      <c r="C20">
        <v>0.13225242942655999</v>
      </c>
      <c r="D20">
        <v>-4.8970525908877799E-4</v>
      </c>
      <c r="E20">
        <v>6.1312499999999995E-4</v>
      </c>
      <c r="F20">
        <v>-1.3225242942656E-3</v>
      </c>
      <c r="G20" s="1">
        <v>1.0842021724855E-19</v>
      </c>
      <c r="H20" t="s">
        <v>74</v>
      </c>
      <c r="I20">
        <v>0</v>
      </c>
      <c r="J20" t="s">
        <v>75</v>
      </c>
      <c r="K20">
        <v>3.14159265358979</v>
      </c>
      <c r="L20">
        <v>0.92484607688960196</v>
      </c>
      <c r="M20">
        <v>0</v>
      </c>
      <c r="N20">
        <v>5.43023991627316E-2</v>
      </c>
      <c r="O20">
        <v>0</v>
      </c>
      <c r="P20">
        <v>1.6E-2</v>
      </c>
      <c r="Q20">
        <v>0</v>
      </c>
      <c r="R20">
        <v>0</v>
      </c>
      <c r="S20">
        <v>0</v>
      </c>
      <c r="T20">
        <v>0</v>
      </c>
      <c r="U20">
        <v>0.93265761897646604</v>
      </c>
      <c r="V20" t="s">
        <v>78</v>
      </c>
      <c r="W20">
        <v>3868103.7584951702</v>
      </c>
      <c r="X20" t="s">
        <v>76</v>
      </c>
      <c r="Y20">
        <v>-1.5707963267949001</v>
      </c>
      <c r="Z20">
        <v>0.92408645910864495</v>
      </c>
      <c r="AA20">
        <v>0</v>
      </c>
      <c r="AB20">
        <v>5.38191512108009E-2</v>
      </c>
      <c r="AC20">
        <v>0</v>
      </c>
      <c r="AD20">
        <v>1.48949334011936E-2</v>
      </c>
      <c r="AE20">
        <v>2.7085016568583501E-3</v>
      </c>
      <c r="AF20">
        <v>0</v>
      </c>
      <c r="AG20">
        <v>9.2575500052168594E-2</v>
      </c>
      <c r="AH20">
        <v>8.7499441964499006E-3</v>
      </c>
      <c r="AI20">
        <v>0.86936520565386799</v>
      </c>
      <c r="AJ20" t="s">
        <v>74</v>
      </c>
      <c r="AK20">
        <v>0</v>
      </c>
      <c r="AL20" t="s">
        <v>77</v>
      </c>
      <c r="AM20">
        <v>0</v>
      </c>
      <c r="AN20">
        <v>0.99199999999999999</v>
      </c>
      <c r="AO20">
        <v>0</v>
      </c>
      <c r="AP20">
        <v>5.8245346242475203E-2</v>
      </c>
      <c r="AQ20">
        <v>0</v>
      </c>
      <c r="AR20">
        <v>1.6E-2</v>
      </c>
      <c r="AS20">
        <v>0</v>
      </c>
      <c r="AT20">
        <v>0</v>
      </c>
      <c r="AU20">
        <v>0</v>
      </c>
      <c r="AV20">
        <v>0</v>
      </c>
      <c r="AW20">
        <v>1</v>
      </c>
      <c r="AX20" t="s">
        <v>74</v>
      </c>
      <c r="AY20">
        <v>0</v>
      </c>
      <c r="AZ20" t="s">
        <v>76</v>
      </c>
      <c r="BA20">
        <v>-1.5707963267949001</v>
      </c>
      <c r="BB20">
        <v>0.99199999999999999</v>
      </c>
      <c r="BC20">
        <v>0</v>
      </c>
      <c r="BD20">
        <v>5.8245346242475203E-2</v>
      </c>
      <c r="BE20">
        <v>0</v>
      </c>
      <c r="BF20">
        <v>1.6E-2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1.12306121429241E-4</v>
      </c>
      <c r="BM20" s="1">
        <v>5.0662722124309301E-5</v>
      </c>
      <c r="BN20" s="1">
        <v>4.17921144500281E-7</v>
      </c>
      <c r="BO20" s="1">
        <v>7.9580817818295497E-7</v>
      </c>
      <c r="BP20">
        <v>0</v>
      </c>
      <c r="BQ20">
        <v>0</v>
      </c>
      <c r="BR20" s="1">
        <v>6.4121660177308699E-5</v>
      </c>
      <c r="BS20" s="1">
        <v>2.9005738897719199E-5</v>
      </c>
    </row>
    <row r="21" spans="1:71" x14ac:dyDescent="0.25">
      <c r="A21">
        <v>18</v>
      </c>
      <c r="B21" s="1">
        <v>1.27269670302043E-5</v>
      </c>
      <c r="C21">
        <v>0.13226515639358999</v>
      </c>
      <c r="D21">
        <v>-4.8976235033734402E-4</v>
      </c>
      <c r="E21">
        <v>6.1312499999999995E-4</v>
      </c>
      <c r="F21">
        <v>-1.3226515639358999E-3</v>
      </c>
      <c r="G21" s="1">
        <v>1.0842021724855E-19</v>
      </c>
      <c r="H21" t="s">
        <v>74</v>
      </c>
      <c r="I21">
        <v>0</v>
      </c>
      <c r="J21" t="s">
        <v>75</v>
      </c>
      <c r="K21">
        <v>3.14159265358979</v>
      </c>
      <c r="L21">
        <v>0.92065234501445803</v>
      </c>
      <c r="M21">
        <v>0</v>
      </c>
      <c r="N21">
        <v>5.4056163915638999E-2</v>
      </c>
      <c r="O21">
        <v>0</v>
      </c>
      <c r="P21">
        <v>1.6E-2</v>
      </c>
      <c r="Q21">
        <v>0</v>
      </c>
      <c r="R21">
        <v>0</v>
      </c>
      <c r="S21">
        <v>0</v>
      </c>
      <c r="T21">
        <v>0</v>
      </c>
      <c r="U21">
        <v>0.928372802659297</v>
      </c>
      <c r="V21" t="s">
        <v>78</v>
      </c>
      <c r="W21">
        <v>3868596.4282585802</v>
      </c>
      <c r="X21" t="s">
        <v>76</v>
      </c>
      <c r="Y21">
        <v>-1.5707963267949001</v>
      </c>
      <c r="Z21">
        <v>0.91988969459467196</v>
      </c>
      <c r="AA21">
        <v>0</v>
      </c>
      <c r="AB21">
        <v>5.3570986682259E-2</v>
      </c>
      <c r="AC21">
        <v>0</v>
      </c>
      <c r="AD21">
        <v>1.47265870529721E-2</v>
      </c>
      <c r="AE21">
        <v>2.8889101108677401E-3</v>
      </c>
      <c r="AF21">
        <v>0</v>
      </c>
      <c r="AG21">
        <v>9.7743875278012496E-2</v>
      </c>
      <c r="AH21">
        <v>9.9092967581542596E-3</v>
      </c>
      <c r="AI21">
        <v>0.86144652100589503</v>
      </c>
      <c r="AJ21" t="s">
        <v>74</v>
      </c>
      <c r="AK21">
        <v>0</v>
      </c>
      <c r="AL21" t="s">
        <v>77</v>
      </c>
      <c r="AM21">
        <v>0</v>
      </c>
      <c r="AN21">
        <v>0.99199999999999999</v>
      </c>
      <c r="AO21">
        <v>0</v>
      </c>
      <c r="AP21">
        <v>5.8245346242475203E-2</v>
      </c>
      <c r="AQ21">
        <v>0</v>
      </c>
      <c r="AR21">
        <v>1.6E-2</v>
      </c>
      <c r="AS21">
        <v>0</v>
      </c>
      <c r="AT21">
        <v>0</v>
      </c>
      <c r="AU21">
        <v>0</v>
      </c>
      <c r="AV21">
        <v>0</v>
      </c>
      <c r="AW21">
        <v>1</v>
      </c>
      <c r="AX21" t="s">
        <v>74</v>
      </c>
      <c r="AY21">
        <v>0</v>
      </c>
      <c r="AZ21" t="s">
        <v>76</v>
      </c>
      <c r="BA21">
        <v>-1.5707963267949001</v>
      </c>
      <c r="BB21">
        <v>0.99199999999999999</v>
      </c>
      <c r="BC21">
        <v>0</v>
      </c>
      <c r="BD21">
        <v>5.8245346242475203E-2</v>
      </c>
      <c r="BE21">
        <v>0</v>
      </c>
      <c r="BF21">
        <v>1.6E-2</v>
      </c>
      <c r="BG21">
        <v>0</v>
      </c>
      <c r="BH21">
        <v>0</v>
      </c>
      <c r="BI21">
        <v>0</v>
      </c>
      <c r="BJ21">
        <v>0</v>
      </c>
      <c r="BK21">
        <v>1</v>
      </c>
      <c r="BL21">
        <v>1.12058921541424E-4</v>
      </c>
      <c r="BM21" s="1">
        <v>5.38265860180834E-5</v>
      </c>
      <c r="BN21" s="1">
        <v>4.1699336495031798E-7</v>
      </c>
      <c r="BO21" s="1">
        <v>8.4550603601114904E-7</v>
      </c>
      <c r="BP21">
        <v>0</v>
      </c>
      <c r="BQ21">
        <v>0</v>
      </c>
      <c r="BR21" s="1">
        <v>6.3965431526306403E-5</v>
      </c>
      <c r="BS21" s="1">
        <v>3.0817509919422103E-5</v>
      </c>
    </row>
    <row r="22" spans="1:71" x14ac:dyDescent="0.25">
      <c r="A22">
        <v>19</v>
      </c>
      <c r="B22" s="1">
        <v>1.2097839746570299E-5</v>
      </c>
      <c r="C22">
        <v>0.132277254233337</v>
      </c>
      <c r="D22">
        <v>-4.8981661596269504E-4</v>
      </c>
      <c r="E22">
        <v>6.1312499999999995E-4</v>
      </c>
      <c r="F22">
        <v>-1.3227725423333701E-3</v>
      </c>
      <c r="G22" s="1">
        <v>1.0842021724855E-19</v>
      </c>
      <c r="H22" t="s">
        <v>74</v>
      </c>
      <c r="I22">
        <v>0</v>
      </c>
      <c r="J22" t="s">
        <v>75</v>
      </c>
      <c r="K22">
        <v>3.14159265358979</v>
      </c>
      <c r="L22">
        <v>0.91645887892935196</v>
      </c>
      <c r="M22">
        <v>0</v>
      </c>
      <c r="N22">
        <v>5.3809944274426202E-2</v>
      </c>
      <c r="O22">
        <v>0</v>
      </c>
      <c r="P22">
        <v>1.6E-2</v>
      </c>
      <c r="Q22">
        <v>0</v>
      </c>
      <c r="R22">
        <v>0</v>
      </c>
      <c r="S22">
        <v>0</v>
      </c>
      <c r="T22">
        <v>0</v>
      </c>
      <c r="U22">
        <v>0.92409252443883205</v>
      </c>
      <c r="V22" t="s">
        <v>78</v>
      </c>
      <c r="W22">
        <v>3869064.7142651901</v>
      </c>
      <c r="X22" t="s">
        <v>76</v>
      </c>
      <c r="Y22">
        <v>-1.5707963267949001</v>
      </c>
      <c r="Z22">
        <v>0.91569358032497405</v>
      </c>
      <c r="AA22">
        <v>0</v>
      </c>
      <c r="AB22">
        <v>5.3323082338813999E-2</v>
      </c>
      <c r="AC22">
        <v>0</v>
      </c>
      <c r="AD22">
        <v>1.45576950967394E-2</v>
      </c>
      <c r="AE22">
        <v>3.0691498451071199E-3</v>
      </c>
      <c r="AF22">
        <v>0</v>
      </c>
      <c r="AG22">
        <v>0.10283643779441699</v>
      </c>
      <c r="AH22">
        <v>1.11440609910203E-2</v>
      </c>
      <c r="AI22">
        <v>0.85357093176095999</v>
      </c>
      <c r="AJ22" t="s">
        <v>74</v>
      </c>
      <c r="AK22">
        <v>0</v>
      </c>
      <c r="AL22" t="s">
        <v>77</v>
      </c>
      <c r="AM22">
        <v>0</v>
      </c>
      <c r="AN22">
        <v>0.99199999999999999</v>
      </c>
      <c r="AO22">
        <v>0</v>
      </c>
      <c r="AP22">
        <v>5.8245346242475203E-2</v>
      </c>
      <c r="AQ22">
        <v>0</v>
      </c>
      <c r="AR22">
        <v>1.6E-2</v>
      </c>
      <c r="AS22">
        <v>0</v>
      </c>
      <c r="AT22">
        <v>0</v>
      </c>
      <c r="AU22">
        <v>0</v>
      </c>
      <c r="AV22">
        <v>0</v>
      </c>
      <c r="AW22">
        <v>1</v>
      </c>
      <c r="AX22" t="s">
        <v>74</v>
      </c>
      <c r="AY22">
        <v>0</v>
      </c>
      <c r="AZ22" t="s">
        <v>76</v>
      </c>
      <c r="BA22">
        <v>-1.5707963267949001</v>
      </c>
      <c r="BB22">
        <v>0.99199999999999999</v>
      </c>
      <c r="BC22">
        <v>0</v>
      </c>
      <c r="BD22">
        <v>5.8245346242475203E-2</v>
      </c>
      <c r="BE22">
        <v>0</v>
      </c>
      <c r="BF22">
        <v>1.6E-2</v>
      </c>
      <c r="BG22">
        <v>0</v>
      </c>
      <c r="BH22">
        <v>0</v>
      </c>
      <c r="BI22">
        <v>0</v>
      </c>
      <c r="BJ22">
        <v>0</v>
      </c>
      <c r="BK22">
        <v>1</v>
      </c>
      <c r="BL22">
        <v>1.11811859549095E-4</v>
      </c>
      <c r="BM22" s="1">
        <v>5.6990249392718799E-5</v>
      </c>
      <c r="BN22" s="1">
        <v>4.1606674425734501E-7</v>
      </c>
      <c r="BO22" s="1">
        <v>8.95200744092077E-7</v>
      </c>
      <c r="BP22">
        <v>0</v>
      </c>
      <c r="BQ22">
        <v>0</v>
      </c>
      <c r="BR22" s="1">
        <v>6.3809234261086493E-5</v>
      </c>
      <c r="BS22" s="1">
        <v>3.2629190640978998E-5</v>
      </c>
    </row>
    <row r="23" spans="1:71" x14ac:dyDescent="0.25">
      <c r="A23">
        <v>20</v>
      </c>
      <c r="B23" s="1">
        <v>1.1536129874164501E-5</v>
      </c>
      <c r="C23">
        <v>0.13228879036321101</v>
      </c>
      <c r="D23">
        <v>-4.8986835887281002E-4</v>
      </c>
      <c r="E23">
        <v>6.1312499999999995E-4</v>
      </c>
      <c r="F23">
        <v>-1.3228879036321099E-3</v>
      </c>
      <c r="G23" s="1">
        <v>1.0842021724855E-19</v>
      </c>
      <c r="H23" t="s">
        <v>74</v>
      </c>
      <c r="I23">
        <v>0</v>
      </c>
      <c r="J23" t="s">
        <v>75</v>
      </c>
      <c r="K23">
        <v>3.14159265358979</v>
      </c>
      <c r="L23">
        <v>0.91226568390724205</v>
      </c>
      <c r="M23">
        <v>0</v>
      </c>
      <c r="N23">
        <v>5.3563740548695303E-2</v>
      </c>
      <c r="O23">
        <v>0</v>
      </c>
      <c r="P23">
        <v>1.6E-2</v>
      </c>
      <c r="Q23">
        <v>0</v>
      </c>
      <c r="R23">
        <v>0</v>
      </c>
      <c r="S23">
        <v>0</v>
      </c>
      <c r="T23">
        <v>0</v>
      </c>
      <c r="U23">
        <v>0.91981599317318097</v>
      </c>
      <c r="V23" t="s">
        <v>78</v>
      </c>
      <c r="W23">
        <v>3869511.23046382</v>
      </c>
      <c r="X23" t="s">
        <v>76</v>
      </c>
      <c r="Y23">
        <v>-1.5707963267949001</v>
      </c>
      <c r="Z23">
        <v>0.911498081560287</v>
      </c>
      <c r="AA23">
        <v>0</v>
      </c>
      <c r="AB23">
        <v>5.30754130353936E-2</v>
      </c>
      <c r="AC23">
        <v>0</v>
      </c>
      <c r="AD23">
        <v>1.43883479598132E-2</v>
      </c>
      <c r="AE23">
        <v>3.2492077084206599E-3</v>
      </c>
      <c r="AF23">
        <v>0</v>
      </c>
      <c r="AG23">
        <v>0.10785253981892</v>
      </c>
      <c r="AH23">
        <v>1.2454876721388701E-2</v>
      </c>
      <c r="AI23">
        <v>0.84573778134821198</v>
      </c>
      <c r="AJ23" t="s">
        <v>74</v>
      </c>
      <c r="AK23">
        <v>0</v>
      </c>
      <c r="AL23" t="s">
        <v>77</v>
      </c>
      <c r="AM23">
        <v>0</v>
      </c>
      <c r="AN23">
        <v>0.99199999999999999</v>
      </c>
      <c r="AO23">
        <v>0</v>
      </c>
      <c r="AP23">
        <v>5.8245346242475203E-2</v>
      </c>
      <c r="AQ23">
        <v>0</v>
      </c>
      <c r="AR23">
        <v>1.6E-2</v>
      </c>
      <c r="AS23">
        <v>0</v>
      </c>
      <c r="AT23">
        <v>0</v>
      </c>
      <c r="AU23">
        <v>0</v>
      </c>
      <c r="AV23">
        <v>0</v>
      </c>
      <c r="AW23">
        <v>1</v>
      </c>
      <c r="AX23" t="s">
        <v>74</v>
      </c>
      <c r="AY23">
        <v>0</v>
      </c>
      <c r="AZ23" t="s">
        <v>76</v>
      </c>
      <c r="BA23">
        <v>-1.5707963267949001</v>
      </c>
      <c r="BB23">
        <v>0.99199999999999999</v>
      </c>
      <c r="BC23">
        <v>0</v>
      </c>
      <c r="BD23">
        <v>5.8245346242475203E-2</v>
      </c>
      <c r="BE23">
        <v>0</v>
      </c>
      <c r="BF23">
        <v>1.6E-2</v>
      </c>
      <c r="BG23">
        <v>0</v>
      </c>
      <c r="BH23">
        <v>0</v>
      </c>
      <c r="BI23">
        <v>0</v>
      </c>
      <c r="BJ23">
        <v>0</v>
      </c>
      <c r="BK23">
        <v>1</v>
      </c>
      <c r="BL23">
        <v>1.1156492303452E-4</v>
      </c>
      <c r="BM23" s="1">
        <v>6.0153708270154499E-5</v>
      </c>
      <c r="BN23" s="1">
        <v>4.15141169030949E-7</v>
      </c>
      <c r="BO23" s="1">
        <v>9.4489223993850505E-7</v>
      </c>
      <c r="BP23">
        <v>0</v>
      </c>
      <c r="BQ23">
        <v>0</v>
      </c>
      <c r="BR23" s="1">
        <v>6.3653066247502E-5</v>
      </c>
      <c r="BS23" s="1">
        <v>3.4440777729628903E-5</v>
      </c>
    </row>
    <row r="24" spans="1:71" x14ac:dyDescent="0.25">
      <c r="A24">
        <v>21</v>
      </c>
      <c r="B24" s="1">
        <v>1.1031769668558699E-5</v>
      </c>
      <c r="C24">
        <v>0.132299822132879</v>
      </c>
      <c r="D24">
        <v>-4.8991783672608998E-4</v>
      </c>
      <c r="E24">
        <v>6.1312499999999995E-4</v>
      </c>
      <c r="F24">
        <v>-1.3229982213287901E-3</v>
      </c>
      <c r="G24" s="1">
        <v>1.0842021724855E-19</v>
      </c>
      <c r="H24" t="s">
        <v>74</v>
      </c>
      <c r="I24">
        <v>0</v>
      </c>
      <c r="J24" t="s">
        <v>75</v>
      </c>
      <c r="K24">
        <v>3.14159265358979</v>
      </c>
      <c r="L24">
        <v>0.90807276537223802</v>
      </c>
      <c r="M24">
        <v>0</v>
      </c>
      <c r="N24">
        <v>5.33175530569234E-2</v>
      </c>
      <c r="O24">
        <v>0</v>
      </c>
      <c r="P24">
        <v>1.6E-2</v>
      </c>
      <c r="Q24">
        <v>0</v>
      </c>
      <c r="R24">
        <v>0</v>
      </c>
      <c r="S24">
        <v>0</v>
      </c>
      <c r="T24">
        <v>0</v>
      </c>
      <c r="U24">
        <v>0.91554259724380005</v>
      </c>
      <c r="V24" t="s">
        <v>78</v>
      </c>
      <c r="W24">
        <v>3869938.2003214001</v>
      </c>
      <c r="X24" t="s">
        <v>76</v>
      </c>
      <c r="Y24">
        <v>-1.5707963267949001</v>
      </c>
      <c r="Z24">
        <v>0.90730316977100001</v>
      </c>
      <c r="AA24">
        <v>0</v>
      </c>
      <c r="AB24">
        <v>5.2827957490049898E-2</v>
      </c>
      <c r="AC24">
        <v>0</v>
      </c>
      <c r="AD24">
        <v>1.4218623480129099E-2</v>
      </c>
      <c r="AE24">
        <v>3.4290712957715098E-3</v>
      </c>
      <c r="AF24">
        <v>0</v>
      </c>
      <c r="AG24">
        <v>0.112791524300778</v>
      </c>
      <c r="AH24">
        <v>1.38423928158121E-2</v>
      </c>
      <c r="AI24">
        <v>0.83794659124411497</v>
      </c>
      <c r="AJ24" t="s">
        <v>74</v>
      </c>
      <c r="AK24">
        <v>0</v>
      </c>
      <c r="AL24" t="s">
        <v>77</v>
      </c>
      <c r="AM24">
        <v>0</v>
      </c>
      <c r="AN24">
        <v>0.99199999999999999</v>
      </c>
      <c r="AO24">
        <v>0</v>
      </c>
      <c r="AP24">
        <v>5.8245346242475203E-2</v>
      </c>
      <c r="AQ24">
        <v>0</v>
      </c>
      <c r="AR24">
        <v>1.6E-2</v>
      </c>
      <c r="AS24">
        <v>0</v>
      </c>
      <c r="AT24">
        <v>0</v>
      </c>
      <c r="AU24">
        <v>0</v>
      </c>
      <c r="AV24">
        <v>0</v>
      </c>
      <c r="AW24">
        <v>1</v>
      </c>
      <c r="AX24" t="s">
        <v>74</v>
      </c>
      <c r="AY24">
        <v>0</v>
      </c>
      <c r="AZ24" t="s">
        <v>76</v>
      </c>
      <c r="BA24">
        <v>-1.5707963267949001</v>
      </c>
      <c r="BB24">
        <v>0.99199999999999999</v>
      </c>
      <c r="BC24">
        <v>0</v>
      </c>
      <c r="BD24">
        <v>5.8245346242475203E-2</v>
      </c>
      <c r="BE24">
        <v>0</v>
      </c>
      <c r="BF24">
        <v>1.6E-2</v>
      </c>
      <c r="BG24">
        <v>0</v>
      </c>
      <c r="BH24">
        <v>0</v>
      </c>
      <c r="BI24">
        <v>0</v>
      </c>
      <c r="BJ24">
        <v>0</v>
      </c>
      <c r="BK24">
        <v>1</v>
      </c>
      <c r="BL24">
        <v>1.11318101515962E-4</v>
      </c>
      <c r="BM24" s="1">
        <v>6.3316958558294996E-5</v>
      </c>
      <c r="BN24" s="1">
        <v>4.1421654325796501E-7</v>
      </c>
      <c r="BO24" s="1">
        <v>9.9458045927194493E-7</v>
      </c>
      <c r="BP24">
        <v>0</v>
      </c>
      <c r="BQ24">
        <v>0</v>
      </c>
      <c r="BR24" s="1">
        <v>6.3496925726408497E-5</v>
      </c>
      <c r="BS24" s="1">
        <v>3.6252267905937301E-5</v>
      </c>
    </row>
    <row r="25" spans="1:71" x14ac:dyDescent="0.25">
      <c r="A25">
        <v>22</v>
      </c>
      <c r="B25" s="1">
        <v>1.05766094616482E-5</v>
      </c>
      <c r="C25">
        <v>0.13231039874234099</v>
      </c>
      <c r="D25">
        <v>-4.8996527055418905E-4</v>
      </c>
      <c r="E25">
        <v>6.1312499999999995E-4</v>
      </c>
      <c r="F25">
        <v>-1.3231039874234099E-3</v>
      </c>
      <c r="G25" s="1">
        <v>1.0842021724855E-19</v>
      </c>
      <c r="H25" t="s">
        <v>74</v>
      </c>
      <c r="I25">
        <v>0</v>
      </c>
      <c r="J25" t="s">
        <v>75</v>
      </c>
      <c r="K25">
        <v>3.14159265358979</v>
      </c>
      <c r="L25">
        <v>0.90388012890588998</v>
      </c>
      <c r="M25">
        <v>0</v>
      </c>
      <c r="N25">
        <v>5.3071382126831303E-2</v>
      </c>
      <c r="O25">
        <v>0</v>
      </c>
      <c r="P25">
        <v>1.6E-2</v>
      </c>
      <c r="Q25">
        <v>0</v>
      </c>
      <c r="R25">
        <v>0</v>
      </c>
      <c r="S25">
        <v>0</v>
      </c>
      <c r="T25">
        <v>0</v>
      </c>
      <c r="U25">
        <v>0.91127185655690501</v>
      </c>
      <c r="V25" t="s">
        <v>78</v>
      </c>
      <c r="W25">
        <v>3870347.5312338402</v>
      </c>
      <c r="X25" t="s">
        <v>76</v>
      </c>
      <c r="Y25">
        <v>-1.5707963267949001</v>
      </c>
      <c r="Z25">
        <v>0.90310882147052496</v>
      </c>
      <c r="AA25">
        <v>0</v>
      </c>
      <c r="AB25">
        <v>5.2580697538154003E-2</v>
      </c>
      <c r="AC25">
        <v>0</v>
      </c>
      <c r="AD25">
        <v>1.40485893488513E-2</v>
      </c>
      <c r="AE25">
        <v>3.6087288131803402E-3</v>
      </c>
      <c r="AF25">
        <v>0</v>
      </c>
      <c r="AG25">
        <v>0.11765272472782499</v>
      </c>
      <c r="AH25">
        <v>1.53072673647183E-2</v>
      </c>
      <c r="AI25">
        <v>0.83019701290113901</v>
      </c>
      <c r="AJ25" t="s">
        <v>74</v>
      </c>
      <c r="AK25">
        <v>0</v>
      </c>
      <c r="AL25" t="s">
        <v>77</v>
      </c>
      <c r="AM25">
        <v>0</v>
      </c>
      <c r="AN25">
        <v>0.99199999999999999</v>
      </c>
      <c r="AO25">
        <v>0</v>
      </c>
      <c r="AP25">
        <v>5.8245346242475203E-2</v>
      </c>
      <c r="AQ25">
        <v>0</v>
      </c>
      <c r="AR25">
        <v>1.6E-2</v>
      </c>
      <c r="AS25">
        <v>0</v>
      </c>
      <c r="AT25">
        <v>0</v>
      </c>
      <c r="AU25">
        <v>0</v>
      </c>
      <c r="AV25">
        <v>0</v>
      </c>
      <c r="AW25">
        <v>1</v>
      </c>
      <c r="AX25" t="s">
        <v>74</v>
      </c>
      <c r="AY25">
        <v>0</v>
      </c>
      <c r="AZ25" t="s">
        <v>76</v>
      </c>
      <c r="BA25">
        <v>-1.5707963267949001</v>
      </c>
      <c r="BB25">
        <v>0.99199999999999999</v>
      </c>
      <c r="BC25">
        <v>0</v>
      </c>
      <c r="BD25">
        <v>5.8245346242475203E-2</v>
      </c>
      <c r="BE25">
        <v>0</v>
      </c>
      <c r="BF25">
        <v>1.6E-2</v>
      </c>
      <c r="BG25">
        <v>0</v>
      </c>
      <c r="BH25">
        <v>0</v>
      </c>
      <c r="BI25">
        <v>0</v>
      </c>
      <c r="BJ25">
        <v>0</v>
      </c>
      <c r="BK25">
        <v>1</v>
      </c>
      <c r="BL25">
        <v>1.11071386074968E-4</v>
      </c>
      <c r="BM25" s="1">
        <v>6.6479996046271502E-5</v>
      </c>
      <c r="BN25" s="1">
        <v>4.13292784946069E-7</v>
      </c>
      <c r="BO25" s="1">
        <v>1.04426533594822E-6</v>
      </c>
      <c r="BP25">
        <v>0</v>
      </c>
      <c r="BQ25">
        <v>0</v>
      </c>
      <c r="BR25" s="1">
        <v>6.3340811239329293E-5</v>
      </c>
      <c r="BS25" s="1">
        <v>3.8063657923612602E-5</v>
      </c>
    </row>
    <row r="26" spans="1:71" x14ac:dyDescent="0.25">
      <c r="A26">
        <v>23</v>
      </c>
      <c r="B26" s="1">
        <v>1.0163981836864099E-5</v>
      </c>
      <c r="C26">
        <v>0.132320562724178</v>
      </c>
      <c r="D26">
        <v>-4.9001085142518603E-4</v>
      </c>
      <c r="E26">
        <v>6.1312499999999898E-4</v>
      </c>
      <c r="F26">
        <v>-1.32320562724178E-3</v>
      </c>
      <c r="G26" s="1">
        <v>1.0842021724855E-19</v>
      </c>
      <c r="H26" t="s">
        <v>74</v>
      </c>
      <c r="I26">
        <v>0</v>
      </c>
      <c r="J26" t="s">
        <v>75</v>
      </c>
      <c r="K26">
        <v>3.14159265358979</v>
      </c>
      <c r="L26">
        <v>0.89968778025416796</v>
      </c>
      <c r="M26">
        <v>0</v>
      </c>
      <c r="N26">
        <v>5.2825228095794298E-2</v>
      </c>
      <c r="O26">
        <v>0</v>
      </c>
      <c r="P26">
        <v>1.6E-2</v>
      </c>
      <c r="Q26">
        <v>0</v>
      </c>
      <c r="R26">
        <v>0</v>
      </c>
      <c r="S26">
        <v>0</v>
      </c>
      <c r="T26">
        <v>0</v>
      </c>
      <c r="U26">
        <v>0.90700338906074496</v>
      </c>
      <c r="V26" t="s">
        <v>78</v>
      </c>
      <c r="W26">
        <v>3870740.8720258898</v>
      </c>
      <c r="X26" t="s">
        <v>76</v>
      </c>
      <c r="Y26">
        <v>-1.5707963267949001</v>
      </c>
      <c r="Z26">
        <v>0.89891501732075396</v>
      </c>
      <c r="AA26">
        <v>0</v>
      </c>
      <c r="AB26">
        <v>5.2333617559279497E-2</v>
      </c>
      <c r="AC26">
        <v>0</v>
      </c>
      <c r="AD26">
        <v>1.3878304988040401E-2</v>
      </c>
      <c r="AE26">
        <v>3.7881689713835901E-3</v>
      </c>
      <c r="AF26">
        <v>0</v>
      </c>
      <c r="AG26">
        <v>0.122435464902465</v>
      </c>
      <c r="AH26">
        <v>1.6850167895870499E-2</v>
      </c>
      <c r="AI26">
        <v>0.82248879419606902</v>
      </c>
      <c r="AJ26" t="s">
        <v>74</v>
      </c>
      <c r="AK26">
        <v>0</v>
      </c>
      <c r="AL26" t="s">
        <v>77</v>
      </c>
      <c r="AM26">
        <v>0</v>
      </c>
      <c r="AN26">
        <v>0.99199999999999999</v>
      </c>
      <c r="AO26">
        <v>0</v>
      </c>
      <c r="AP26">
        <v>5.8245346242475203E-2</v>
      </c>
      <c r="AQ26">
        <v>0</v>
      </c>
      <c r="AR26">
        <v>1.6E-2</v>
      </c>
      <c r="AS26">
        <v>0</v>
      </c>
      <c r="AT26">
        <v>0</v>
      </c>
      <c r="AU26">
        <v>0</v>
      </c>
      <c r="AV26">
        <v>0</v>
      </c>
      <c r="AW26">
        <v>1</v>
      </c>
      <c r="AX26" t="s">
        <v>74</v>
      </c>
      <c r="AY26">
        <v>0</v>
      </c>
      <c r="AZ26" t="s">
        <v>76</v>
      </c>
      <c r="BA26">
        <v>-1.5707963267949001</v>
      </c>
      <c r="BB26">
        <v>0.99199999999999999</v>
      </c>
      <c r="BC26">
        <v>0</v>
      </c>
      <c r="BD26">
        <v>5.8245346242475203E-2</v>
      </c>
      <c r="BE26">
        <v>0</v>
      </c>
      <c r="BF26">
        <v>1.6E-2</v>
      </c>
      <c r="BG26">
        <v>0</v>
      </c>
      <c r="BH26">
        <v>0</v>
      </c>
      <c r="BI26">
        <v>0</v>
      </c>
      <c r="BJ26">
        <v>0</v>
      </c>
      <c r="BK26">
        <v>1</v>
      </c>
      <c r="BL26">
        <v>1.10824769070012E-4</v>
      </c>
      <c r="BM26" s="1">
        <v>6.9642816399167706E-5</v>
      </c>
      <c r="BN26" s="1">
        <v>4.1236982354444199E-7</v>
      </c>
      <c r="BO26" s="1">
        <v>1.0939468018746399E-6</v>
      </c>
      <c r="BP26">
        <v>0</v>
      </c>
      <c r="BQ26">
        <v>0</v>
      </c>
      <c r="BR26" s="1">
        <v>6.3184721572076202E-5</v>
      </c>
      <c r="BS26" s="1">
        <v>3.9874944552349399E-5</v>
      </c>
    </row>
    <row r="27" spans="1:71" x14ac:dyDescent="0.25">
      <c r="A27">
        <v>24</v>
      </c>
      <c r="B27" s="1">
        <v>9.7883795240073192E-6</v>
      </c>
      <c r="C27">
        <v>0.132330351103702</v>
      </c>
      <c r="D27">
        <v>-4.9005474565852404E-4</v>
      </c>
      <c r="E27">
        <v>6.1312499999999898E-4</v>
      </c>
      <c r="F27">
        <v>-1.3233035110370201E-3</v>
      </c>
      <c r="G27">
        <v>0</v>
      </c>
      <c r="H27" t="s">
        <v>74</v>
      </c>
      <c r="I27">
        <v>0</v>
      </c>
      <c r="J27" t="s">
        <v>75</v>
      </c>
      <c r="K27">
        <v>3.14159265358979</v>
      </c>
      <c r="L27">
        <v>0.89549572533505495</v>
      </c>
      <c r="M27">
        <v>0</v>
      </c>
      <c r="N27">
        <v>5.2579091311287102E-2</v>
      </c>
      <c r="O27">
        <v>0</v>
      </c>
      <c r="P27">
        <v>1.6E-2</v>
      </c>
      <c r="Q27">
        <v>0</v>
      </c>
      <c r="R27">
        <v>0</v>
      </c>
      <c r="S27">
        <v>0</v>
      </c>
      <c r="T27">
        <v>0</v>
      </c>
      <c r="U27">
        <v>0.90273688699802201</v>
      </c>
      <c r="V27" t="s">
        <v>78</v>
      </c>
      <c r="W27">
        <v>3871119.6579536302</v>
      </c>
      <c r="X27" t="s">
        <v>76</v>
      </c>
      <c r="Y27">
        <v>-1.5707963267949001</v>
      </c>
      <c r="Z27">
        <v>0.89472174143737204</v>
      </c>
      <c r="AA27">
        <v>0</v>
      </c>
      <c r="AB27">
        <v>5.20867040308787E-2</v>
      </c>
      <c r="AC27">
        <v>0</v>
      </c>
      <c r="AD27">
        <v>1.3707823013635699E-2</v>
      </c>
      <c r="AE27">
        <v>3.9673809009295501E-3</v>
      </c>
      <c r="AF27">
        <v>0</v>
      </c>
      <c r="AG27">
        <v>0.127139058689969</v>
      </c>
      <c r="AH27">
        <v>1.8471771614630001E-2</v>
      </c>
      <c r="AI27">
        <v>0.81482175561591597</v>
      </c>
      <c r="AJ27" t="s">
        <v>74</v>
      </c>
      <c r="AK27">
        <v>0</v>
      </c>
      <c r="AL27" t="s">
        <v>77</v>
      </c>
      <c r="AM27">
        <v>0</v>
      </c>
      <c r="AN27">
        <v>0.99199999999999999</v>
      </c>
      <c r="AO27">
        <v>0</v>
      </c>
      <c r="AP27">
        <v>5.8245346242475203E-2</v>
      </c>
      <c r="AQ27">
        <v>0</v>
      </c>
      <c r="AR27">
        <v>1.6E-2</v>
      </c>
      <c r="AS27">
        <v>0</v>
      </c>
      <c r="AT27">
        <v>0</v>
      </c>
      <c r="AU27">
        <v>0</v>
      </c>
      <c r="AV27">
        <v>0</v>
      </c>
      <c r="AW27">
        <v>1</v>
      </c>
      <c r="AX27" t="s">
        <v>74</v>
      </c>
      <c r="AY27">
        <v>0</v>
      </c>
      <c r="AZ27" t="s">
        <v>76</v>
      </c>
      <c r="BA27">
        <v>-1.5707963267949001</v>
      </c>
      <c r="BB27">
        <v>0.99199999999999999</v>
      </c>
      <c r="BC27">
        <v>0</v>
      </c>
      <c r="BD27">
        <v>5.8245346242475203E-2</v>
      </c>
      <c r="BE27">
        <v>0</v>
      </c>
      <c r="BF27">
        <v>1.6E-2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1.10578243913558E-4</v>
      </c>
      <c r="BM27" s="1">
        <v>7.2805415152299397E-5</v>
      </c>
      <c r="BN27" s="1">
        <v>4.11447597934967E-7</v>
      </c>
      <c r="BO27" s="1">
        <v>1.14362478692009E-6</v>
      </c>
      <c r="BP27">
        <v>0</v>
      </c>
      <c r="BQ27">
        <v>0</v>
      </c>
      <c r="BR27" s="1">
        <v>6.3028655711386806E-5</v>
      </c>
      <c r="BS27" s="1">
        <v>4.1686124562994597E-5</v>
      </c>
    </row>
    <row r="28" spans="1:71" x14ac:dyDescent="0.25">
      <c r="A28">
        <v>25</v>
      </c>
      <c r="B28" s="1">
        <v>9.4452138318074398E-6</v>
      </c>
      <c r="C28">
        <v>0.13233979631753401</v>
      </c>
      <c r="D28">
        <v>-4.9009709895387905E-4</v>
      </c>
      <c r="E28">
        <v>6.1312499999999898E-4</v>
      </c>
      <c r="F28">
        <v>-1.3233979631753401E-3</v>
      </c>
      <c r="G28">
        <v>0</v>
      </c>
      <c r="H28" t="s">
        <v>74</v>
      </c>
      <c r="I28">
        <v>0</v>
      </c>
      <c r="J28" t="s">
        <v>75</v>
      </c>
      <c r="K28">
        <v>3.14159265358979</v>
      </c>
      <c r="L28">
        <v>0.89130397024659702</v>
      </c>
      <c r="M28">
        <v>0</v>
      </c>
      <c r="N28">
        <v>5.2332972131356799E-2</v>
      </c>
      <c r="O28">
        <v>0</v>
      </c>
      <c r="P28">
        <v>1.6E-2</v>
      </c>
      <c r="Q28">
        <v>0</v>
      </c>
      <c r="R28">
        <v>0</v>
      </c>
      <c r="S28">
        <v>0</v>
      </c>
      <c r="T28">
        <v>0</v>
      </c>
      <c r="U28">
        <v>0.89845430653921998</v>
      </c>
      <c r="V28" t="s">
        <v>78</v>
      </c>
      <c r="W28">
        <v>3871485.1463345401</v>
      </c>
      <c r="X28" t="s">
        <v>76</v>
      </c>
      <c r="Y28">
        <v>-1.5707963267949001</v>
      </c>
      <c r="Z28">
        <v>0.89052898084419696</v>
      </c>
      <c r="AA28">
        <v>0</v>
      </c>
      <c r="AB28">
        <v>5.1839945176499702E-2</v>
      </c>
      <c r="AC28">
        <v>0</v>
      </c>
      <c r="AD28">
        <v>1.35371903893009E-2</v>
      </c>
      <c r="AE28">
        <v>4.14635408353868E-3</v>
      </c>
      <c r="AF28">
        <v>0</v>
      </c>
      <c r="AG28">
        <v>0.131762809741165</v>
      </c>
      <c r="AH28">
        <v>2.01727656691091E-2</v>
      </c>
      <c r="AI28">
        <v>0.80717797982621897</v>
      </c>
      <c r="AJ28" t="s">
        <v>74</v>
      </c>
      <c r="AK28">
        <v>0</v>
      </c>
      <c r="AL28" t="s">
        <v>77</v>
      </c>
      <c r="AM28">
        <v>0</v>
      </c>
      <c r="AN28">
        <v>0.99199999999999999</v>
      </c>
      <c r="AO28">
        <v>0</v>
      </c>
      <c r="AP28">
        <v>5.8245346242475203E-2</v>
      </c>
      <c r="AQ28">
        <v>0</v>
      </c>
      <c r="AR28">
        <v>1.6E-2</v>
      </c>
      <c r="AS28">
        <v>0</v>
      </c>
      <c r="AT28">
        <v>0</v>
      </c>
      <c r="AU28">
        <v>0</v>
      </c>
      <c r="AV28">
        <v>0</v>
      </c>
      <c r="AW28">
        <v>1</v>
      </c>
      <c r="AX28" t="s">
        <v>74</v>
      </c>
      <c r="AY28">
        <v>0</v>
      </c>
      <c r="AZ28" t="s">
        <v>76</v>
      </c>
      <c r="BA28">
        <v>-1.5707963267949001</v>
      </c>
      <c r="BB28">
        <v>0.99199999999999999</v>
      </c>
      <c r="BC28">
        <v>0</v>
      </c>
      <c r="BD28">
        <v>5.8245346242475203E-2</v>
      </c>
      <c r="BE28">
        <v>0</v>
      </c>
      <c r="BF28">
        <v>1.6E-2</v>
      </c>
      <c r="BG28">
        <v>0</v>
      </c>
      <c r="BH28">
        <v>0</v>
      </c>
      <c r="BI28">
        <v>0</v>
      </c>
      <c r="BJ28">
        <v>0</v>
      </c>
      <c r="BK28">
        <v>1</v>
      </c>
      <c r="BL28">
        <v>1.10331804896403E-4</v>
      </c>
      <c r="BM28" s="1">
        <v>7.5967787705137106E-5</v>
      </c>
      <c r="BN28" s="1">
        <v>4.1052605484884501E-7</v>
      </c>
      <c r="BO28" s="1">
        <v>1.1932992188196399E-6</v>
      </c>
      <c r="BP28">
        <v>0</v>
      </c>
      <c r="BQ28">
        <v>0</v>
      </c>
      <c r="BR28" s="1">
        <v>6.2872612811152697E-5</v>
      </c>
      <c r="BS28" s="1">
        <v>4.3497194714530097E-5</v>
      </c>
    </row>
    <row r="29" spans="1:71" x14ac:dyDescent="0.25">
      <c r="A29">
        <v>26</v>
      </c>
      <c r="B29" s="1">
        <v>9.1306310604077692E-6</v>
      </c>
      <c r="C29">
        <v>0.13234892694859399</v>
      </c>
      <c r="D29">
        <v>-4.9013803969466703E-4</v>
      </c>
      <c r="E29">
        <v>6.1312499999999995E-4</v>
      </c>
      <c r="F29">
        <v>-1.32348926948594E-3</v>
      </c>
      <c r="G29" s="1">
        <v>1.0842021724855E-19</v>
      </c>
      <c r="H29" t="s">
        <v>74</v>
      </c>
      <c r="I29">
        <v>0</v>
      </c>
      <c r="J29" t="s">
        <v>75</v>
      </c>
      <c r="K29">
        <v>3.14159265358979</v>
      </c>
      <c r="L29">
        <v>0.88711252187896805</v>
      </c>
      <c r="M29">
        <v>0</v>
      </c>
      <c r="N29">
        <v>5.2086870960560298E-2</v>
      </c>
      <c r="O29">
        <v>0</v>
      </c>
      <c r="P29">
        <v>1.6E-2</v>
      </c>
      <c r="Q29">
        <v>0</v>
      </c>
      <c r="R29">
        <v>0</v>
      </c>
      <c r="S29">
        <v>0</v>
      </c>
      <c r="T29">
        <v>0</v>
      </c>
      <c r="U29">
        <v>0.894139307724924</v>
      </c>
      <c r="V29" t="s">
        <v>78</v>
      </c>
      <c r="W29">
        <v>3871838.44505517</v>
      </c>
      <c r="X29" t="s">
        <v>76</v>
      </c>
      <c r="Y29">
        <v>-1.5707963267949001</v>
      </c>
      <c r="Z29">
        <v>0.886336725643325</v>
      </c>
      <c r="AA29">
        <v>0</v>
      </c>
      <c r="AB29">
        <v>5.1593330720586E-2</v>
      </c>
      <c r="AC29">
        <v>0</v>
      </c>
      <c r="AD29">
        <v>1.33664454741483E-2</v>
      </c>
      <c r="AE29">
        <v>4.3250819913377E-3</v>
      </c>
      <c r="AF29">
        <v>0</v>
      </c>
      <c r="AG29">
        <v>0.13630597344230799</v>
      </c>
      <c r="AH29">
        <v>2.1953884276790198E-2</v>
      </c>
      <c r="AI29">
        <v>0.79954127083962001</v>
      </c>
      <c r="AJ29" t="s">
        <v>74</v>
      </c>
      <c r="AK29">
        <v>0</v>
      </c>
      <c r="AL29" t="s">
        <v>77</v>
      </c>
      <c r="AM29">
        <v>0</v>
      </c>
      <c r="AN29">
        <v>0.99199999999999999</v>
      </c>
      <c r="AO29">
        <v>0</v>
      </c>
      <c r="AP29">
        <v>5.8245346242475203E-2</v>
      </c>
      <c r="AQ29">
        <v>0</v>
      </c>
      <c r="AR29">
        <v>1.6E-2</v>
      </c>
      <c r="AS29">
        <v>0</v>
      </c>
      <c r="AT29">
        <v>0</v>
      </c>
      <c r="AU29">
        <v>0</v>
      </c>
      <c r="AV29">
        <v>0</v>
      </c>
      <c r="AW29">
        <v>1</v>
      </c>
      <c r="AX29" t="s">
        <v>74</v>
      </c>
      <c r="AY29">
        <v>0</v>
      </c>
      <c r="AZ29" t="s">
        <v>76</v>
      </c>
      <c r="BA29">
        <v>-1.5707963267949001</v>
      </c>
      <c r="BB29">
        <v>0.99199999999999999</v>
      </c>
      <c r="BC29">
        <v>0</v>
      </c>
      <c r="BD29">
        <v>5.8245346242475203E-2</v>
      </c>
      <c r="BE29">
        <v>0</v>
      </c>
      <c r="BF29">
        <v>1.6E-2</v>
      </c>
      <c r="BG29">
        <v>0</v>
      </c>
      <c r="BH29">
        <v>0</v>
      </c>
      <c r="BI29">
        <v>0</v>
      </c>
      <c r="BJ29">
        <v>0</v>
      </c>
      <c r="BK29">
        <v>1</v>
      </c>
      <c r="BL29">
        <v>1.1008544708304801E-4</v>
      </c>
      <c r="BM29" s="1">
        <v>7.9129928859549193E-5</v>
      </c>
      <c r="BN29" s="1">
        <v>4.0960514773561402E-7</v>
      </c>
      <c r="BO29" s="1">
        <v>1.2429700159212099E-6</v>
      </c>
      <c r="BP29">
        <v>0</v>
      </c>
      <c r="BQ29">
        <v>0</v>
      </c>
      <c r="BR29" s="1">
        <v>6.2716592188258094E-5</v>
      </c>
      <c r="BS29" s="1">
        <v>4.5308151481742698E-5</v>
      </c>
    </row>
    <row r="30" spans="1:71" x14ac:dyDescent="0.25">
      <c r="A30">
        <v>27</v>
      </c>
      <c r="B30" s="1">
        <v>8.8413737860550005E-6</v>
      </c>
      <c r="C30">
        <v>0.13235776832238</v>
      </c>
      <c r="D30">
        <v>-4.9017768162793601E-4</v>
      </c>
      <c r="E30">
        <v>6.1312499999999995E-4</v>
      </c>
      <c r="F30">
        <v>-1.3235776832238001E-3</v>
      </c>
      <c r="G30" s="1">
        <v>1.0842021724855E-19</v>
      </c>
      <c r="H30" t="s">
        <v>74</v>
      </c>
      <c r="I30">
        <v>0</v>
      </c>
      <c r="J30" t="s">
        <v>75</v>
      </c>
      <c r="K30">
        <v>3.14159265358979</v>
      </c>
      <c r="L30">
        <v>0.882921387908013</v>
      </c>
      <c r="M30">
        <v>0</v>
      </c>
      <c r="N30">
        <v>5.1840788249585698E-2</v>
      </c>
      <c r="O30">
        <v>0</v>
      </c>
      <c r="P30">
        <v>1.6E-2</v>
      </c>
      <c r="Q30">
        <v>0</v>
      </c>
      <c r="R30">
        <v>0</v>
      </c>
      <c r="S30">
        <v>0</v>
      </c>
      <c r="T30">
        <v>0</v>
      </c>
      <c r="U30">
        <v>0.88979293358091804</v>
      </c>
      <c r="V30" t="s">
        <v>78</v>
      </c>
      <c r="W30">
        <v>3872180.5356973601</v>
      </c>
      <c r="X30" t="s">
        <v>76</v>
      </c>
      <c r="Y30">
        <v>-1.5707963267949001</v>
      </c>
      <c r="Z30">
        <v>0.88214496865206204</v>
      </c>
      <c r="AA30">
        <v>0</v>
      </c>
      <c r="AB30">
        <v>5.1346851661230403E-2</v>
      </c>
      <c r="AC30">
        <v>0</v>
      </c>
      <c r="AD30">
        <v>1.3195619108591501E-2</v>
      </c>
      <c r="AE30">
        <v>4.5035617369100899E-3</v>
      </c>
      <c r="AF30">
        <v>0</v>
      </c>
      <c r="AG30">
        <v>0.14076775283912801</v>
      </c>
      <c r="AH30">
        <v>2.3815912810213301E-2</v>
      </c>
      <c r="AI30">
        <v>0.79191283479638497</v>
      </c>
      <c r="AJ30" t="s">
        <v>74</v>
      </c>
      <c r="AK30">
        <v>0</v>
      </c>
      <c r="AL30" t="s">
        <v>77</v>
      </c>
      <c r="AM30">
        <v>0</v>
      </c>
      <c r="AN30">
        <v>0.99199999999999999</v>
      </c>
      <c r="AO30">
        <v>0</v>
      </c>
      <c r="AP30">
        <v>5.8245346242475203E-2</v>
      </c>
      <c r="AQ30">
        <v>0</v>
      </c>
      <c r="AR30">
        <v>1.6E-2</v>
      </c>
      <c r="AS30">
        <v>0</v>
      </c>
      <c r="AT30">
        <v>0</v>
      </c>
      <c r="AU30">
        <v>0</v>
      </c>
      <c r="AV30">
        <v>0</v>
      </c>
      <c r="AW30">
        <v>1</v>
      </c>
      <c r="AX30" t="s">
        <v>74</v>
      </c>
      <c r="AY30">
        <v>0</v>
      </c>
      <c r="AZ30" t="s">
        <v>76</v>
      </c>
      <c r="BA30">
        <v>-1.5707963267949001</v>
      </c>
      <c r="BB30">
        <v>0.99199999999999999</v>
      </c>
      <c r="BC30">
        <v>0</v>
      </c>
      <c r="BD30">
        <v>5.8245346242475203E-2</v>
      </c>
      <c r="BE30">
        <v>0</v>
      </c>
      <c r="BF30">
        <v>1.6E-2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1.09839166197883E-4</v>
      </c>
      <c r="BM30" s="1">
        <v>8.2291832824670801E-5</v>
      </c>
      <c r="BN30" s="1">
        <v>4.0868483574083603E-7</v>
      </c>
      <c r="BO30" s="1">
        <v>1.2926370872621301E-6</v>
      </c>
      <c r="BP30">
        <v>0</v>
      </c>
      <c r="BQ30">
        <v>0</v>
      </c>
      <c r="BR30" s="1">
        <v>6.2560593300790195E-5</v>
      </c>
      <c r="BS30" s="1">
        <v>4.7118991051458298E-5</v>
      </c>
    </row>
    <row r="31" spans="1:71" x14ac:dyDescent="0.25">
      <c r="A31">
        <v>28</v>
      </c>
      <c r="B31" s="1">
        <v>8.5746704861299494E-6</v>
      </c>
      <c r="C31">
        <v>0.13236634299286601</v>
      </c>
      <c r="D31">
        <v>-4.9021612604809104E-4</v>
      </c>
      <c r="E31">
        <v>6.1312499999999995E-4</v>
      </c>
      <c r="F31">
        <v>-1.32366342992866E-3</v>
      </c>
      <c r="G31">
        <v>0</v>
      </c>
      <c r="H31" t="s">
        <v>74</v>
      </c>
      <c r="I31">
        <v>0</v>
      </c>
      <c r="J31" t="s">
        <v>75</v>
      </c>
      <c r="K31">
        <v>3.14159265358979</v>
      </c>
      <c r="L31">
        <v>0.87873057623824702</v>
      </c>
      <c r="M31">
        <v>0</v>
      </c>
      <c r="N31">
        <v>5.1594724462546898E-2</v>
      </c>
      <c r="O31">
        <v>0</v>
      </c>
      <c r="P31">
        <v>1.6E-2</v>
      </c>
      <c r="Q31">
        <v>0</v>
      </c>
      <c r="R31">
        <v>0</v>
      </c>
      <c r="S31">
        <v>0</v>
      </c>
      <c r="T31">
        <v>0</v>
      </c>
      <c r="U31">
        <v>0.88541610813254201</v>
      </c>
      <c r="V31" t="s">
        <v>78</v>
      </c>
      <c r="W31">
        <v>3872512.2923826198</v>
      </c>
      <c r="X31" t="s">
        <v>76</v>
      </c>
      <c r="Y31">
        <v>-1.5707963267949001</v>
      </c>
      <c r="Z31">
        <v>0.87795370455670096</v>
      </c>
      <c r="AA31">
        <v>0</v>
      </c>
      <c r="AB31">
        <v>5.1100500053477202E-2</v>
      </c>
      <c r="AC31">
        <v>0</v>
      </c>
      <c r="AD31">
        <v>1.30247390003548E-2</v>
      </c>
      <c r="AE31">
        <v>4.6817904312809102E-3</v>
      </c>
      <c r="AF31">
        <v>0</v>
      </c>
      <c r="AG31">
        <v>0.14514733183884801</v>
      </c>
      <c r="AH31">
        <v>2.57596554354E-2</v>
      </c>
      <c r="AI31">
        <v>0.78429376061650302</v>
      </c>
      <c r="AJ31" t="s">
        <v>74</v>
      </c>
      <c r="AK31">
        <v>0</v>
      </c>
      <c r="AL31" t="s">
        <v>77</v>
      </c>
      <c r="AM31">
        <v>0</v>
      </c>
      <c r="AN31">
        <v>0.99199999999999999</v>
      </c>
      <c r="AO31">
        <v>0</v>
      </c>
      <c r="AP31">
        <v>5.8245346242475203E-2</v>
      </c>
      <c r="AQ31">
        <v>0</v>
      </c>
      <c r="AR31">
        <v>1.6E-2</v>
      </c>
      <c r="AS31">
        <v>0</v>
      </c>
      <c r="AT31">
        <v>0</v>
      </c>
      <c r="AU31">
        <v>0</v>
      </c>
      <c r="AV31">
        <v>0</v>
      </c>
      <c r="AW31">
        <v>1</v>
      </c>
      <c r="AX31" t="s">
        <v>74</v>
      </c>
      <c r="AY31">
        <v>0</v>
      </c>
      <c r="AZ31" t="s">
        <v>76</v>
      </c>
      <c r="BA31">
        <v>-1.5707963267949001</v>
      </c>
      <c r="BB31">
        <v>0.99199999999999999</v>
      </c>
      <c r="BC31">
        <v>0</v>
      </c>
      <c r="BD31">
        <v>5.8245346242475203E-2</v>
      </c>
      <c r="BE31">
        <v>0</v>
      </c>
      <c r="BF31">
        <v>1.6E-2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1.0959295850048701E-4</v>
      </c>
      <c r="BM31" s="1">
        <v>8.5453493637124094E-5</v>
      </c>
      <c r="BN31" s="1">
        <v>4.07765082756047E-7</v>
      </c>
      <c r="BO31" s="1">
        <v>1.3423003391698601E-6</v>
      </c>
      <c r="BP31">
        <v>0</v>
      </c>
      <c r="BQ31">
        <v>0</v>
      </c>
      <c r="BR31" s="1">
        <v>6.2404615709966797E-5</v>
      </c>
      <c r="BS31" s="1">
        <v>4.8929709557640398E-5</v>
      </c>
    </row>
    <row r="32" spans="1:71" x14ac:dyDescent="0.25">
      <c r="A32">
        <v>29</v>
      </c>
      <c r="B32" s="1">
        <v>8.3281466754018002E-6</v>
      </c>
      <c r="C32">
        <v>0.13237467113954199</v>
      </c>
      <c r="D32">
        <v>-4.9025346358119097E-4</v>
      </c>
      <c r="E32">
        <v>6.1312499999999995E-4</v>
      </c>
      <c r="F32">
        <v>-1.32374671139542E-3</v>
      </c>
      <c r="G32">
        <v>0</v>
      </c>
      <c r="H32" t="s">
        <v>74</v>
      </c>
      <c r="I32">
        <v>0</v>
      </c>
      <c r="J32" t="s">
        <v>75</v>
      </c>
      <c r="K32">
        <v>3.14159265358979</v>
      </c>
      <c r="L32">
        <v>0.87454009501973495</v>
      </c>
      <c r="M32">
        <v>0</v>
      </c>
      <c r="N32">
        <v>5.1348680077975398E-2</v>
      </c>
      <c r="O32">
        <v>0</v>
      </c>
      <c r="P32">
        <v>1.6E-2</v>
      </c>
      <c r="Q32">
        <v>0</v>
      </c>
      <c r="R32">
        <v>0</v>
      </c>
      <c r="S32">
        <v>0</v>
      </c>
      <c r="T32">
        <v>0</v>
      </c>
      <c r="U32">
        <v>0.88100965348657401</v>
      </c>
      <c r="V32" t="s">
        <v>78</v>
      </c>
      <c r="W32">
        <v>3872834.49716989</v>
      </c>
      <c r="X32" t="s">
        <v>76</v>
      </c>
      <c r="Y32">
        <v>-1.5707963267949001</v>
      </c>
      <c r="Z32">
        <v>0.873762929693082</v>
      </c>
      <c r="AA32">
        <v>0</v>
      </c>
      <c r="AB32">
        <v>5.0854268859974502E-2</v>
      </c>
      <c r="AC32">
        <v>0</v>
      </c>
      <c r="AD32">
        <v>1.28538301841841E-2</v>
      </c>
      <c r="AE32">
        <v>4.8597651780911402E-3</v>
      </c>
      <c r="AF32">
        <v>0</v>
      </c>
      <c r="AG32">
        <v>0.149443874612711</v>
      </c>
      <c r="AH32">
        <v>2.7785935683853201E-2</v>
      </c>
      <c r="AI32">
        <v>0.77668503706155401</v>
      </c>
      <c r="AJ32" t="s">
        <v>74</v>
      </c>
      <c r="AK32">
        <v>0</v>
      </c>
      <c r="AL32" t="s">
        <v>77</v>
      </c>
      <c r="AM32">
        <v>0</v>
      </c>
      <c r="AN32">
        <v>0.99199999999999999</v>
      </c>
      <c r="AO32">
        <v>0</v>
      </c>
      <c r="AP32">
        <v>5.8245346242475203E-2</v>
      </c>
      <c r="AQ32">
        <v>0</v>
      </c>
      <c r="AR32">
        <v>1.6E-2</v>
      </c>
      <c r="AS32">
        <v>0</v>
      </c>
      <c r="AT32">
        <v>0</v>
      </c>
      <c r="AU32">
        <v>0</v>
      </c>
      <c r="AV32">
        <v>0</v>
      </c>
      <c r="AW32">
        <v>1</v>
      </c>
      <c r="AX32" t="s">
        <v>74</v>
      </c>
      <c r="AY32">
        <v>0</v>
      </c>
      <c r="AZ32" t="s">
        <v>76</v>
      </c>
      <c r="BA32">
        <v>-1.5707963267949001</v>
      </c>
      <c r="BB32">
        <v>0.99199999999999999</v>
      </c>
      <c r="BC32">
        <v>0</v>
      </c>
      <c r="BD32">
        <v>5.8245346242475203E-2</v>
      </c>
      <c r="BE32">
        <v>0</v>
      </c>
      <c r="BF32">
        <v>1.6E-2</v>
      </c>
      <c r="BG32">
        <v>0</v>
      </c>
      <c r="BH32">
        <v>0</v>
      </c>
      <c r="BI32">
        <v>0</v>
      </c>
      <c r="BJ32">
        <v>0</v>
      </c>
      <c r="BK32">
        <v>1</v>
      </c>
      <c r="BL32">
        <v>1.0934682071145001E-4</v>
      </c>
      <c r="BM32" s="1">
        <v>8.8614905148281999E-5</v>
      </c>
      <c r="BN32" s="1">
        <v>4.0684585674594001E-7</v>
      </c>
      <c r="BO32" s="1">
        <v>1.391959675062E-6</v>
      </c>
      <c r="BP32">
        <v>0</v>
      </c>
      <c r="BQ32">
        <v>0</v>
      </c>
      <c r="BR32" s="1">
        <v>6.2248659066686904E-5</v>
      </c>
      <c r="BS32" s="1">
        <v>5.0740303069335299E-5</v>
      </c>
    </row>
    <row r="33" spans="1:71" x14ac:dyDescent="0.25">
      <c r="A33">
        <v>30</v>
      </c>
      <c r="B33" s="1">
        <v>8.0997566130397394E-6</v>
      </c>
      <c r="C33">
        <v>0.13238277089615499</v>
      </c>
      <c r="D33">
        <v>-4.9028977566228601E-4</v>
      </c>
      <c r="E33">
        <v>6.1312499999999995E-4</v>
      </c>
      <c r="F33">
        <v>-1.3238277089615499E-3</v>
      </c>
      <c r="G33">
        <v>0</v>
      </c>
      <c r="H33" t="s">
        <v>74</v>
      </c>
      <c r="I33">
        <v>0</v>
      </c>
      <c r="J33" t="s">
        <v>75</v>
      </c>
      <c r="K33">
        <v>3.14159265358979</v>
      </c>
      <c r="L33">
        <v>0.87034995266510295</v>
      </c>
      <c r="M33">
        <v>0</v>
      </c>
      <c r="N33">
        <v>5.1102655589819398E-2</v>
      </c>
      <c r="O33">
        <v>0</v>
      </c>
      <c r="P33">
        <v>1.6E-2</v>
      </c>
      <c r="Q33">
        <v>0</v>
      </c>
      <c r="R33">
        <v>0</v>
      </c>
      <c r="S33">
        <v>0</v>
      </c>
      <c r="T33">
        <v>0</v>
      </c>
      <c r="U33">
        <v>0.876574303976832</v>
      </c>
      <c r="V33" t="s">
        <v>78</v>
      </c>
      <c r="W33">
        <v>3873147.8528041001</v>
      </c>
      <c r="X33" t="s">
        <v>76</v>
      </c>
      <c r="Y33">
        <v>-1.5707963267949001</v>
      </c>
      <c r="Z33">
        <v>0.86957264186842298</v>
      </c>
      <c r="AA33">
        <v>0</v>
      </c>
      <c r="AB33">
        <v>5.0608151827799798E-2</v>
      </c>
      <c r="AC33">
        <v>0</v>
      </c>
      <c r="AD33">
        <v>1.26829154015722E-2</v>
      </c>
      <c r="AE33">
        <v>5.0374830684696203E-3</v>
      </c>
      <c r="AF33">
        <v>0</v>
      </c>
      <c r="AG33">
        <v>0.15365652495853899</v>
      </c>
      <c r="AH33">
        <v>2.98955970643279E-2</v>
      </c>
      <c r="AI33">
        <v>0.76908756686346103</v>
      </c>
      <c r="AJ33" t="s">
        <v>74</v>
      </c>
      <c r="AK33">
        <v>0</v>
      </c>
      <c r="AL33" t="s">
        <v>77</v>
      </c>
      <c r="AM33">
        <v>0</v>
      </c>
      <c r="AN33">
        <v>0.99199999999999999</v>
      </c>
      <c r="AO33">
        <v>0</v>
      </c>
      <c r="AP33">
        <v>5.8245346242475203E-2</v>
      </c>
      <c r="AQ33">
        <v>0</v>
      </c>
      <c r="AR33">
        <v>1.6E-2</v>
      </c>
      <c r="AS33">
        <v>0</v>
      </c>
      <c r="AT33">
        <v>0</v>
      </c>
      <c r="AU33">
        <v>0</v>
      </c>
      <c r="AV33">
        <v>0</v>
      </c>
      <c r="AW33">
        <v>1</v>
      </c>
      <c r="AX33" t="s">
        <v>74</v>
      </c>
      <c r="AY33">
        <v>0</v>
      </c>
      <c r="AZ33" t="s">
        <v>76</v>
      </c>
      <c r="BA33">
        <v>-1.5707963267949001</v>
      </c>
      <c r="BB33">
        <v>0.99199999999999999</v>
      </c>
      <c r="BC33">
        <v>0</v>
      </c>
      <c r="BD33">
        <v>5.8245346242475203E-2</v>
      </c>
      <c r="BE33">
        <v>0</v>
      </c>
      <c r="BF33">
        <v>1.6E-2</v>
      </c>
      <c r="BG33">
        <v>0</v>
      </c>
      <c r="BH33">
        <v>0</v>
      </c>
      <c r="BI33">
        <v>0</v>
      </c>
      <c r="BJ33">
        <v>0</v>
      </c>
      <c r="BK33">
        <v>1</v>
      </c>
      <c r="BL33">
        <v>1.09100749951285E-4</v>
      </c>
      <c r="BM33" s="1">
        <v>9.1776061011433194E-5</v>
      </c>
      <c r="BN33" s="1">
        <v>4.0592712919330901E-7</v>
      </c>
      <c r="BO33" s="1">
        <v>1.44161499524464E-6</v>
      </c>
      <c r="BP33">
        <v>0</v>
      </c>
      <c r="BQ33">
        <v>0</v>
      </c>
      <c r="BR33" s="1">
        <v>6.2092723100616807E-5</v>
      </c>
      <c r="BS33" s="1">
        <v>5.2550767579257801E-5</v>
      </c>
    </row>
    <row r="34" spans="1:71" x14ac:dyDescent="0.25">
      <c r="A34">
        <v>31</v>
      </c>
      <c r="B34" s="1">
        <v>7.8877286640108697E-6</v>
      </c>
      <c r="C34">
        <v>0.132390658624819</v>
      </c>
      <c r="D34">
        <v>-4.9032513576715501E-4</v>
      </c>
      <c r="E34">
        <v>6.1312499999999995E-4</v>
      </c>
      <c r="F34">
        <v>-1.3239065862481901E-3</v>
      </c>
      <c r="G34">
        <v>0</v>
      </c>
      <c r="H34" t="s">
        <v>74</v>
      </c>
      <c r="I34">
        <v>0</v>
      </c>
      <c r="J34" t="s">
        <v>75</v>
      </c>
      <c r="K34">
        <v>3.14159265358979</v>
      </c>
      <c r="L34">
        <v>0.86616015786686296</v>
      </c>
      <c r="M34">
        <v>0</v>
      </c>
      <c r="N34">
        <v>5.0856651508460103E-2</v>
      </c>
      <c r="O34">
        <v>0</v>
      </c>
      <c r="P34">
        <v>1.6E-2</v>
      </c>
      <c r="Q34">
        <v>0</v>
      </c>
      <c r="R34">
        <v>0</v>
      </c>
      <c r="S34">
        <v>0</v>
      </c>
      <c r="T34">
        <v>0</v>
      </c>
      <c r="U34">
        <v>0.87211071796097395</v>
      </c>
      <c r="V34" t="s">
        <v>78</v>
      </c>
      <c r="W34">
        <v>3873452.9933455498</v>
      </c>
      <c r="X34" t="s">
        <v>76</v>
      </c>
      <c r="Y34">
        <v>-1.5707963267949001</v>
      </c>
      <c r="Z34">
        <v>0.865382840216256</v>
      </c>
      <c r="AA34">
        <v>0</v>
      </c>
      <c r="AB34">
        <v>5.0362143386173799E-2</v>
      </c>
      <c r="AC34">
        <v>0</v>
      </c>
      <c r="AD34">
        <v>1.2512015416716499E-2</v>
      </c>
      <c r="AE34">
        <v>5.21494117646225E-3</v>
      </c>
      <c r="AF34">
        <v>0</v>
      </c>
      <c r="AG34">
        <v>0.157784405622238</v>
      </c>
      <c r="AH34">
        <v>3.2089503715186797E-2</v>
      </c>
      <c r="AI34">
        <v>0.761502178507109</v>
      </c>
      <c r="AJ34" t="s">
        <v>74</v>
      </c>
      <c r="AK34">
        <v>0</v>
      </c>
      <c r="AL34" t="s">
        <v>77</v>
      </c>
      <c r="AM34">
        <v>0</v>
      </c>
      <c r="AN34">
        <v>0.99199999999999999</v>
      </c>
      <c r="AO34">
        <v>0</v>
      </c>
      <c r="AP34">
        <v>5.8245346242475203E-2</v>
      </c>
      <c r="AQ34">
        <v>0</v>
      </c>
      <c r="AR34">
        <v>1.6E-2</v>
      </c>
      <c r="AS34">
        <v>0</v>
      </c>
      <c r="AT34">
        <v>0</v>
      </c>
      <c r="AU34">
        <v>0</v>
      </c>
      <c r="AV34">
        <v>0</v>
      </c>
      <c r="AW34">
        <v>1</v>
      </c>
      <c r="AX34" t="s">
        <v>74</v>
      </c>
      <c r="AY34">
        <v>0</v>
      </c>
      <c r="AZ34" t="s">
        <v>76</v>
      </c>
      <c r="BA34">
        <v>-1.5707963267949001</v>
      </c>
      <c r="BB34">
        <v>0.99199999999999999</v>
      </c>
      <c r="BC34">
        <v>0</v>
      </c>
      <c r="BD34">
        <v>5.8245346242475203E-2</v>
      </c>
      <c r="BE34">
        <v>0</v>
      </c>
      <c r="BF34">
        <v>1.6E-2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1.08854743689792E-4</v>
      </c>
      <c r="BM34" s="1">
        <v>9.49369546687126E-5</v>
      </c>
      <c r="BN34" s="1">
        <v>4.0500887463797901E-7</v>
      </c>
      <c r="BO34" s="1">
        <v>1.4912661967070701E-6</v>
      </c>
      <c r="BP34">
        <v>0</v>
      </c>
      <c r="BQ34">
        <v>0</v>
      </c>
      <c r="BR34" s="1">
        <v>6.1936807611287102E-5</v>
      </c>
      <c r="BS34" s="1">
        <v>5.4361098992820902E-5</v>
      </c>
    </row>
    <row r="35" spans="1:71" x14ac:dyDescent="0.25">
      <c r="A35">
        <v>32</v>
      </c>
      <c r="B35" s="1">
        <v>7.6905212342219701E-6</v>
      </c>
      <c r="C35">
        <v>0.132398349146053</v>
      </c>
      <c r="D35">
        <v>-4.9035961044599703E-4</v>
      </c>
      <c r="E35">
        <v>6.1312499999999995E-4</v>
      </c>
      <c r="F35">
        <v>-1.32398349146053E-3</v>
      </c>
      <c r="G35" s="1">
        <v>1.0842021724855E-19</v>
      </c>
      <c r="H35" t="s">
        <v>74</v>
      </c>
      <c r="I35">
        <v>0</v>
      </c>
      <c r="J35" t="s">
        <v>75</v>
      </c>
      <c r="K35">
        <v>3.14159265358979</v>
      </c>
      <c r="L35">
        <v>0.86197071961514204</v>
      </c>
      <c r="M35">
        <v>0</v>
      </c>
      <c r="N35">
        <v>5.06106683617535E-2</v>
      </c>
      <c r="O35">
        <v>0</v>
      </c>
      <c r="P35">
        <v>1.6E-2</v>
      </c>
      <c r="Q35">
        <v>0</v>
      </c>
      <c r="R35">
        <v>0</v>
      </c>
      <c r="S35">
        <v>0</v>
      </c>
      <c r="T35">
        <v>0</v>
      </c>
      <c r="U35">
        <v>0.86761948772334596</v>
      </c>
      <c r="V35" t="s">
        <v>78</v>
      </c>
      <c r="W35">
        <v>3873750.4930901802</v>
      </c>
      <c r="X35" t="s">
        <v>76</v>
      </c>
      <c r="Y35">
        <v>-1.5707963267949001</v>
      </c>
      <c r="Z35">
        <v>0.86119352507815605</v>
      </c>
      <c r="AA35">
        <v>0</v>
      </c>
      <c r="AB35">
        <v>5.0116238560982497E-2</v>
      </c>
      <c r="AC35">
        <v>0</v>
      </c>
      <c r="AD35">
        <v>1.2341149281210001E-2</v>
      </c>
      <c r="AE35">
        <v>5.3921365549107203E-3</v>
      </c>
      <c r="AF35">
        <v>0</v>
      </c>
      <c r="AG35">
        <v>0.16182661757691699</v>
      </c>
      <c r="AH35">
        <v>3.4368541098539103E-2</v>
      </c>
      <c r="AI35">
        <v>0.75392963612123198</v>
      </c>
      <c r="AJ35" t="s">
        <v>74</v>
      </c>
      <c r="AK35">
        <v>0</v>
      </c>
      <c r="AL35" t="s">
        <v>77</v>
      </c>
      <c r="AM35">
        <v>0</v>
      </c>
      <c r="AN35">
        <v>0.99199999999999999</v>
      </c>
      <c r="AO35">
        <v>0</v>
      </c>
      <c r="AP35">
        <v>5.8245346242475203E-2</v>
      </c>
      <c r="AQ35">
        <v>0</v>
      </c>
      <c r="AR35">
        <v>1.6E-2</v>
      </c>
      <c r="AS35">
        <v>0</v>
      </c>
      <c r="AT35">
        <v>0</v>
      </c>
      <c r="AU35">
        <v>0</v>
      </c>
      <c r="AV35">
        <v>0</v>
      </c>
      <c r="AW35">
        <v>1</v>
      </c>
      <c r="AX35" t="s">
        <v>74</v>
      </c>
      <c r="AY35">
        <v>0</v>
      </c>
      <c r="AZ35" t="s">
        <v>76</v>
      </c>
      <c r="BA35">
        <v>-1.5707963267949001</v>
      </c>
      <c r="BB35">
        <v>0.99199999999999999</v>
      </c>
      <c r="BC35">
        <v>0</v>
      </c>
      <c r="BD35">
        <v>5.8245346242475203E-2</v>
      </c>
      <c r="BE35">
        <v>0</v>
      </c>
      <c r="BF35">
        <v>1.6E-2</v>
      </c>
      <c r="BG35">
        <v>0</v>
      </c>
      <c r="BH35">
        <v>0</v>
      </c>
      <c r="BI35">
        <v>0</v>
      </c>
      <c r="BJ35">
        <v>0</v>
      </c>
      <c r="BK35">
        <v>1</v>
      </c>
      <c r="BL35">
        <v>1.08608799703843E-4</v>
      </c>
      <c r="BM35" s="1">
        <v>9.8097579337728296E-5</v>
      </c>
      <c r="BN35" s="1">
        <v>4.04091070291362E-7</v>
      </c>
      <c r="BO35" s="1">
        <v>1.5409131729117499E-6</v>
      </c>
      <c r="BP35">
        <v>0</v>
      </c>
      <c r="BQ35">
        <v>0</v>
      </c>
      <c r="BR35" s="1">
        <v>6.1780912460803497E-5</v>
      </c>
      <c r="BS35" s="1">
        <v>5.6171293117475599E-5</v>
      </c>
    </row>
    <row r="36" spans="1:71" x14ac:dyDescent="0.25">
      <c r="A36">
        <v>33</v>
      </c>
      <c r="B36" s="1">
        <v>7.5067869679270103E-6</v>
      </c>
      <c r="C36">
        <v>0.13240585593302101</v>
      </c>
      <c r="D36">
        <v>-4.9039326019621103E-4</v>
      </c>
      <c r="E36">
        <v>6.1312499999999995E-4</v>
      </c>
      <c r="F36">
        <v>-1.3240585593302101E-3</v>
      </c>
      <c r="G36">
        <v>0</v>
      </c>
      <c r="H36" t="s">
        <v>74</v>
      </c>
      <c r="I36">
        <v>0</v>
      </c>
      <c r="J36" t="s">
        <v>75</v>
      </c>
      <c r="K36">
        <v>3.14159265358979</v>
      </c>
      <c r="L36">
        <v>0.85778164721607697</v>
      </c>
      <c r="M36">
        <v>0</v>
      </c>
      <c r="N36">
        <v>5.0364706696109998E-2</v>
      </c>
      <c r="O36">
        <v>0</v>
      </c>
      <c r="P36">
        <v>1.6E-2</v>
      </c>
      <c r="Q36">
        <v>0</v>
      </c>
      <c r="R36">
        <v>0</v>
      </c>
      <c r="S36">
        <v>0</v>
      </c>
      <c r="T36">
        <v>0</v>
      </c>
      <c r="U36">
        <v>0.86310114783946101</v>
      </c>
      <c r="V36" t="s">
        <v>78</v>
      </c>
      <c r="W36">
        <v>3874040.8741011699</v>
      </c>
      <c r="X36" t="s">
        <v>76</v>
      </c>
      <c r="Y36">
        <v>-1.5707963267949001</v>
      </c>
      <c r="Z36">
        <v>0.85700469790752798</v>
      </c>
      <c r="AA36">
        <v>0</v>
      </c>
      <c r="AB36">
        <v>4.9870432902943698E-2</v>
      </c>
      <c r="AC36">
        <v>0</v>
      </c>
      <c r="AD36">
        <v>1.21703345572106E-2</v>
      </c>
      <c r="AE36">
        <v>5.5690662316865399E-3</v>
      </c>
      <c r="AF36">
        <v>0</v>
      </c>
      <c r="AG36">
        <v>0.165782239257771</v>
      </c>
      <c r="AH36">
        <v>3.6733616737588903E-2</v>
      </c>
      <c r="AI36">
        <v>0.74637064783287199</v>
      </c>
      <c r="AJ36" t="s">
        <v>74</v>
      </c>
      <c r="AK36">
        <v>0</v>
      </c>
      <c r="AL36" t="s">
        <v>77</v>
      </c>
      <c r="AM36">
        <v>0</v>
      </c>
      <c r="AN36">
        <v>0.99199999999999999</v>
      </c>
      <c r="AO36">
        <v>0</v>
      </c>
      <c r="AP36">
        <v>5.8245346242475203E-2</v>
      </c>
      <c r="AQ36">
        <v>0</v>
      </c>
      <c r="AR36">
        <v>1.6E-2</v>
      </c>
      <c r="AS36">
        <v>0</v>
      </c>
      <c r="AT36">
        <v>0</v>
      </c>
      <c r="AU36">
        <v>0</v>
      </c>
      <c r="AV36">
        <v>0</v>
      </c>
      <c r="AW36">
        <v>1</v>
      </c>
      <c r="AX36" t="s">
        <v>74</v>
      </c>
      <c r="AY36">
        <v>0</v>
      </c>
      <c r="AZ36" t="s">
        <v>76</v>
      </c>
      <c r="BA36">
        <v>-1.5707963267949001</v>
      </c>
      <c r="BB36">
        <v>0.99199999999999999</v>
      </c>
      <c r="BC36">
        <v>0</v>
      </c>
      <c r="BD36">
        <v>5.8245346242475203E-2</v>
      </c>
      <c r="BE36">
        <v>0</v>
      </c>
      <c r="BF36">
        <v>1.6E-2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1.0836291604200199E-4</v>
      </c>
      <c r="BM36">
        <v>1.0125792799768E-4</v>
      </c>
      <c r="BN36" s="1">
        <v>4.0317369571237201E-7</v>
      </c>
      <c r="BO36" s="1">
        <v>1.59055581357618E-6</v>
      </c>
      <c r="BP36">
        <v>0</v>
      </c>
      <c r="BQ36">
        <v>0</v>
      </c>
      <c r="BR36" s="1">
        <v>6.1625037567870195E-5</v>
      </c>
      <c r="BS36" s="1">
        <v>5.79813456521664E-5</v>
      </c>
    </row>
    <row r="37" spans="1:71" x14ac:dyDescent="0.25">
      <c r="A37">
        <v>34</v>
      </c>
      <c r="B37" s="1">
        <v>7.3353434569006298E-6</v>
      </c>
      <c r="C37">
        <v>0.13241319127647799</v>
      </c>
      <c r="D37">
        <v>-4.9042614020353202E-4</v>
      </c>
      <c r="E37">
        <v>6.1312499999999995E-4</v>
      </c>
      <c r="F37">
        <v>-1.3241319127647801E-3</v>
      </c>
      <c r="G37">
        <v>0</v>
      </c>
      <c r="H37" t="s">
        <v>74</v>
      </c>
      <c r="I37">
        <v>0</v>
      </c>
      <c r="J37" t="s">
        <v>75</v>
      </c>
      <c r="K37">
        <v>3.14159265358979</v>
      </c>
      <c r="L37">
        <v>0.85359295031092597</v>
      </c>
      <c r="M37">
        <v>0</v>
      </c>
      <c r="N37">
        <v>5.0118767077616699E-2</v>
      </c>
      <c r="O37">
        <v>0</v>
      </c>
      <c r="P37">
        <v>1.6E-2</v>
      </c>
      <c r="Q37">
        <v>0</v>
      </c>
      <c r="R37">
        <v>0</v>
      </c>
      <c r="S37">
        <v>0</v>
      </c>
      <c r="T37">
        <v>0</v>
      </c>
      <c r="U37">
        <v>0.85855618228211705</v>
      </c>
      <c r="V37" t="s">
        <v>78</v>
      </c>
      <c r="W37">
        <v>3874324.6126046102</v>
      </c>
      <c r="X37" t="s">
        <v>76</v>
      </c>
      <c r="Y37">
        <v>-1.5707963267949001</v>
      </c>
      <c r="Z37">
        <v>0.85281636119155801</v>
      </c>
      <c r="AA37">
        <v>0</v>
      </c>
      <c r="AB37">
        <v>4.9624722426921203E-2</v>
      </c>
      <c r="AC37">
        <v>0</v>
      </c>
      <c r="AD37">
        <v>1.1999587506730899E-2</v>
      </c>
      <c r="AE37">
        <v>5.7457272062135497E-3</v>
      </c>
      <c r="AF37">
        <v>0</v>
      </c>
      <c r="AG37">
        <v>0.16965032575084801</v>
      </c>
      <c r="AH37">
        <v>3.9185660999040098E-2</v>
      </c>
      <c r="AI37">
        <v>0.73882587286506096</v>
      </c>
      <c r="AJ37" t="s">
        <v>74</v>
      </c>
      <c r="AK37">
        <v>0</v>
      </c>
      <c r="AL37" t="s">
        <v>77</v>
      </c>
      <c r="AM37">
        <v>0</v>
      </c>
      <c r="AN37">
        <v>0.99199999999999999</v>
      </c>
      <c r="AO37">
        <v>0</v>
      </c>
      <c r="AP37">
        <v>5.8245346242475203E-2</v>
      </c>
      <c r="AQ37">
        <v>0</v>
      </c>
      <c r="AR37">
        <v>1.6E-2</v>
      </c>
      <c r="AS37">
        <v>0</v>
      </c>
      <c r="AT37">
        <v>0</v>
      </c>
      <c r="AU37">
        <v>0</v>
      </c>
      <c r="AV37">
        <v>0</v>
      </c>
      <c r="AW37">
        <v>1</v>
      </c>
      <c r="AX37" t="s">
        <v>74</v>
      </c>
      <c r="AY37">
        <v>0</v>
      </c>
      <c r="AZ37" t="s">
        <v>76</v>
      </c>
      <c r="BA37">
        <v>-1.5707963267949001</v>
      </c>
      <c r="BB37">
        <v>0.99199999999999999</v>
      </c>
      <c r="BC37">
        <v>0</v>
      </c>
      <c r="BD37">
        <v>5.8245346242475203E-2</v>
      </c>
      <c r="BE37">
        <v>0</v>
      </c>
      <c r="BF37">
        <v>1.6E-2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1.08117090994744E-4</v>
      </c>
      <c r="BM37">
        <v>1.04417993374944E-4</v>
      </c>
      <c r="BN37" s="1">
        <v>4.02256732533481E-7</v>
      </c>
      <c r="BO37" s="1">
        <v>1.64019400444656E-6</v>
      </c>
      <c r="BP37">
        <v>0</v>
      </c>
      <c r="BQ37">
        <v>0</v>
      </c>
      <c r="BR37" s="1">
        <v>6.1469182902882297E-5</v>
      </c>
      <c r="BS37" s="1">
        <v>5.97912521768267E-5</v>
      </c>
    </row>
    <row r="38" spans="1:71" x14ac:dyDescent="0.25">
      <c r="A38">
        <v>35</v>
      </c>
      <c r="B38" s="1">
        <v>7.1751491220051697E-6</v>
      </c>
      <c r="C38">
        <v>0.13242036642560001</v>
      </c>
      <c r="D38">
        <v>-4.9045830097477899E-4</v>
      </c>
      <c r="E38">
        <v>6.1312499999999995E-4</v>
      </c>
      <c r="F38">
        <v>-1.324203664256E-3</v>
      </c>
      <c r="G38" s="1">
        <v>1.0842021724855E-19</v>
      </c>
      <c r="H38" t="s">
        <v>74</v>
      </c>
      <c r="I38">
        <v>0</v>
      </c>
      <c r="J38" t="s">
        <v>75</v>
      </c>
      <c r="K38">
        <v>3.14159265358979</v>
      </c>
      <c r="L38">
        <v>0.849404638896047</v>
      </c>
      <c r="M38">
        <v>0</v>
      </c>
      <c r="N38">
        <v>4.9872850093210602E-2</v>
      </c>
      <c r="O38">
        <v>0</v>
      </c>
      <c r="P38">
        <v>1.6E-2</v>
      </c>
      <c r="Q38">
        <v>0</v>
      </c>
      <c r="R38">
        <v>0</v>
      </c>
      <c r="S38">
        <v>0</v>
      </c>
      <c r="T38">
        <v>0</v>
      </c>
      <c r="U38">
        <v>0.85398503049172103</v>
      </c>
      <c r="V38" t="s">
        <v>78</v>
      </c>
      <c r="W38">
        <v>3874602.1444498501</v>
      </c>
      <c r="X38" t="s">
        <v>76</v>
      </c>
      <c r="Y38">
        <v>-1.5707963267949001</v>
      </c>
      <c r="Z38">
        <v>0.84862851838838904</v>
      </c>
      <c r="AA38">
        <v>0</v>
      </c>
      <c r="AB38">
        <v>4.9379103560417199E-2</v>
      </c>
      <c r="AC38">
        <v>0</v>
      </c>
      <c r="AD38">
        <v>1.18289232531077E-2</v>
      </c>
      <c r="AE38">
        <v>5.9221164462186001E-3</v>
      </c>
      <c r="AF38">
        <v>0</v>
      </c>
      <c r="AG38">
        <v>0.17342990793336199</v>
      </c>
      <c r="AH38">
        <v>4.1725627922636697E-2</v>
      </c>
      <c r="AI38">
        <v>0.73129592760002404</v>
      </c>
      <c r="AJ38" t="s">
        <v>74</v>
      </c>
      <c r="AK38">
        <v>0</v>
      </c>
      <c r="AL38" t="s">
        <v>77</v>
      </c>
      <c r="AM38">
        <v>0</v>
      </c>
      <c r="AN38">
        <v>0.99199999999999999</v>
      </c>
      <c r="AO38">
        <v>0</v>
      </c>
      <c r="AP38">
        <v>5.8245346242475203E-2</v>
      </c>
      <c r="AQ38">
        <v>0</v>
      </c>
      <c r="AR38">
        <v>1.6E-2</v>
      </c>
      <c r="AS38">
        <v>0</v>
      </c>
      <c r="AT38">
        <v>0</v>
      </c>
      <c r="AU38">
        <v>0</v>
      </c>
      <c r="AV38">
        <v>0</v>
      </c>
      <c r="AW38">
        <v>1</v>
      </c>
      <c r="AX38" t="s">
        <v>74</v>
      </c>
      <c r="AY38">
        <v>0</v>
      </c>
      <c r="AZ38" t="s">
        <v>76</v>
      </c>
      <c r="BA38">
        <v>-1.5707963267949001</v>
      </c>
      <c r="BB38">
        <v>0.99199999999999999</v>
      </c>
      <c r="BC38">
        <v>0</v>
      </c>
      <c r="BD38">
        <v>5.8245346242475203E-2</v>
      </c>
      <c r="BE38">
        <v>0</v>
      </c>
      <c r="BF38">
        <v>1.6E-2</v>
      </c>
      <c r="BG38">
        <v>0</v>
      </c>
      <c r="BH38">
        <v>0</v>
      </c>
      <c r="BI38">
        <v>0</v>
      </c>
      <c r="BJ38">
        <v>0</v>
      </c>
      <c r="BK38">
        <v>1</v>
      </c>
      <c r="BL38">
        <v>1.07871323069289E-4</v>
      </c>
      <c r="BM38">
        <v>1.07577767927999E-4</v>
      </c>
      <c r="BN38" s="1">
        <v>4.0134016422803401E-7</v>
      </c>
      <c r="BO38" s="1">
        <v>1.68982762706095E-6</v>
      </c>
      <c r="BP38">
        <v>0</v>
      </c>
      <c r="BQ38">
        <v>0</v>
      </c>
      <c r="BR38" s="1">
        <v>6.1313348483904901E-5</v>
      </c>
      <c r="BS38" s="1">
        <v>6.1601008141789403E-5</v>
      </c>
    </row>
    <row r="39" spans="1:71" x14ac:dyDescent="0.25">
      <c r="A39">
        <v>36</v>
      </c>
      <c r="B39" s="1">
        <v>7.0252832341278497E-6</v>
      </c>
      <c r="C39">
        <v>0.132427391708834</v>
      </c>
      <c r="D39">
        <v>-4.9048978888081103E-4</v>
      </c>
      <c r="E39">
        <v>6.1312499999999995E-4</v>
      </c>
      <c r="F39">
        <v>-1.3242739170883401E-3</v>
      </c>
      <c r="G39">
        <v>0</v>
      </c>
      <c r="H39" t="s">
        <v>74</v>
      </c>
      <c r="I39">
        <v>0</v>
      </c>
      <c r="J39" t="s">
        <v>75</v>
      </c>
      <c r="K39">
        <v>3.14159265358979</v>
      </c>
      <c r="L39">
        <v>0.84521672334390097</v>
      </c>
      <c r="M39">
        <v>0</v>
      </c>
      <c r="N39">
        <v>4.9626956351911201E-2</v>
      </c>
      <c r="O39">
        <v>0</v>
      </c>
      <c r="P39">
        <v>1.6E-2</v>
      </c>
      <c r="Q39">
        <v>0</v>
      </c>
      <c r="R39">
        <v>0</v>
      </c>
      <c r="S39">
        <v>0</v>
      </c>
      <c r="T39">
        <v>0</v>
      </c>
      <c r="U39">
        <v>0.84938809258887404</v>
      </c>
      <c r="V39" t="s">
        <v>78</v>
      </c>
      <c r="W39">
        <v>3874873.8697948898</v>
      </c>
      <c r="X39" t="s">
        <v>76</v>
      </c>
      <c r="Y39">
        <v>-1.5707963267949001</v>
      </c>
      <c r="Z39">
        <v>0.84444117387716799</v>
      </c>
      <c r="AA39">
        <v>0</v>
      </c>
      <c r="AB39">
        <v>4.9133573099672097E-2</v>
      </c>
      <c r="AC39">
        <v>0</v>
      </c>
      <c r="AD39">
        <v>1.16583559194824E-2</v>
      </c>
      <c r="AE39">
        <v>6.09823088466199E-3</v>
      </c>
      <c r="AF39">
        <v>0</v>
      </c>
      <c r="AG39">
        <v>0.177119991562942</v>
      </c>
      <c r="AH39">
        <v>4.4354496100225203E-2</v>
      </c>
      <c r="AI39">
        <v>0.72378139078574899</v>
      </c>
      <c r="AJ39" t="s">
        <v>74</v>
      </c>
      <c r="AK39">
        <v>0</v>
      </c>
      <c r="AL39" t="s">
        <v>77</v>
      </c>
      <c r="AM39">
        <v>0</v>
      </c>
      <c r="AN39">
        <v>0.99199999999999999</v>
      </c>
      <c r="AO39">
        <v>0</v>
      </c>
      <c r="AP39">
        <v>5.8245346242475203E-2</v>
      </c>
      <c r="AQ39">
        <v>0</v>
      </c>
      <c r="AR39">
        <v>1.6E-2</v>
      </c>
      <c r="AS39">
        <v>0</v>
      </c>
      <c r="AT39">
        <v>0</v>
      </c>
      <c r="AU39">
        <v>0</v>
      </c>
      <c r="AV39">
        <v>0</v>
      </c>
      <c r="AW39">
        <v>1</v>
      </c>
      <c r="AX39" t="s">
        <v>74</v>
      </c>
      <c r="AY39">
        <v>0</v>
      </c>
      <c r="AZ39" t="s">
        <v>76</v>
      </c>
      <c r="BA39">
        <v>-1.5707963267949001</v>
      </c>
      <c r="BB39">
        <v>0.99199999999999999</v>
      </c>
      <c r="BC39">
        <v>0</v>
      </c>
      <c r="BD39">
        <v>5.8245346242475203E-2</v>
      </c>
      <c r="BE39">
        <v>0</v>
      </c>
      <c r="BF39">
        <v>1.6E-2</v>
      </c>
      <c r="BG39">
        <v>0</v>
      </c>
      <c r="BH39">
        <v>0</v>
      </c>
      <c r="BI39">
        <v>0</v>
      </c>
      <c r="BJ39">
        <v>0</v>
      </c>
      <c r="BK39">
        <v>1</v>
      </c>
      <c r="BL39">
        <v>1.07625610968267E-4</v>
      </c>
      <c r="BM39">
        <v>1.10737243831584E-4</v>
      </c>
      <c r="BN39" s="1">
        <v>4.0042397591175198E-7</v>
      </c>
      <c r="BO39" s="1">
        <v>1.73945655850043E-6</v>
      </c>
      <c r="BP39">
        <v>0</v>
      </c>
      <c r="BQ39">
        <v>0</v>
      </c>
      <c r="BR39" s="1">
        <v>6.1157534373390397E-5</v>
      </c>
      <c r="BS39" s="1">
        <v>6.3410608857013205E-5</v>
      </c>
    </row>
    <row r="40" spans="1:71" x14ac:dyDescent="0.25">
      <c r="A40">
        <v>37</v>
      </c>
      <c r="B40" s="1">
        <v>6.8849292708917E-6</v>
      </c>
      <c r="C40">
        <v>0.132434276638105</v>
      </c>
      <c r="D40">
        <v>-4.9052064662470098E-4</v>
      </c>
      <c r="E40">
        <v>6.1312499999999995E-4</v>
      </c>
      <c r="F40">
        <v>-1.32434276638105E-3</v>
      </c>
      <c r="G40">
        <v>0</v>
      </c>
      <c r="H40" t="s">
        <v>74</v>
      </c>
      <c r="I40">
        <v>0</v>
      </c>
      <c r="J40" t="s">
        <v>75</v>
      </c>
      <c r="K40">
        <v>3.14159265358979</v>
      </c>
      <c r="L40">
        <v>0.84102921442519096</v>
      </c>
      <c r="M40">
        <v>0</v>
      </c>
      <c r="N40">
        <v>4.9381086486121099E-2</v>
      </c>
      <c r="O40">
        <v>0</v>
      </c>
      <c r="P40">
        <v>1.6E-2</v>
      </c>
      <c r="Q40">
        <v>0</v>
      </c>
      <c r="R40">
        <v>0</v>
      </c>
      <c r="S40">
        <v>0</v>
      </c>
      <c r="T40">
        <v>0</v>
      </c>
      <c r="U40">
        <v>0.84476573387272802</v>
      </c>
      <c r="V40" t="s">
        <v>78</v>
      </c>
      <c r="W40">
        <v>3875140.15714652</v>
      </c>
      <c r="X40" t="s">
        <v>76</v>
      </c>
      <c r="Y40">
        <v>-1.5707963267949001</v>
      </c>
      <c r="Z40">
        <v>0.84025433291912199</v>
      </c>
      <c r="AA40">
        <v>0</v>
      </c>
      <c r="AB40">
        <v>4.88881281721096E-2</v>
      </c>
      <c r="AC40">
        <v>0</v>
      </c>
      <c r="AD40">
        <v>1.1487898748178E-2</v>
      </c>
      <c r="AE40">
        <v>6.2740674168069504E-3</v>
      </c>
      <c r="AF40">
        <v>0</v>
      </c>
      <c r="AG40">
        <v>0.18071955631294401</v>
      </c>
      <c r="AH40">
        <v>4.7073269607034299E-2</v>
      </c>
      <c r="AI40">
        <v>0.71628280802920696</v>
      </c>
      <c r="AJ40" t="s">
        <v>74</v>
      </c>
      <c r="AK40">
        <v>0</v>
      </c>
      <c r="AL40" t="s">
        <v>77</v>
      </c>
      <c r="AM40">
        <v>0</v>
      </c>
      <c r="AN40">
        <v>0.99199999999999999</v>
      </c>
      <c r="AO40">
        <v>0</v>
      </c>
      <c r="AP40">
        <v>5.8245346242475203E-2</v>
      </c>
      <c r="AQ40">
        <v>0</v>
      </c>
      <c r="AR40">
        <v>1.6E-2</v>
      </c>
      <c r="AS40">
        <v>0</v>
      </c>
      <c r="AT40">
        <v>0</v>
      </c>
      <c r="AU40">
        <v>0</v>
      </c>
      <c r="AV40">
        <v>0</v>
      </c>
      <c r="AW40">
        <v>1</v>
      </c>
      <c r="AX40" t="s">
        <v>74</v>
      </c>
      <c r="AY40">
        <v>0</v>
      </c>
      <c r="AZ40" t="s">
        <v>76</v>
      </c>
      <c r="BA40">
        <v>-1.5707963267949001</v>
      </c>
      <c r="BB40">
        <v>0.99199999999999999</v>
      </c>
      <c r="BC40">
        <v>0</v>
      </c>
      <c r="BD40">
        <v>5.8245346242475203E-2</v>
      </c>
      <c r="BE40">
        <v>0</v>
      </c>
      <c r="BF40">
        <v>1.6E-2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1.07379953571591E-4</v>
      </c>
      <c r="BM40">
        <v>1.1389641295998899E-4</v>
      </c>
      <c r="BN40" s="1">
        <v>3.9950815417273499E-7</v>
      </c>
      <c r="BO40" s="1">
        <v>1.7890806711266501E-6</v>
      </c>
      <c r="BP40">
        <v>0</v>
      </c>
      <c r="BQ40">
        <v>0</v>
      </c>
      <c r="BR40" s="1">
        <v>6.1001740675520497E-5</v>
      </c>
      <c r="BS40" s="1">
        <v>6.5220049481029804E-5</v>
      </c>
    </row>
    <row r="41" spans="1:71" x14ac:dyDescent="0.25">
      <c r="A41">
        <v>38</v>
      </c>
      <c r="B41" s="1">
        <v>6.7533609793362801E-6</v>
      </c>
      <c r="C41">
        <v>0.132441029999084</v>
      </c>
      <c r="D41">
        <v>-4.9055091364727001E-4</v>
      </c>
      <c r="E41">
        <v>6.1312499999999995E-4</v>
      </c>
      <c r="F41">
        <v>-1.3244102999908399E-3</v>
      </c>
      <c r="G41">
        <v>0</v>
      </c>
      <c r="H41" t="s">
        <v>74</v>
      </c>
      <c r="I41">
        <v>0</v>
      </c>
      <c r="J41" t="s">
        <v>75</v>
      </c>
      <c r="K41">
        <v>3.14159265358979</v>
      </c>
      <c r="L41">
        <v>0.83684212333229302</v>
      </c>
      <c r="M41">
        <v>0</v>
      </c>
      <c r="N41">
        <v>4.9135241153001601E-2</v>
      </c>
      <c r="O41">
        <v>0</v>
      </c>
      <c r="P41">
        <v>1.6E-2</v>
      </c>
      <c r="Q41">
        <v>0</v>
      </c>
      <c r="R41">
        <v>0</v>
      </c>
      <c r="S41">
        <v>0</v>
      </c>
      <c r="T41">
        <v>0</v>
      </c>
      <c r="U41">
        <v>0.84011828872151495</v>
      </c>
      <c r="V41" t="s">
        <v>78</v>
      </c>
      <c r="W41">
        <v>3875401.34685987</v>
      </c>
      <c r="X41" t="s">
        <v>76</v>
      </c>
      <c r="Y41">
        <v>-1.5707963267949001</v>
      </c>
      <c r="Z41">
        <v>0.83606800162815698</v>
      </c>
      <c r="AA41">
        <v>0</v>
      </c>
      <c r="AB41">
        <v>4.86427662041089E-2</v>
      </c>
      <c r="AC41">
        <v>0</v>
      </c>
      <c r="AD41">
        <v>1.1317564204116301E-2</v>
      </c>
      <c r="AE41">
        <v>6.4496228973942296E-3</v>
      </c>
      <c r="AF41">
        <v>0</v>
      </c>
      <c r="AG41">
        <v>0.18422755475059599</v>
      </c>
      <c r="AH41">
        <v>4.9882978988176299E-2</v>
      </c>
      <c r="AI41">
        <v>0.70880069569243098</v>
      </c>
      <c r="AJ41" t="s">
        <v>74</v>
      </c>
      <c r="AK41">
        <v>0</v>
      </c>
      <c r="AL41" t="s">
        <v>77</v>
      </c>
      <c r="AM41">
        <v>0</v>
      </c>
      <c r="AN41">
        <v>0.99199999999999999</v>
      </c>
      <c r="AO41">
        <v>0</v>
      </c>
      <c r="AP41">
        <v>5.8245346242475203E-2</v>
      </c>
      <c r="AQ41">
        <v>0</v>
      </c>
      <c r="AR41">
        <v>1.6E-2</v>
      </c>
      <c r="AS41">
        <v>0</v>
      </c>
      <c r="AT41">
        <v>0</v>
      </c>
      <c r="AU41">
        <v>0</v>
      </c>
      <c r="AV41">
        <v>0</v>
      </c>
      <c r="AW41">
        <v>1</v>
      </c>
      <c r="AX41" t="s">
        <v>74</v>
      </c>
      <c r="AY41">
        <v>0</v>
      </c>
      <c r="AZ41" t="s">
        <v>76</v>
      </c>
      <c r="BA41">
        <v>-1.5707963267949001</v>
      </c>
      <c r="BB41">
        <v>0.99199999999999999</v>
      </c>
      <c r="BC41">
        <v>0</v>
      </c>
      <c r="BD41">
        <v>5.8245346242475203E-2</v>
      </c>
      <c r="BE41">
        <v>0</v>
      </c>
      <c r="BF41">
        <v>1.6E-2</v>
      </c>
      <c r="BG41">
        <v>0</v>
      </c>
      <c r="BH41">
        <v>0</v>
      </c>
      <c r="BI41">
        <v>0</v>
      </c>
      <c r="BJ41">
        <v>0</v>
      </c>
      <c r="BK41">
        <v>1</v>
      </c>
      <c r="BL41">
        <v>1.0713434992103E-4</v>
      </c>
      <c r="BM41">
        <v>1.17055266869386E-4</v>
      </c>
      <c r="BN41" s="1">
        <v>3.9859268692538601E-7</v>
      </c>
      <c r="BO41" s="1">
        <v>1.83869983230428E-6</v>
      </c>
      <c r="BP41">
        <v>0</v>
      </c>
      <c r="BQ41">
        <v>0</v>
      </c>
      <c r="BR41" s="1">
        <v>6.0845967534077498E-5</v>
      </c>
      <c r="BS41" s="1">
        <v>6.7029325009529094E-5</v>
      </c>
    </row>
    <row r="42" spans="1:71" x14ac:dyDescent="0.25">
      <c r="A42">
        <v>39</v>
      </c>
      <c r="B42" s="1">
        <v>6.6299306472736701E-6</v>
      </c>
      <c r="C42">
        <v>0.13244765992973101</v>
      </c>
      <c r="D42">
        <v>-4.9058062647992003E-4</v>
      </c>
      <c r="E42">
        <v>6.1312499999999995E-4</v>
      </c>
      <c r="F42">
        <v>-1.3244765992973099E-3</v>
      </c>
      <c r="G42">
        <v>0</v>
      </c>
      <c r="H42" t="s">
        <v>74</v>
      </c>
      <c r="I42">
        <v>0</v>
      </c>
      <c r="J42" t="s">
        <v>75</v>
      </c>
      <c r="K42">
        <v>3.14159265358979</v>
      </c>
      <c r="L42">
        <v>0.83265546170405302</v>
      </c>
      <c r="M42">
        <v>0</v>
      </c>
      <c r="N42">
        <v>4.8889421035927999E-2</v>
      </c>
      <c r="O42">
        <v>0</v>
      </c>
      <c r="P42">
        <v>1.6E-2</v>
      </c>
      <c r="Q42">
        <v>0</v>
      </c>
      <c r="R42">
        <v>0</v>
      </c>
      <c r="S42">
        <v>0</v>
      </c>
      <c r="T42">
        <v>0</v>
      </c>
      <c r="U42">
        <v>0.83544606399022903</v>
      </c>
      <c r="V42" t="s">
        <v>78</v>
      </c>
      <c r="W42">
        <v>3875657.75418323</v>
      </c>
      <c r="X42" t="s">
        <v>76</v>
      </c>
      <c r="Y42">
        <v>-1.5707963267949001</v>
      </c>
      <c r="Z42">
        <v>0.831882186949778</v>
      </c>
      <c r="AA42">
        <v>0</v>
      </c>
      <c r="AB42">
        <v>4.8397484893270802E-2</v>
      </c>
      <c r="AC42">
        <v>0</v>
      </c>
      <c r="AD42">
        <v>1.1147364064830899E-2</v>
      </c>
      <c r="AE42">
        <v>6.6248941378943401E-3</v>
      </c>
      <c r="AF42">
        <v>0</v>
      </c>
      <c r="AG42">
        <v>0.187642911254501</v>
      </c>
      <c r="AH42">
        <v>5.2784682303737E-2</v>
      </c>
      <c r="AI42">
        <v>0.70133554428622802</v>
      </c>
      <c r="AJ42" t="s">
        <v>74</v>
      </c>
      <c r="AK42">
        <v>0</v>
      </c>
      <c r="AL42" t="s">
        <v>77</v>
      </c>
      <c r="AM42">
        <v>0</v>
      </c>
      <c r="AN42">
        <v>0.99199999999999999</v>
      </c>
      <c r="AO42">
        <v>0</v>
      </c>
      <c r="AP42">
        <v>5.8245346242475203E-2</v>
      </c>
      <c r="AQ42">
        <v>0</v>
      </c>
      <c r="AR42">
        <v>1.6E-2</v>
      </c>
      <c r="AS42">
        <v>0</v>
      </c>
      <c r="AT42">
        <v>0</v>
      </c>
      <c r="AU42">
        <v>0</v>
      </c>
      <c r="AV42">
        <v>0</v>
      </c>
      <c r="AW42">
        <v>1</v>
      </c>
      <c r="AX42" t="s">
        <v>74</v>
      </c>
      <c r="AY42">
        <v>0</v>
      </c>
      <c r="AZ42" t="s">
        <v>76</v>
      </c>
      <c r="BA42">
        <v>-1.5707963267949001</v>
      </c>
      <c r="BB42">
        <v>0.99199999999999999</v>
      </c>
      <c r="BC42">
        <v>0</v>
      </c>
      <c r="BD42">
        <v>5.8245346242475203E-2</v>
      </c>
      <c r="BE42">
        <v>0</v>
      </c>
      <c r="BF42">
        <v>1.6E-2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1.06888799207075E-4</v>
      </c>
      <c r="BM42">
        <v>1.20213796779119E-4</v>
      </c>
      <c r="BN42" s="1">
        <v>3.9767756328448401E-7</v>
      </c>
      <c r="BO42" s="1">
        <v>1.88831390410708E-6</v>
      </c>
      <c r="BP42">
        <v>0</v>
      </c>
      <c r="BQ42">
        <v>0</v>
      </c>
      <c r="BR42" s="1">
        <v>6.06902151307721E-5</v>
      </c>
      <c r="BS42" s="1">
        <v>6.8838430263517002E-5</v>
      </c>
    </row>
    <row r="43" spans="1:71" x14ac:dyDescent="0.25">
      <c r="A43">
        <v>40</v>
      </c>
      <c r="B43" s="1">
        <v>6.5140591881468804E-6</v>
      </c>
      <c r="C43">
        <v>0.13245417398892001</v>
      </c>
      <c r="D43">
        <v>-4.9060981905291602E-4</v>
      </c>
      <c r="E43">
        <v>6.1312499999999995E-4</v>
      </c>
      <c r="F43">
        <v>-1.3245417398892001E-3</v>
      </c>
      <c r="G43">
        <v>0</v>
      </c>
      <c r="H43" t="s">
        <v>74</v>
      </c>
      <c r="I43">
        <v>0</v>
      </c>
      <c r="J43" t="s">
        <v>75</v>
      </c>
      <c r="K43">
        <v>3.14159265358979</v>
      </c>
      <c r="L43">
        <v>0.82846924165221503</v>
      </c>
      <c r="M43">
        <v>0</v>
      </c>
      <c r="N43">
        <v>4.8643626846042502E-2</v>
      </c>
      <c r="O43">
        <v>0</v>
      </c>
      <c r="P43">
        <v>1.6E-2</v>
      </c>
      <c r="Q43">
        <v>0</v>
      </c>
      <c r="R43">
        <v>0</v>
      </c>
      <c r="S43">
        <v>0</v>
      </c>
      <c r="T43">
        <v>0</v>
      </c>
      <c r="U43">
        <v>0.83074934198361505</v>
      </c>
      <c r="V43" t="s">
        <v>78</v>
      </c>
      <c r="W43">
        <v>3875909.6719183</v>
      </c>
      <c r="X43" t="s">
        <v>76</v>
      </c>
      <c r="Y43">
        <v>-1.5707963267949001</v>
      </c>
      <c r="Z43">
        <v>0.82769689664749402</v>
      </c>
      <c r="AA43">
        <v>0</v>
      </c>
      <c r="AB43">
        <v>4.8152282184508802E-2</v>
      </c>
      <c r="AC43">
        <v>0</v>
      </c>
      <c r="AD43">
        <v>1.0977309499180399E-2</v>
      </c>
      <c r="AE43">
        <v>6.79987790380713E-3</v>
      </c>
      <c r="AF43">
        <v>0</v>
      </c>
      <c r="AG43">
        <v>0.19096452086746299</v>
      </c>
      <c r="AH43">
        <v>5.5779466236056299E-2</v>
      </c>
      <c r="AI43">
        <v>0.69388782143956995</v>
      </c>
      <c r="AJ43" t="s">
        <v>74</v>
      </c>
      <c r="AK43">
        <v>0</v>
      </c>
      <c r="AL43" t="s">
        <v>77</v>
      </c>
      <c r="AM43">
        <v>0</v>
      </c>
      <c r="AN43">
        <v>0.99199999999999999</v>
      </c>
      <c r="AO43">
        <v>0</v>
      </c>
      <c r="AP43">
        <v>5.8245346242475203E-2</v>
      </c>
      <c r="AQ43">
        <v>0</v>
      </c>
      <c r="AR43">
        <v>1.6E-2</v>
      </c>
      <c r="AS43">
        <v>0</v>
      </c>
      <c r="AT43">
        <v>0</v>
      </c>
      <c r="AU43">
        <v>0</v>
      </c>
      <c r="AV43">
        <v>0</v>
      </c>
      <c r="AW43">
        <v>1</v>
      </c>
      <c r="AX43" t="s">
        <v>74</v>
      </c>
      <c r="AY43">
        <v>0</v>
      </c>
      <c r="AZ43" t="s">
        <v>76</v>
      </c>
      <c r="BA43">
        <v>-1.5707963267949001</v>
      </c>
      <c r="BB43">
        <v>0.99199999999999999</v>
      </c>
      <c r="BC43">
        <v>0</v>
      </c>
      <c r="BD43">
        <v>5.8245346242475203E-2</v>
      </c>
      <c r="BE43">
        <v>0</v>
      </c>
      <c r="BF43">
        <v>1.6E-2</v>
      </c>
      <c r="BG43">
        <v>0</v>
      </c>
      <c r="BH43">
        <v>0</v>
      </c>
      <c r="BI43">
        <v>0</v>
      </c>
      <c r="BJ43">
        <v>0</v>
      </c>
      <c r="BK43">
        <v>1</v>
      </c>
      <c r="BL43">
        <v>1.0664330075775099E-4</v>
      </c>
      <c r="BM43">
        <v>1.2337199355176001E-4</v>
      </c>
      <c r="BN43" s="1">
        <v>3.9676277345641202E-7</v>
      </c>
      <c r="BO43" s="1">
        <v>1.93792274300468E-6</v>
      </c>
      <c r="BP43">
        <v>0</v>
      </c>
      <c r="BQ43">
        <v>0</v>
      </c>
      <c r="BR43" s="1">
        <v>6.0534483683972201E-5</v>
      </c>
      <c r="BS43" s="1">
        <v>7.0647359876914594E-5</v>
      </c>
    </row>
    <row r="44" spans="1:71" x14ac:dyDescent="0.25">
      <c r="A44">
        <v>41</v>
      </c>
      <c r="B44" s="1">
        <v>6.4052277232123096E-6</v>
      </c>
      <c r="C44">
        <v>0.132460579216643</v>
      </c>
      <c r="D44">
        <v>-4.9063852296583703E-4</v>
      </c>
      <c r="E44">
        <v>6.1312499999999995E-4</v>
      </c>
      <c r="F44">
        <v>-1.3246057921664301E-3</v>
      </c>
      <c r="G44">
        <v>0</v>
      </c>
      <c r="H44" t="s">
        <v>74</v>
      </c>
      <c r="I44">
        <v>0</v>
      </c>
      <c r="J44" t="s">
        <v>75</v>
      </c>
      <c r="K44">
        <v>3.14159265358979</v>
      </c>
      <c r="L44">
        <v>0.82428347578952599</v>
      </c>
      <c r="M44">
        <v>0</v>
      </c>
      <c r="N44">
        <v>4.83978593239031E-2</v>
      </c>
      <c r="O44">
        <v>0</v>
      </c>
      <c r="P44">
        <v>1.6E-2</v>
      </c>
      <c r="Q44">
        <v>0</v>
      </c>
      <c r="R44">
        <v>0</v>
      </c>
      <c r="S44">
        <v>0</v>
      </c>
      <c r="T44">
        <v>0</v>
      </c>
      <c r="U44">
        <v>0.82602838306876003</v>
      </c>
      <c r="V44" t="s">
        <v>78</v>
      </c>
      <c r="W44">
        <v>3876157.37275413</v>
      </c>
      <c r="X44" t="s">
        <v>76</v>
      </c>
      <c r="Y44">
        <v>-1.5707963267949001</v>
      </c>
      <c r="Z44">
        <v>0.82351213929587197</v>
      </c>
      <c r="AA44">
        <v>0</v>
      </c>
      <c r="AB44">
        <v>4.7907156249403303E-2</v>
      </c>
      <c r="AC44">
        <v>0</v>
      </c>
      <c r="AD44">
        <v>1.08074111364845E-2</v>
      </c>
      <c r="AE44">
        <v>6.9745709119913898E-3</v>
      </c>
      <c r="AF44">
        <v>0</v>
      </c>
      <c r="AG44">
        <v>0.194191248080505</v>
      </c>
      <c r="AH44">
        <v>5.8868447263327899E-2</v>
      </c>
      <c r="AI44">
        <v>0.68645797450874502</v>
      </c>
      <c r="AJ44" t="s">
        <v>74</v>
      </c>
      <c r="AK44">
        <v>0</v>
      </c>
      <c r="AL44" t="s">
        <v>77</v>
      </c>
      <c r="AM44">
        <v>0</v>
      </c>
      <c r="AN44">
        <v>0.99199999999999999</v>
      </c>
      <c r="AO44">
        <v>0</v>
      </c>
      <c r="AP44">
        <v>5.8245346242475203E-2</v>
      </c>
      <c r="AQ44">
        <v>0</v>
      </c>
      <c r="AR44">
        <v>1.6E-2</v>
      </c>
      <c r="AS44">
        <v>0</v>
      </c>
      <c r="AT44">
        <v>0</v>
      </c>
      <c r="AU44">
        <v>0</v>
      </c>
      <c r="AV44">
        <v>0</v>
      </c>
      <c r="AW44">
        <v>1</v>
      </c>
      <c r="AX44" t="s">
        <v>74</v>
      </c>
      <c r="AY44">
        <v>0</v>
      </c>
      <c r="AZ44" t="s">
        <v>76</v>
      </c>
      <c r="BA44">
        <v>-1.5707963267949001</v>
      </c>
      <c r="BB44">
        <v>0.99199999999999999</v>
      </c>
      <c r="BC44">
        <v>0</v>
      </c>
      <c r="BD44">
        <v>5.8245346242475203E-2</v>
      </c>
      <c r="BE44">
        <v>0</v>
      </c>
      <c r="BF44">
        <v>1.6E-2</v>
      </c>
      <c r="BG44">
        <v>0</v>
      </c>
      <c r="BH44">
        <v>0</v>
      </c>
      <c r="BI44">
        <v>0</v>
      </c>
      <c r="BJ44">
        <v>0</v>
      </c>
      <c r="BK44">
        <v>1</v>
      </c>
      <c r="BL44">
        <v>1.0639785402912799E-4</v>
      </c>
      <c r="BM44">
        <v>1.2652984767191601E-4</v>
      </c>
      <c r="BN44" s="1">
        <v>3.9584830864497699E-7</v>
      </c>
      <c r="BO44" s="1">
        <v>1.9875261995296398E-6</v>
      </c>
      <c r="BP44">
        <v>0</v>
      </c>
      <c r="BQ44">
        <v>0</v>
      </c>
      <c r="BR44" s="1">
        <v>6.0378773447780401E-5</v>
      </c>
      <c r="BS44" s="1">
        <v>7.2456108283567496E-5</v>
      </c>
    </row>
    <row r="45" spans="1:71" x14ac:dyDescent="0.25">
      <c r="A45">
        <v>42</v>
      </c>
      <c r="B45" s="1">
        <v>6.3029704067596404E-6</v>
      </c>
      <c r="C45">
        <v>0.132466882187049</v>
      </c>
      <c r="D45">
        <v>-4.9066676772579804E-4</v>
      </c>
      <c r="E45">
        <v>6.1312499999999995E-4</v>
      </c>
      <c r="F45">
        <v>-1.3246688218705E-3</v>
      </c>
      <c r="G45">
        <v>0</v>
      </c>
      <c r="H45" t="s">
        <v>74</v>
      </c>
      <c r="I45">
        <v>0</v>
      </c>
      <c r="J45" t="s">
        <v>75</v>
      </c>
      <c r="K45">
        <v>3.14159265358979</v>
      </c>
      <c r="L45">
        <v>0.82009817725974998</v>
      </c>
      <c r="M45">
        <v>0</v>
      </c>
      <c r="N45">
        <v>4.8152119241246898E-2</v>
      </c>
      <c r="O45">
        <v>0</v>
      </c>
      <c r="P45">
        <v>1.6E-2</v>
      </c>
      <c r="Q45">
        <v>0</v>
      </c>
      <c r="R45">
        <v>0</v>
      </c>
      <c r="S45">
        <v>0</v>
      </c>
      <c r="T45">
        <v>0</v>
      </c>
      <c r="U45">
        <v>0.82128342798092102</v>
      </c>
      <c r="V45" t="s">
        <v>78</v>
      </c>
      <c r="W45">
        <v>3876401.1113227699</v>
      </c>
      <c r="X45" t="s">
        <v>76</v>
      </c>
      <c r="Y45">
        <v>-1.5707963267949001</v>
      </c>
      <c r="Z45">
        <v>0.81932792427974699</v>
      </c>
      <c r="AA45">
        <v>0</v>
      </c>
      <c r="AB45">
        <v>4.7662105468363303E-2</v>
      </c>
      <c r="AC45">
        <v>0</v>
      </c>
      <c r="AD45">
        <v>1.0637679127518699E-2</v>
      </c>
      <c r="AE45">
        <v>7.14896982800015E-3</v>
      </c>
      <c r="AF45">
        <v>0</v>
      </c>
      <c r="AG45">
        <v>0.197321925543263</v>
      </c>
      <c r="AH45">
        <v>6.2052772903894902E-2</v>
      </c>
      <c r="AI45">
        <v>0.67904643287977196</v>
      </c>
      <c r="AJ45" t="s">
        <v>74</v>
      </c>
      <c r="AK45">
        <v>0</v>
      </c>
      <c r="AL45" t="s">
        <v>77</v>
      </c>
      <c r="AM45">
        <v>0</v>
      </c>
      <c r="AN45">
        <v>0.99199999999999999</v>
      </c>
      <c r="AO45">
        <v>0</v>
      </c>
      <c r="AP45">
        <v>5.8245346242475203E-2</v>
      </c>
      <c r="AQ45">
        <v>0</v>
      </c>
      <c r="AR45">
        <v>1.6E-2</v>
      </c>
      <c r="AS45">
        <v>0</v>
      </c>
      <c r="AT45">
        <v>0</v>
      </c>
      <c r="AU45">
        <v>0</v>
      </c>
      <c r="AV45">
        <v>0</v>
      </c>
      <c r="AW45">
        <v>1</v>
      </c>
      <c r="AX45" t="s">
        <v>74</v>
      </c>
      <c r="AY45">
        <v>0</v>
      </c>
      <c r="AZ45" t="s">
        <v>76</v>
      </c>
      <c r="BA45">
        <v>-1.5707963267949001</v>
      </c>
      <c r="BB45">
        <v>0.99199999999999999</v>
      </c>
      <c r="BC45">
        <v>0</v>
      </c>
      <c r="BD45">
        <v>5.8245346242475203E-2</v>
      </c>
      <c r="BE45">
        <v>0</v>
      </c>
      <c r="BF45">
        <v>1.6E-2</v>
      </c>
      <c r="BG45">
        <v>0</v>
      </c>
      <c r="BH45">
        <v>0</v>
      </c>
      <c r="BI45">
        <v>0</v>
      </c>
      <c r="BJ45">
        <v>0</v>
      </c>
      <c r="BK45">
        <v>1</v>
      </c>
      <c r="BL45">
        <v>1.0615245859728001E-4</v>
      </c>
      <c r="BM45">
        <v>1.29687349223579E-4</v>
      </c>
      <c r="BN45" s="1">
        <v>3.9493416096978799E-7</v>
      </c>
      <c r="BO45" s="1">
        <v>2.0371241179216499E-6</v>
      </c>
      <c r="BP45">
        <v>0</v>
      </c>
      <c r="BQ45">
        <v>0</v>
      </c>
      <c r="BR45" s="1">
        <v>6.0223084711427999E-5</v>
      </c>
      <c r="BS45" s="1">
        <v>7.4264669703538806E-5</v>
      </c>
    </row>
    <row r="46" spans="1:71" x14ac:dyDescent="0.25">
      <c r="A46">
        <v>43</v>
      </c>
      <c r="B46" s="1">
        <v>6.2068682885672503E-6</v>
      </c>
      <c r="C46">
        <v>0.132473089055338</v>
      </c>
      <c r="D46">
        <v>-4.9069458095808303E-4</v>
      </c>
      <c r="E46">
        <v>6.1312499999999995E-4</v>
      </c>
      <c r="F46">
        <v>-1.32473089055338E-3</v>
      </c>
      <c r="G46">
        <v>0</v>
      </c>
      <c r="H46" t="s">
        <v>74</v>
      </c>
      <c r="I46">
        <v>0</v>
      </c>
      <c r="J46" t="s">
        <v>75</v>
      </c>
      <c r="K46">
        <v>3.14159265358979</v>
      </c>
      <c r="L46">
        <v>0.81591335976975499</v>
      </c>
      <c r="M46">
        <v>0</v>
      </c>
      <c r="N46">
        <v>4.7906407402873601E-2</v>
      </c>
      <c r="O46">
        <v>0</v>
      </c>
      <c r="P46">
        <v>1.6E-2</v>
      </c>
      <c r="Q46">
        <v>0</v>
      </c>
      <c r="R46">
        <v>0</v>
      </c>
      <c r="S46">
        <v>0</v>
      </c>
      <c r="T46">
        <v>0</v>
      </c>
      <c r="U46">
        <v>0.81651469986717895</v>
      </c>
      <c r="V46" t="s">
        <v>78</v>
      </c>
      <c r="W46">
        <v>3876641.1260170299</v>
      </c>
      <c r="X46" t="s">
        <v>76</v>
      </c>
      <c r="Y46">
        <v>-1.5707963267949001</v>
      </c>
      <c r="Z46">
        <v>0.81514426179912103</v>
      </c>
      <c r="AA46">
        <v>0</v>
      </c>
      <c r="AB46">
        <v>4.74171284152171E-2</v>
      </c>
      <c r="AC46">
        <v>0</v>
      </c>
      <c r="AD46">
        <v>1.04681231985607E-2</v>
      </c>
      <c r="AE46">
        <v>7.3230712634054004E-3</v>
      </c>
      <c r="AF46">
        <v>0</v>
      </c>
      <c r="AG46">
        <v>0.20035535269568999</v>
      </c>
      <c r="AH46">
        <v>6.5333623036148494E-2</v>
      </c>
      <c r="AI46">
        <v>0.67165361000852597</v>
      </c>
      <c r="AJ46" t="s">
        <v>74</v>
      </c>
      <c r="AK46">
        <v>0</v>
      </c>
      <c r="AL46" t="s">
        <v>77</v>
      </c>
      <c r="AM46">
        <v>0</v>
      </c>
      <c r="AN46">
        <v>0.99199999999999999</v>
      </c>
      <c r="AO46">
        <v>0</v>
      </c>
      <c r="AP46">
        <v>5.8245346242475203E-2</v>
      </c>
      <c r="AQ46">
        <v>0</v>
      </c>
      <c r="AR46">
        <v>1.6E-2</v>
      </c>
      <c r="AS46">
        <v>0</v>
      </c>
      <c r="AT46">
        <v>0</v>
      </c>
      <c r="AU46">
        <v>0</v>
      </c>
      <c r="AV46">
        <v>0</v>
      </c>
      <c r="AW46">
        <v>1</v>
      </c>
      <c r="AX46" t="s">
        <v>74</v>
      </c>
      <c r="AY46">
        <v>0</v>
      </c>
      <c r="AZ46" t="s">
        <v>76</v>
      </c>
      <c r="BA46">
        <v>-1.5707963267949001</v>
      </c>
      <c r="BB46">
        <v>0.99199999999999999</v>
      </c>
      <c r="BC46">
        <v>0</v>
      </c>
      <c r="BD46">
        <v>5.8245346242475203E-2</v>
      </c>
      <c r="BE46">
        <v>0</v>
      </c>
      <c r="BF46">
        <v>1.6E-2</v>
      </c>
      <c r="BG46">
        <v>0</v>
      </c>
      <c r="BH46">
        <v>0</v>
      </c>
      <c r="BI46">
        <v>0</v>
      </c>
      <c r="BJ46">
        <v>0</v>
      </c>
      <c r="BK46">
        <v>1</v>
      </c>
      <c r="BL46">
        <v>1.05907114151521E-4</v>
      </c>
      <c r="BM46">
        <v>1.3284448786591901E-4</v>
      </c>
      <c r="BN46" s="1">
        <v>3.9402032339547099E-7</v>
      </c>
      <c r="BO46" s="1">
        <v>2.0867163357473498E-6</v>
      </c>
      <c r="BP46">
        <v>0</v>
      </c>
      <c r="BQ46">
        <v>0</v>
      </c>
      <c r="BR46" s="1">
        <v>6.0067417798953202E-5</v>
      </c>
      <c r="BS46" s="1">
        <v>7.6073038128618604E-5</v>
      </c>
    </row>
    <row r="47" spans="1:71" x14ac:dyDescent="0.25">
      <c r="A47">
        <v>44</v>
      </c>
      <c r="B47" s="1">
        <v>6.1165440459889502E-6</v>
      </c>
      <c r="C47">
        <v>0.132479205599384</v>
      </c>
      <c r="D47">
        <v>-4.9072198859311401E-4</v>
      </c>
      <c r="E47">
        <v>6.1312499999999995E-4</v>
      </c>
      <c r="F47">
        <v>-1.32479205599384E-3</v>
      </c>
      <c r="G47">
        <v>0</v>
      </c>
      <c r="H47" t="s">
        <v>74</v>
      </c>
      <c r="I47">
        <v>0</v>
      </c>
      <c r="J47" t="s">
        <v>75</v>
      </c>
      <c r="K47">
        <v>3.14159265358979</v>
      </c>
      <c r="L47">
        <v>0.81172903762391102</v>
      </c>
      <c r="M47">
        <v>0</v>
      </c>
      <c r="N47">
        <v>4.7660724648665199E-2</v>
      </c>
      <c r="O47">
        <v>0</v>
      </c>
      <c r="P47">
        <v>1.6E-2</v>
      </c>
      <c r="Q47">
        <v>0</v>
      </c>
      <c r="R47">
        <v>0</v>
      </c>
      <c r="S47">
        <v>0</v>
      </c>
      <c r="T47">
        <v>0</v>
      </c>
      <c r="U47">
        <v>0.81172240610547997</v>
      </c>
      <c r="V47" t="s">
        <v>78</v>
      </c>
      <c r="W47">
        <v>3876877.6406038702</v>
      </c>
      <c r="X47" t="s">
        <v>76</v>
      </c>
      <c r="Y47">
        <v>-1.5707963267949001</v>
      </c>
      <c r="Z47">
        <v>0.81096116287949505</v>
      </c>
      <c r="AA47">
        <v>0</v>
      </c>
      <c r="AB47">
        <v>4.71722238439196E-2</v>
      </c>
      <c r="AC47">
        <v>0</v>
      </c>
      <c r="AD47">
        <v>1.02987526994892E-2</v>
      </c>
      <c r="AE47">
        <v>7.4968717730919199E-3</v>
      </c>
      <c r="AF47">
        <v>0</v>
      </c>
      <c r="AG47">
        <v>0.20329029431536</v>
      </c>
      <c r="AH47">
        <v>6.8712211299311404E-2</v>
      </c>
      <c r="AI47">
        <v>0.66427990523599001</v>
      </c>
      <c r="AJ47" t="s">
        <v>74</v>
      </c>
      <c r="AK47">
        <v>0</v>
      </c>
      <c r="AL47" t="s">
        <v>77</v>
      </c>
      <c r="AM47">
        <v>0</v>
      </c>
      <c r="AN47">
        <v>0.99199999999999999</v>
      </c>
      <c r="AO47">
        <v>0</v>
      </c>
      <c r="AP47">
        <v>5.8245346242475203E-2</v>
      </c>
      <c r="AQ47">
        <v>0</v>
      </c>
      <c r="AR47">
        <v>1.6E-2</v>
      </c>
      <c r="AS47">
        <v>0</v>
      </c>
      <c r="AT47">
        <v>0</v>
      </c>
      <c r="AU47">
        <v>0</v>
      </c>
      <c r="AV47">
        <v>0</v>
      </c>
      <c r="AW47">
        <v>1</v>
      </c>
      <c r="AX47" t="s">
        <v>74</v>
      </c>
      <c r="AY47">
        <v>0</v>
      </c>
      <c r="AZ47" t="s">
        <v>76</v>
      </c>
      <c r="BA47">
        <v>-1.5707963267949001</v>
      </c>
      <c r="BB47">
        <v>0.99199999999999999</v>
      </c>
      <c r="BC47">
        <v>0</v>
      </c>
      <c r="BD47">
        <v>5.8245346242475203E-2</v>
      </c>
      <c r="BE47">
        <v>0</v>
      </c>
      <c r="BF47">
        <v>1.6E-2</v>
      </c>
      <c r="BG47">
        <v>0</v>
      </c>
      <c r="BH47">
        <v>0</v>
      </c>
      <c r="BI47">
        <v>0</v>
      </c>
      <c r="BJ47">
        <v>0</v>
      </c>
      <c r="BK47">
        <v>1</v>
      </c>
      <c r="BL47">
        <v>1.05661820488768E-4</v>
      </c>
      <c r="BM47">
        <v>1.3600125280733601E-4</v>
      </c>
      <c r="BN47" s="1">
        <v>3.9310678967029598E-7</v>
      </c>
      <c r="BO47" s="1">
        <v>2.1363026834926698E-6</v>
      </c>
      <c r="BP47">
        <v>0</v>
      </c>
      <c r="BQ47">
        <v>0</v>
      </c>
      <c r="BR47" s="1">
        <v>5.9911773069144401E-5</v>
      </c>
      <c r="BS47" s="1">
        <v>7.7881207306924497E-5</v>
      </c>
    </row>
    <row r="48" spans="1:71" x14ac:dyDescent="0.25">
      <c r="A48">
        <v>45</v>
      </c>
      <c r="B48" s="1">
        <v>6.0316574491137797E-6</v>
      </c>
      <c r="C48">
        <v>0.13248523725683301</v>
      </c>
      <c r="D48">
        <v>-4.9074901503304801E-4</v>
      </c>
      <c r="E48">
        <v>6.1312499999999995E-4</v>
      </c>
      <c r="F48">
        <v>-1.32485237256833E-3</v>
      </c>
      <c r="G48">
        <v>0</v>
      </c>
      <c r="H48" t="s">
        <v>74</v>
      </c>
      <c r="I48">
        <v>0</v>
      </c>
      <c r="J48" t="s">
        <v>75</v>
      </c>
      <c r="K48">
        <v>3.14159265358979</v>
      </c>
      <c r="L48">
        <v>0.80754522576093801</v>
      </c>
      <c r="M48">
        <v>0</v>
      </c>
      <c r="N48">
        <v>4.7415071855749599E-2</v>
      </c>
      <c r="O48">
        <v>0</v>
      </c>
      <c r="P48">
        <v>1.6E-2</v>
      </c>
      <c r="Q48">
        <v>0</v>
      </c>
      <c r="R48">
        <v>0</v>
      </c>
      <c r="S48">
        <v>0</v>
      </c>
      <c r="T48">
        <v>0</v>
      </c>
      <c r="U48">
        <v>0.80690673993056194</v>
      </c>
      <c r="V48" t="s">
        <v>78</v>
      </c>
      <c r="W48">
        <v>3877110.8656620402</v>
      </c>
      <c r="X48" t="s">
        <v>76</v>
      </c>
      <c r="Y48">
        <v>-1.5707963267949001</v>
      </c>
      <c r="Z48">
        <v>0.80677863938732397</v>
      </c>
      <c r="AA48">
        <v>0</v>
      </c>
      <c r="AB48">
        <v>4.6927390677109097E-2</v>
      </c>
      <c r="AC48">
        <v>0</v>
      </c>
      <c r="AD48">
        <v>1.01295766467739E-2</v>
      </c>
      <c r="AE48">
        <v>7.6703678525078499E-3</v>
      </c>
      <c r="AF48">
        <v>0</v>
      </c>
      <c r="AG48">
        <v>0.20612547897429401</v>
      </c>
      <c r="AH48">
        <v>7.2189786581021403E-2</v>
      </c>
      <c r="AI48">
        <v>0.65692570540995598</v>
      </c>
      <c r="AJ48" t="s">
        <v>74</v>
      </c>
      <c r="AK48">
        <v>0</v>
      </c>
      <c r="AL48" t="s">
        <v>77</v>
      </c>
      <c r="AM48">
        <v>0</v>
      </c>
      <c r="AN48">
        <v>0.99199999999999999</v>
      </c>
      <c r="AO48">
        <v>0</v>
      </c>
      <c r="AP48">
        <v>5.8245346242475203E-2</v>
      </c>
      <c r="AQ48">
        <v>0</v>
      </c>
      <c r="AR48">
        <v>1.6E-2</v>
      </c>
      <c r="AS48">
        <v>0</v>
      </c>
      <c r="AT48">
        <v>0</v>
      </c>
      <c r="AU48">
        <v>0</v>
      </c>
      <c r="AV48">
        <v>0</v>
      </c>
      <c r="AW48">
        <v>1</v>
      </c>
      <c r="AX48" t="s">
        <v>74</v>
      </c>
      <c r="AY48">
        <v>0</v>
      </c>
      <c r="AZ48" t="s">
        <v>76</v>
      </c>
      <c r="BA48">
        <v>-1.5707963267949001</v>
      </c>
      <c r="BB48">
        <v>0.99199999999999999</v>
      </c>
      <c r="BC48">
        <v>0</v>
      </c>
      <c r="BD48">
        <v>5.8245346242475203E-2</v>
      </c>
      <c r="BE48">
        <v>0</v>
      </c>
      <c r="BF48">
        <v>1.6E-2</v>
      </c>
      <c r="BG48">
        <v>0</v>
      </c>
      <c r="BH48">
        <v>0</v>
      </c>
      <c r="BI48">
        <v>0</v>
      </c>
      <c r="BJ48">
        <v>0</v>
      </c>
      <c r="BK48">
        <v>1</v>
      </c>
      <c r="BL48">
        <v>1.05416577508905E-4</v>
      </c>
      <c r="BM48">
        <v>1.3915763277765801E-4</v>
      </c>
      <c r="BN48" s="1">
        <v>3.9219355427303E-7</v>
      </c>
      <c r="BO48" s="1">
        <v>2.1858829841261802E-6</v>
      </c>
      <c r="BP48">
        <v>0</v>
      </c>
      <c r="BQ48">
        <v>0</v>
      </c>
      <c r="BR48" s="1">
        <v>5.9756150915726498E-5</v>
      </c>
      <c r="BS48" s="1">
        <v>7.9689170726533106E-5</v>
      </c>
    </row>
    <row r="49" spans="1:71" x14ac:dyDescent="0.25">
      <c r="A49">
        <v>46</v>
      </c>
      <c r="B49" s="1">
        <v>5.9519014463657303E-6</v>
      </c>
      <c r="C49">
        <v>0.13249118915828001</v>
      </c>
      <c r="D49">
        <v>-4.9077568330077798E-4</v>
      </c>
      <c r="E49">
        <v>6.1312499999999995E-4</v>
      </c>
      <c r="F49">
        <v>-1.3249118915828E-3</v>
      </c>
      <c r="G49" s="1">
        <v>1.0842021724855E-19</v>
      </c>
      <c r="H49" t="s">
        <v>74</v>
      </c>
      <c r="I49">
        <v>0</v>
      </c>
      <c r="J49" t="s">
        <v>75</v>
      </c>
      <c r="K49">
        <v>3.14159265358979</v>
      </c>
      <c r="L49">
        <v>0.80336193979350301</v>
      </c>
      <c r="M49">
        <v>0</v>
      </c>
      <c r="N49">
        <v>4.7169449940825697E-2</v>
      </c>
      <c r="O49">
        <v>0</v>
      </c>
      <c r="P49">
        <v>1.6E-2</v>
      </c>
      <c r="Q49">
        <v>0</v>
      </c>
      <c r="R49">
        <v>0</v>
      </c>
      <c r="S49">
        <v>0</v>
      </c>
      <c r="T49">
        <v>0</v>
      </c>
      <c r="U49">
        <v>0.80333049223398001</v>
      </c>
      <c r="V49" t="s">
        <v>78</v>
      </c>
      <c r="W49">
        <v>3877340.9998679599</v>
      </c>
      <c r="X49" t="s">
        <v>76</v>
      </c>
      <c r="Y49">
        <v>-1.5707963267949001</v>
      </c>
      <c r="Z49">
        <v>0.80259670405055095</v>
      </c>
      <c r="AA49">
        <v>0</v>
      </c>
      <c r="AB49">
        <v>4.6682627996301601E-2</v>
      </c>
      <c r="AC49">
        <v>0</v>
      </c>
      <c r="AD49">
        <v>9.9606037620713992E-3</v>
      </c>
      <c r="AE49">
        <v>7.8435559348529992E-3</v>
      </c>
      <c r="AF49">
        <v>0</v>
      </c>
      <c r="AG49">
        <v>0.20885959739847701</v>
      </c>
      <c r="AH49">
        <v>7.5767634598062295E-2</v>
      </c>
      <c r="AI49">
        <v>0.64959138633989999</v>
      </c>
      <c r="AJ49" t="s">
        <v>74</v>
      </c>
      <c r="AK49">
        <v>0</v>
      </c>
      <c r="AL49" t="s">
        <v>77</v>
      </c>
      <c r="AM49">
        <v>0</v>
      </c>
      <c r="AN49">
        <v>0.99199999999999999</v>
      </c>
      <c r="AO49">
        <v>0</v>
      </c>
      <c r="AP49">
        <v>5.8245346242475203E-2</v>
      </c>
      <c r="AQ49">
        <v>0</v>
      </c>
      <c r="AR49">
        <v>1.6E-2</v>
      </c>
      <c r="AS49">
        <v>0</v>
      </c>
      <c r="AT49">
        <v>0</v>
      </c>
      <c r="AU49">
        <v>0</v>
      </c>
      <c r="AV49">
        <v>0</v>
      </c>
      <c r="AW49">
        <v>1</v>
      </c>
      <c r="AX49" t="s">
        <v>74</v>
      </c>
      <c r="AY49">
        <v>0</v>
      </c>
      <c r="AZ49" t="s">
        <v>76</v>
      </c>
      <c r="BA49">
        <v>-1.5707963267949001</v>
      </c>
      <c r="BB49">
        <v>0.99199999999999999</v>
      </c>
      <c r="BC49">
        <v>0</v>
      </c>
      <c r="BD49">
        <v>5.8245346242475203E-2</v>
      </c>
      <c r="BE49">
        <v>0</v>
      </c>
      <c r="BF49">
        <v>1.6E-2</v>
      </c>
      <c r="BG49">
        <v>0</v>
      </c>
      <c r="BH49">
        <v>0</v>
      </c>
      <c r="BI49">
        <v>0</v>
      </c>
      <c r="BJ49">
        <v>0</v>
      </c>
      <c r="BK49">
        <v>1</v>
      </c>
      <c r="BL49">
        <v>1.05171385211039E-4</v>
      </c>
      <c r="BM49">
        <v>1.4231361599827E-4</v>
      </c>
      <c r="BN49" s="1">
        <v>3.91280612367019E-7</v>
      </c>
      <c r="BO49" s="1">
        <v>2.2354570526298199E-6</v>
      </c>
      <c r="BP49">
        <v>0</v>
      </c>
      <c r="BQ49">
        <v>0</v>
      </c>
      <c r="BR49" s="1">
        <v>5.9600551767782701E-5</v>
      </c>
      <c r="BS49" s="1">
        <v>8.1496921598002997E-5</v>
      </c>
    </row>
    <row r="50" spans="1:71" x14ac:dyDescent="0.25">
      <c r="A50">
        <v>47</v>
      </c>
      <c r="B50" s="1">
        <v>5.8769987780444E-6</v>
      </c>
      <c r="C50">
        <v>0.132497066157058</v>
      </c>
      <c r="D50">
        <v>-4.9080201517372397E-4</v>
      </c>
      <c r="E50">
        <v>6.1312499999999995E-4</v>
      </c>
      <c r="F50">
        <v>-1.32497066157058E-3</v>
      </c>
      <c r="G50" s="1">
        <v>1.0842021724855E-19</v>
      </c>
      <c r="H50" t="s">
        <v>74</v>
      </c>
      <c r="I50">
        <v>0</v>
      </c>
      <c r="J50" t="s">
        <v>75</v>
      </c>
      <c r="K50">
        <v>3.14159265358979</v>
      </c>
      <c r="L50">
        <v>0.79917919605087195</v>
      </c>
      <c r="M50">
        <v>0</v>
      </c>
      <c r="N50">
        <v>4.6923859862667297E-2</v>
      </c>
      <c r="O50">
        <v>0</v>
      </c>
      <c r="P50">
        <v>1.6E-2</v>
      </c>
      <c r="Q50">
        <v>0</v>
      </c>
      <c r="R50">
        <v>0</v>
      </c>
      <c r="S50">
        <v>0</v>
      </c>
      <c r="T50">
        <v>0</v>
      </c>
      <c r="U50">
        <v>0.797206001178562</v>
      </c>
      <c r="V50" t="s">
        <v>78</v>
      </c>
      <c r="W50">
        <v>3877568.2311501601</v>
      </c>
      <c r="X50" t="s">
        <v>76</v>
      </c>
      <c r="Y50">
        <v>-1.5707963267949001</v>
      </c>
      <c r="Z50">
        <v>0.79841537048419498</v>
      </c>
      <c r="AA50">
        <v>0</v>
      </c>
      <c r="AB50">
        <v>4.6437935033542203E-2</v>
      </c>
      <c r="AC50">
        <v>0</v>
      </c>
      <c r="AD50">
        <v>9.7918425070331605E-3</v>
      </c>
      <c r="AE50">
        <v>8.0164323881875901E-3</v>
      </c>
      <c r="AF50">
        <v>0</v>
      </c>
      <c r="AG50">
        <v>0.21149130072265401</v>
      </c>
      <c r="AH50">
        <v>7.9447079577216903E-2</v>
      </c>
      <c r="AI50">
        <v>0.64227731410776501</v>
      </c>
      <c r="AJ50" t="s">
        <v>74</v>
      </c>
      <c r="AK50">
        <v>0</v>
      </c>
      <c r="AL50" t="s">
        <v>77</v>
      </c>
      <c r="AM50">
        <v>0</v>
      </c>
      <c r="AN50">
        <v>0.99199999999999999</v>
      </c>
      <c r="AO50">
        <v>0</v>
      </c>
      <c r="AP50">
        <v>5.8245346242475203E-2</v>
      </c>
      <c r="AQ50">
        <v>0</v>
      </c>
      <c r="AR50">
        <v>1.6E-2</v>
      </c>
      <c r="AS50">
        <v>0</v>
      </c>
      <c r="AT50">
        <v>0</v>
      </c>
      <c r="AU50">
        <v>0</v>
      </c>
      <c r="AV50">
        <v>0</v>
      </c>
      <c r="AW50">
        <v>1</v>
      </c>
      <c r="AX50" t="s">
        <v>74</v>
      </c>
      <c r="AY50">
        <v>0</v>
      </c>
      <c r="AZ50" t="s">
        <v>76</v>
      </c>
      <c r="BA50">
        <v>-1.5707963267949001</v>
      </c>
      <c r="BB50">
        <v>0.99199999999999999</v>
      </c>
      <c r="BC50">
        <v>0</v>
      </c>
      <c r="BD50">
        <v>5.8245346242475203E-2</v>
      </c>
      <c r="BE50">
        <v>0</v>
      </c>
      <c r="BF50">
        <v>1.6E-2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1.0492624369057999E-4</v>
      </c>
      <c r="BM50">
        <v>1.4546919014993501E-4</v>
      </c>
      <c r="BN50" s="1">
        <v>3.9036795976070301E-7</v>
      </c>
      <c r="BO50" s="1">
        <v>2.28502469549347E-6</v>
      </c>
      <c r="BP50">
        <v>0</v>
      </c>
      <c r="BQ50">
        <v>0</v>
      </c>
      <c r="BR50" s="1">
        <v>5.9444976090402897E-5</v>
      </c>
      <c r="BS50" s="1">
        <v>8.3304452835652101E-5</v>
      </c>
    </row>
    <row r="51" spans="1:71" x14ac:dyDescent="0.25">
      <c r="A51">
        <v>48</v>
      </c>
      <c r="B51" s="1">
        <v>5.8066990409992504E-6</v>
      </c>
      <c r="C51">
        <v>0.13250287285609899</v>
      </c>
      <c r="D51">
        <v>-4.9082803130443301E-4</v>
      </c>
      <c r="E51">
        <v>6.1312499999999995E-4</v>
      </c>
      <c r="F51">
        <v>-1.32502872856099E-3</v>
      </c>
      <c r="G51" s="1">
        <v>1.0842021724855E-19</v>
      </c>
      <c r="H51" t="s">
        <v>74</v>
      </c>
      <c r="I51">
        <v>0</v>
      </c>
      <c r="J51" t="s">
        <v>75</v>
      </c>
      <c r="K51">
        <v>3.14159265358979</v>
      </c>
      <c r="L51">
        <v>0.79499701162481995</v>
      </c>
      <c r="M51">
        <v>0</v>
      </c>
      <c r="N51">
        <v>4.6678302624819298E-2</v>
      </c>
      <c r="O51">
        <v>0</v>
      </c>
      <c r="P51">
        <v>1.6E-2</v>
      </c>
      <c r="Q51">
        <v>0</v>
      </c>
      <c r="R51">
        <v>0</v>
      </c>
      <c r="S51">
        <v>0</v>
      </c>
      <c r="T51">
        <v>0</v>
      </c>
      <c r="U51">
        <v>0.79232125679429599</v>
      </c>
      <c r="V51" t="s">
        <v>78</v>
      </c>
      <c r="W51">
        <v>3877792.7377301198</v>
      </c>
      <c r="X51" t="s">
        <v>76</v>
      </c>
      <c r="Y51">
        <v>-1.5707963267949001</v>
      </c>
      <c r="Z51">
        <v>0.79423465322095299</v>
      </c>
      <c r="AA51">
        <v>0</v>
      </c>
      <c r="AB51">
        <v>4.6193311164359499E-2</v>
      </c>
      <c r="AC51">
        <v>0</v>
      </c>
      <c r="AD51">
        <v>9.6233011148406499E-3</v>
      </c>
      <c r="AE51">
        <v>8.1889935124492396E-3</v>
      </c>
      <c r="AF51">
        <v>0</v>
      </c>
      <c r="AG51">
        <v>0.21401919863232099</v>
      </c>
      <c r="AH51">
        <v>8.3229486043999296E-2</v>
      </c>
      <c r="AI51">
        <v>0.63498384625385296</v>
      </c>
      <c r="AJ51" t="s">
        <v>74</v>
      </c>
      <c r="AK51">
        <v>0</v>
      </c>
      <c r="AL51" t="s">
        <v>77</v>
      </c>
      <c r="AM51">
        <v>0</v>
      </c>
      <c r="AN51">
        <v>0.99199999999999999</v>
      </c>
      <c r="AO51">
        <v>0</v>
      </c>
      <c r="AP51">
        <v>5.8245346242475203E-2</v>
      </c>
      <c r="AQ51">
        <v>0</v>
      </c>
      <c r="AR51">
        <v>1.6E-2</v>
      </c>
      <c r="AS51">
        <v>0</v>
      </c>
      <c r="AT51">
        <v>0</v>
      </c>
      <c r="AU51">
        <v>0</v>
      </c>
      <c r="AV51">
        <v>0</v>
      </c>
      <c r="AW51">
        <v>1</v>
      </c>
      <c r="AX51" t="s">
        <v>74</v>
      </c>
      <c r="AY51">
        <v>0</v>
      </c>
      <c r="AZ51" t="s">
        <v>76</v>
      </c>
      <c r="BA51">
        <v>-1.5707963267949001</v>
      </c>
      <c r="BB51">
        <v>0.99199999999999999</v>
      </c>
      <c r="BC51">
        <v>0</v>
      </c>
      <c r="BD51">
        <v>5.8245346242475203E-2</v>
      </c>
      <c r="BE51">
        <v>0</v>
      </c>
      <c r="BF51">
        <v>1.6E-2</v>
      </c>
      <c r="BG51">
        <v>0</v>
      </c>
      <c r="BH51">
        <v>0</v>
      </c>
      <c r="BI51">
        <v>0</v>
      </c>
      <c r="BJ51">
        <v>0</v>
      </c>
      <c r="BK51">
        <v>1</v>
      </c>
      <c r="BL51">
        <v>1.04681153137065E-4</v>
      </c>
      <c r="BM51">
        <v>1.4862434233816E-4</v>
      </c>
      <c r="BN51" s="1">
        <v>3.8945559287384201E-7</v>
      </c>
      <c r="BO51" s="1">
        <v>2.3345857101708898E-6</v>
      </c>
      <c r="BP51">
        <v>0</v>
      </c>
      <c r="BQ51">
        <v>0</v>
      </c>
      <c r="BR51" s="1">
        <v>5.9289424385553102E-5</v>
      </c>
      <c r="BS51" s="1">
        <v>8.5111757037498206E-5</v>
      </c>
    </row>
    <row r="52" spans="1:71" x14ac:dyDescent="0.25">
      <c r="A52">
        <v>49</v>
      </c>
      <c r="B52" s="1">
        <v>5.7407761408734803E-6</v>
      </c>
      <c r="C52">
        <v>0.13250861363223901</v>
      </c>
      <c r="D52">
        <v>-4.9085375132972703E-4</v>
      </c>
      <c r="E52">
        <v>6.1312499999999995E-4</v>
      </c>
      <c r="F52">
        <v>-1.3250861363223901E-3</v>
      </c>
      <c r="G52" s="1">
        <v>1.0842021724855E-19</v>
      </c>
      <c r="H52" t="s">
        <v>74</v>
      </c>
      <c r="I52">
        <v>0</v>
      </c>
      <c r="J52" t="s">
        <v>75</v>
      </c>
      <c r="K52">
        <v>3.14159265358979</v>
      </c>
      <c r="L52">
        <v>0.79081540441917997</v>
      </c>
      <c r="M52">
        <v>0</v>
      </c>
      <c r="N52">
        <v>4.6432779278506302E-2</v>
      </c>
      <c r="O52">
        <v>0</v>
      </c>
      <c r="P52">
        <v>1.6E-2</v>
      </c>
      <c r="Q52">
        <v>0</v>
      </c>
      <c r="R52">
        <v>0</v>
      </c>
      <c r="S52">
        <v>0</v>
      </c>
      <c r="T52">
        <v>0</v>
      </c>
      <c r="U52">
        <v>0.78741379865988903</v>
      </c>
      <c r="V52" t="s">
        <v>78</v>
      </c>
      <c r="W52">
        <v>3878014.6890640901</v>
      </c>
      <c r="X52" t="s">
        <v>76</v>
      </c>
      <c r="Y52">
        <v>-1.5707963267949001</v>
      </c>
      <c r="Z52">
        <v>0.79005456774695104</v>
      </c>
      <c r="AA52">
        <v>0</v>
      </c>
      <c r="AB52">
        <v>4.5948755901900999E-2</v>
      </c>
      <c r="AC52">
        <v>0</v>
      </c>
      <c r="AD52">
        <v>9.4549876189134602E-3</v>
      </c>
      <c r="AE52">
        <v>8.36123553635954E-3</v>
      </c>
      <c r="AF52">
        <v>0</v>
      </c>
      <c r="AG52">
        <v>0.216441857383978</v>
      </c>
      <c r="AH52">
        <v>8.7116260727647901E-2</v>
      </c>
      <c r="AI52">
        <v>0.62771133285458502</v>
      </c>
      <c r="AJ52" t="s">
        <v>74</v>
      </c>
      <c r="AK52">
        <v>0</v>
      </c>
      <c r="AL52" t="s">
        <v>77</v>
      </c>
      <c r="AM52">
        <v>0</v>
      </c>
      <c r="AN52">
        <v>0.99199999999999999</v>
      </c>
      <c r="AO52">
        <v>0</v>
      </c>
      <c r="AP52">
        <v>5.8245346242475203E-2</v>
      </c>
      <c r="AQ52">
        <v>0</v>
      </c>
      <c r="AR52">
        <v>1.6E-2</v>
      </c>
      <c r="AS52">
        <v>0</v>
      </c>
      <c r="AT52">
        <v>0</v>
      </c>
      <c r="AU52">
        <v>0</v>
      </c>
      <c r="AV52">
        <v>0</v>
      </c>
      <c r="AW52">
        <v>1</v>
      </c>
      <c r="AX52" t="s">
        <v>74</v>
      </c>
      <c r="AY52">
        <v>0</v>
      </c>
      <c r="AZ52" t="s">
        <v>76</v>
      </c>
      <c r="BA52">
        <v>-1.5707963267949001</v>
      </c>
      <c r="BB52">
        <v>0.99199999999999999</v>
      </c>
      <c r="BC52">
        <v>0</v>
      </c>
      <c r="BD52">
        <v>5.8245346242475203E-2</v>
      </c>
      <c r="BE52">
        <v>0</v>
      </c>
      <c r="BF52">
        <v>1.6E-2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1.04436113832679E-4</v>
      </c>
      <c r="BM52">
        <v>1.51779059055813E-4</v>
      </c>
      <c r="BN52" s="1">
        <v>3.8854350870889E-7</v>
      </c>
      <c r="BO52" s="1">
        <v>2.38413988449257E-6</v>
      </c>
      <c r="BP52">
        <v>0</v>
      </c>
      <c r="BQ52">
        <v>0</v>
      </c>
      <c r="BR52" s="1">
        <v>5.9133897193165902E-5</v>
      </c>
      <c r="BS52" s="1">
        <v>8.6918826463694096E-5</v>
      </c>
    </row>
    <row r="53" spans="1:71" x14ac:dyDescent="0.25">
      <c r="A53">
        <v>50</v>
      </c>
      <c r="B53" s="1">
        <v>5.6790260787872097E-6</v>
      </c>
      <c r="C53">
        <v>0.13251429265831799</v>
      </c>
      <c r="D53">
        <v>-4.9087919396991896E-4</v>
      </c>
      <c r="E53">
        <v>6.1312499999999995E-4</v>
      </c>
      <c r="F53">
        <v>-1.32514292658318E-3</v>
      </c>
      <c r="G53" s="1">
        <v>1.0842021724855E-19</v>
      </c>
      <c r="H53" t="s">
        <v>74</v>
      </c>
      <c r="I53">
        <v>0</v>
      </c>
      <c r="J53" t="s">
        <v>75</v>
      </c>
      <c r="K53">
        <v>3.14159265358979</v>
      </c>
      <c r="L53">
        <v>0.78663439320338202</v>
      </c>
      <c r="M53">
        <v>0</v>
      </c>
      <c r="N53">
        <v>4.61872909257766E-2</v>
      </c>
      <c r="O53">
        <v>0</v>
      </c>
      <c r="P53">
        <v>1.6E-2</v>
      </c>
      <c r="Q53">
        <v>0</v>
      </c>
      <c r="R53">
        <v>0</v>
      </c>
      <c r="S53">
        <v>0</v>
      </c>
      <c r="T53">
        <v>0</v>
      </c>
      <c r="U53">
        <v>0.78248376859715896</v>
      </c>
      <c r="V53" t="s">
        <v>78</v>
      </c>
      <c r="W53">
        <v>3878234.2466992498</v>
      </c>
      <c r="X53" t="s">
        <v>76</v>
      </c>
      <c r="Y53">
        <v>-1.5707963267949001</v>
      </c>
      <c r="Z53">
        <v>0.78587513054282598</v>
      </c>
      <c r="AA53">
        <v>0</v>
      </c>
      <c r="AB53">
        <v>4.5704268892148001E-2</v>
      </c>
      <c r="AC53">
        <v>0</v>
      </c>
      <c r="AD53">
        <v>9.2869098791745694E-3</v>
      </c>
      <c r="AE53">
        <v>8.5331546142037897E-3</v>
      </c>
      <c r="AF53">
        <v>0</v>
      </c>
      <c r="AG53">
        <v>0.21875779769382001</v>
      </c>
      <c r="AH53">
        <v>9.1108854591644403E-2</v>
      </c>
      <c r="AI53">
        <v>0.62046011750644003</v>
      </c>
      <c r="AJ53" t="s">
        <v>74</v>
      </c>
      <c r="AK53">
        <v>0</v>
      </c>
      <c r="AL53" t="s">
        <v>77</v>
      </c>
      <c r="AM53">
        <v>0</v>
      </c>
      <c r="AN53">
        <v>0.99199999999999999</v>
      </c>
      <c r="AO53">
        <v>0</v>
      </c>
      <c r="AP53">
        <v>5.8245346242475203E-2</v>
      </c>
      <c r="AQ53">
        <v>0</v>
      </c>
      <c r="AR53">
        <v>1.6E-2</v>
      </c>
      <c r="AS53">
        <v>0</v>
      </c>
      <c r="AT53">
        <v>0</v>
      </c>
      <c r="AU53">
        <v>0</v>
      </c>
      <c r="AV53">
        <v>0</v>
      </c>
      <c r="AW53">
        <v>1</v>
      </c>
      <c r="AX53" t="s">
        <v>74</v>
      </c>
      <c r="AY53">
        <v>0</v>
      </c>
      <c r="AZ53" t="s">
        <v>76</v>
      </c>
      <c r="BA53">
        <v>-1.5707963267949001</v>
      </c>
      <c r="BB53">
        <v>0.99199999999999999</v>
      </c>
      <c r="BC53">
        <v>0</v>
      </c>
      <c r="BD53">
        <v>5.8245346242475203E-2</v>
      </c>
      <c r="BE53">
        <v>0</v>
      </c>
      <c r="BF53">
        <v>1.6E-2</v>
      </c>
      <c r="BG53">
        <v>0</v>
      </c>
      <c r="BH53">
        <v>0</v>
      </c>
      <c r="BI53">
        <v>0</v>
      </c>
      <c r="BJ53">
        <v>0</v>
      </c>
      <c r="BK53">
        <v>1</v>
      </c>
      <c r="BL53">
        <v>1.04191126151438E-4</v>
      </c>
      <c r="BM53">
        <v>1.5493332614273199E-4</v>
      </c>
      <c r="BN53" s="1">
        <v>3.8763170482705199E-7</v>
      </c>
      <c r="BO53" s="1">
        <v>2.4336869960311898E-6</v>
      </c>
      <c r="BP53">
        <v>0</v>
      </c>
      <c r="BQ53">
        <v>0</v>
      </c>
      <c r="BR53" s="1">
        <v>5.8978395092454301E-5</v>
      </c>
      <c r="BS53" s="1">
        <v>8.8725653013302301E-5</v>
      </c>
    </row>
    <row r="54" spans="1:71" x14ac:dyDescent="0.25">
      <c r="A54">
        <v>51</v>
      </c>
      <c r="B54" s="1">
        <v>5.6212650282395304E-6</v>
      </c>
      <c r="C54">
        <v>0.132519913923346</v>
      </c>
      <c r="D54">
        <v>-4.9090437711936895E-4</v>
      </c>
      <c r="E54">
        <v>6.1312499999999995E-4</v>
      </c>
      <c r="F54">
        <v>-1.32519913923346E-3</v>
      </c>
      <c r="G54" s="1">
        <v>1.0842021724855E-19</v>
      </c>
      <c r="H54" t="s">
        <v>74</v>
      </c>
      <c r="I54">
        <v>0</v>
      </c>
      <c r="J54" t="s">
        <v>75</v>
      </c>
      <c r="K54">
        <v>3.14159265358979</v>
      </c>
      <c r="L54">
        <v>0.78245399767038204</v>
      </c>
      <c r="M54">
        <v>0</v>
      </c>
      <c r="N54">
        <v>4.59418387229035E-2</v>
      </c>
      <c r="O54">
        <v>0</v>
      </c>
      <c r="P54">
        <v>1.6E-2</v>
      </c>
      <c r="Q54">
        <v>0</v>
      </c>
      <c r="R54">
        <v>0</v>
      </c>
      <c r="S54">
        <v>0</v>
      </c>
      <c r="T54">
        <v>0</v>
      </c>
      <c r="U54">
        <v>0.77753130124332104</v>
      </c>
      <c r="V54" t="s">
        <v>78</v>
      </c>
      <c r="W54">
        <v>3878451.5650552702</v>
      </c>
      <c r="X54" t="s">
        <v>76</v>
      </c>
      <c r="Y54">
        <v>-1.5707963267949001</v>
      </c>
      <c r="Z54">
        <v>0.78169635913035296</v>
      </c>
      <c r="AA54">
        <v>0</v>
      </c>
      <c r="AB54">
        <v>4.5459849910126297E-2</v>
      </c>
      <c r="AC54">
        <v>0</v>
      </c>
      <c r="AD54">
        <v>9.11907560620644E-3</v>
      </c>
      <c r="AE54">
        <v>8.70474682246619E-3</v>
      </c>
      <c r="AF54">
        <v>0</v>
      </c>
      <c r="AG54">
        <v>0.22096549248412001</v>
      </c>
      <c r="AH54">
        <v>9.5208764999924506E-2</v>
      </c>
      <c r="AI54">
        <v>0.61323053822857099</v>
      </c>
      <c r="AJ54" t="s">
        <v>74</v>
      </c>
      <c r="AK54">
        <v>0</v>
      </c>
      <c r="AL54" t="s">
        <v>77</v>
      </c>
      <c r="AM54">
        <v>0</v>
      </c>
      <c r="AN54">
        <v>0.99199999999999999</v>
      </c>
      <c r="AO54">
        <v>0</v>
      </c>
      <c r="AP54">
        <v>5.8245346242475203E-2</v>
      </c>
      <c r="AQ54">
        <v>0</v>
      </c>
      <c r="AR54">
        <v>1.6E-2</v>
      </c>
      <c r="AS54">
        <v>0</v>
      </c>
      <c r="AT54">
        <v>0</v>
      </c>
      <c r="AU54">
        <v>0</v>
      </c>
      <c r="AV54">
        <v>0</v>
      </c>
      <c r="AW54">
        <v>1</v>
      </c>
      <c r="AX54" t="s">
        <v>74</v>
      </c>
      <c r="AY54">
        <v>0</v>
      </c>
      <c r="AZ54" t="s">
        <v>76</v>
      </c>
      <c r="BA54">
        <v>-1.5707963267949001</v>
      </c>
      <c r="BB54">
        <v>0.99199999999999999</v>
      </c>
      <c r="BC54">
        <v>0</v>
      </c>
      <c r="BD54">
        <v>5.8245346242475203E-2</v>
      </c>
      <c r="BE54">
        <v>0</v>
      </c>
      <c r="BF54">
        <v>1.6E-2</v>
      </c>
      <c r="BG54">
        <v>0</v>
      </c>
      <c r="BH54">
        <v>0</v>
      </c>
      <c r="BI54">
        <v>0</v>
      </c>
      <c r="BJ54">
        <v>0</v>
      </c>
      <c r="BK54">
        <v>1</v>
      </c>
      <c r="BL54">
        <v>1.0394619055899E-4</v>
      </c>
      <c r="BM54">
        <v>1.5808712874202201E-4</v>
      </c>
      <c r="BN54" s="1">
        <v>3.86720179328619E-7</v>
      </c>
      <c r="BO54" s="1">
        <v>2.4832268114152E-6</v>
      </c>
      <c r="BP54">
        <v>0</v>
      </c>
      <c r="BQ54">
        <v>0</v>
      </c>
      <c r="BR54" s="1">
        <v>5.8822918703454701E-5</v>
      </c>
      <c r="BS54" s="1">
        <v>9.0532228199234594E-5</v>
      </c>
    </row>
    <row r="55" spans="1:71" x14ac:dyDescent="0.25">
      <c r="A55">
        <v>52</v>
      </c>
      <c r="B55" s="1">
        <v>5.5673276650328902E-6</v>
      </c>
      <c r="C55">
        <v>0.13252548125101099</v>
      </c>
      <c r="D55">
        <v>-4.9092931792954801E-4</v>
      </c>
      <c r="E55">
        <v>6.1312499999999995E-4</v>
      </c>
      <c r="F55">
        <v>-1.3252548125101101E-3</v>
      </c>
      <c r="G55" s="1">
        <v>1.0842021724855E-19</v>
      </c>
      <c r="H55" t="s">
        <v>74</v>
      </c>
      <c r="I55">
        <v>0</v>
      </c>
      <c r="J55" t="s">
        <v>75</v>
      </c>
      <c r="K55">
        <v>3.14159265358979</v>
      </c>
      <c r="L55">
        <v>0.77827423849944999</v>
      </c>
      <c r="M55">
        <v>0</v>
      </c>
      <c r="N55">
        <v>4.5696423884071802E-2</v>
      </c>
      <c r="O55">
        <v>0</v>
      </c>
      <c r="P55">
        <v>1.6E-2</v>
      </c>
      <c r="Q55">
        <v>0</v>
      </c>
      <c r="R55">
        <v>0</v>
      </c>
      <c r="S55">
        <v>0</v>
      </c>
      <c r="T55">
        <v>0</v>
      </c>
      <c r="U55">
        <v>0.783874474558791</v>
      </c>
      <c r="V55" t="s">
        <v>78</v>
      </c>
      <c r="W55">
        <v>3878666.7921410101</v>
      </c>
      <c r="X55" t="s">
        <v>76</v>
      </c>
      <c r="Y55">
        <v>-1.5707963267949001</v>
      </c>
      <c r="Z55">
        <v>0.77751827212493696</v>
      </c>
      <c r="AA55">
        <v>0</v>
      </c>
      <c r="AB55">
        <v>4.5215498857047502E-2</v>
      </c>
      <c r="AC55">
        <v>0</v>
      </c>
      <c r="AD55">
        <v>8.9514923835899499E-3</v>
      </c>
      <c r="AE55">
        <v>8.8760081563012492E-3</v>
      </c>
      <c r="AF55">
        <v>0</v>
      </c>
      <c r="AG55">
        <v>0.22306336447540601</v>
      </c>
      <c r="AH55">
        <v>9.9417538029965696E-2</v>
      </c>
      <c r="AI55">
        <v>0.60602292829497795</v>
      </c>
      <c r="AJ55" t="s">
        <v>74</v>
      </c>
      <c r="AK55">
        <v>0</v>
      </c>
      <c r="AL55" t="s">
        <v>77</v>
      </c>
      <c r="AM55">
        <v>0</v>
      </c>
      <c r="AN55">
        <v>0.99199999999999999</v>
      </c>
      <c r="AO55">
        <v>0</v>
      </c>
      <c r="AP55">
        <v>5.8245346242475203E-2</v>
      </c>
      <c r="AQ55">
        <v>0</v>
      </c>
      <c r="AR55">
        <v>1.6E-2</v>
      </c>
      <c r="AS55">
        <v>0</v>
      </c>
      <c r="AT55">
        <v>0</v>
      </c>
      <c r="AU55">
        <v>0</v>
      </c>
      <c r="AV55">
        <v>0</v>
      </c>
      <c r="AW55">
        <v>1</v>
      </c>
      <c r="AX55" t="s">
        <v>74</v>
      </c>
      <c r="AY55">
        <v>0</v>
      </c>
      <c r="AZ55" t="s">
        <v>76</v>
      </c>
      <c r="BA55">
        <v>-1.5707963267949001</v>
      </c>
      <c r="BB55">
        <v>0.99199999999999999</v>
      </c>
      <c r="BC55">
        <v>0</v>
      </c>
      <c r="BD55">
        <v>5.8245346242475203E-2</v>
      </c>
      <c r="BE55">
        <v>0</v>
      </c>
      <c r="BF55">
        <v>1.6E-2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1.0370130761303499E-4</v>
      </c>
      <c r="BM55">
        <v>1.6124045125268601E-4</v>
      </c>
      <c r="BN55" s="1">
        <v>3.8580893083728002E-7</v>
      </c>
      <c r="BO55" s="1">
        <v>2.5327590855847101E-6</v>
      </c>
      <c r="BP55">
        <v>0</v>
      </c>
      <c r="BQ55">
        <v>0</v>
      </c>
      <c r="BR55" s="1">
        <v>5.8667468688807802E-5</v>
      </c>
      <c r="BS55" s="1">
        <v>9.2338543121156294E-5</v>
      </c>
    </row>
    <row r="56" spans="1:71" x14ac:dyDescent="0.25">
      <c r="A56">
        <v>53</v>
      </c>
      <c r="B56" s="1">
        <v>5.5170657196781599E-6</v>
      </c>
      <c r="C56">
        <v>0.13253099831673101</v>
      </c>
      <c r="D56">
        <v>-4.9095403288559403E-4</v>
      </c>
      <c r="E56">
        <v>6.1312499999999995E-4</v>
      </c>
      <c r="F56">
        <v>-1.3253099831673099E-3</v>
      </c>
      <c r="G56" s="1">
        <v>1.0842021724855E-19</v>
      </c>
      <c r="H56" t="s">
        <v>74</v>
      </c>
      <c r="I56">
        <v>0</v>
      </c>
      <c r="J56" t="s">
        <v>75</v>
      </c>
      <c r="K56">
        <v>3.14159265358979</v>
      </c>
      <c r="L56">
        <v>0.77409513742428604</v>
      </c>
      <c r="M56">
        <v>0</v>
      </c>
      <c r="N56">
        <v>4.5451047685377E-2</v>
      </c>
      <c r="O56">
        <v>0</v>
      </c>
      <c r="P56">
        <v>1.6E-2</v>
      </c>
      <c r="Q56">
        <v>0</v>
      </c>
      <c r="R56">
        <v>0</v>
      </c>
      <c r="S56">
        <v>0</v>
      </c>
      <c r="T56">
        <v>0</v>
      </c>
      <c r="U56">
        <v>0.77866496199822199</v>
      </c>
      <c r="V56" t="s">
        <v>78</v>
      </c>
      <c r="W56">
        <v>3878880.0702152201</v>
      </c>
      <c r="X56" t="s">
        <v>76</v>
      </c>
      <c r="Y56">
        <v>-1.5707963267949001</v>
      </c>
      <c r="Z56">
        <v>0.77334088929433698</v>
      </c>
      <c r="AA56">
        <v>0</v>
      </c>
      <c r="AB56">
        <v>4.4971215758329998E-2</v>
      </c>
      <c r="AC56">
        <v>0</v>
      </c>
      <c r="AD56">
        <v>8.7841676886823098E-3</v>
      </c>
      <c r="AE56">
        <v>9.0469345258221492E-3</v>
      </c>
      <c r="AF56">
        <v>0</v>
      </c>
      <c r="AG56">
        <v>0.22504978361137901</v>
      </c>
      <c r="AH56">
        <v>0.103736770945099</v>
      </c>
      <c r="AI56">
        <v>0.598837617005755</v>
      </c>
      <c r="AJ56" t="s">
        <v>74</v>
      </c>
      <c r="AK56">
        <v>0</v>
      </c>
      <c r="AL56" t="s">
        <v>77</v>
      </c>
      <c r="AM56">
        <v>0</v>
      </c>
      <c r="AN56">
        <v>0.99199999999999999</v>
      </c>
      <c r="AO56">
        <v>0</v>
      </c>
      <c r="AP56">
        <v>5.8245346242475203E-2</v>
      </c>
      <c r="AQ56">
        <v>0</v>
      </c>
      <c r="AR56">
        <v>1.6E-2</v>
      </c>
      <c r="AS56">
        <v>0</v>
      </c>
      <c r="AT56">
        <v>0</v>
      </c>
      <c r="AU56">
        <v>0</v>
      </c>
      <c r="AV56">
        <v>0</v>
      </c>
      <c r="AW56">
        <v>1</v>
      </c>
      <c r="AX56" t="s">
        <v>74</v>
      </c>
      <c r="AY56">
        <v>0</v>
      </c>
      <c r="AZ56" t="s">
        <v>76</v>
      </c>
      <c r="BA56">
        <v>-1.5707963267949001</v>
      </c>
      <c r="BB56">
        <v>0.99199999999999999</v>
      </c>
      <c r="BC56">
        <v>0</v>
      </c>
      <c r="BD56">
        <v>5.8245346242475203E-2</v>
      </c>
      <c r="BE56">
        <v>0</v>
      </c>
      <c r="BF56">
        <v>1.6E-2</v>
      </c>
      <c r="BG56">
        <v>0</v>
      </c>
      <c r="BH56">
        <v>0</v>
      </c>
      <c r="BI56">
        <v>0</v>
      </c>
      <c r="BJ56">
        <v>0</v>
      </c>
      <c r="BK56">
        <v>1</v>
      </c>
      <c r="BL56">
        <v>1.03456477964329E-4</v>
      </c>
      <c r="BM56">
        <v>1.6439327727823901E-4</v>
      </c>
      <c r="BN56" s="1">
        <v>3.8489795848814097E-7</v>
      </c>
      <c r="BO56" s="1">
        <v>2.5822835609843301E-6</v>
      </c>
      <c r="BP56">
        <v>0</v>
      </c>
      <c r="BQ56">
        <v>0</v>
      </c>
      <c r="BR56" s="1">
        <v>5.85120457557877E-5</v>
      </c>
      <c r="BS56" s="1">
        <v>9.41445884361489E-5</v>
      </c>
    </row>
    <row r="57" spans="1:71" x14ac:dyDescent="0.25">
      <c r="A57">
        <v>54</v>
      </c>
      <c r="B57" s="1">
        <v>5.4703467259635202E-6</v>
      </c>
      <c r="C57">
        <v>0.132536468663457</v>
      </c>
      <c r="D57">
        <v>-4.9097853787724002E-4</v>
      </c>
      <c r="E57">
        <v>6.1312499999999995E-4</v>
      </c>
      <c r="F57">
        <v>-1.32536468663457E-3</v>
      </c>
      <c r="G57">
        <v>0</v>
      </c>
      <c r="H57" t="s">
        <v>74</v>
      </c>
      <c r="I57">
        <v>0</v>
      </c>
      <c r="J57" t="s">
        <v>75</v>
      </c>
      <c r="K57">
        <v>3.14159265358979</v>
      </c>
      <c r="L57">
        <v>0.76991671730700395</v>
      </c>
      <c r="M57">
        <v>0</v>
      </c>
      <c r="N57">
        <v>4.5205711469169699E-2</v>
      </c>
      <c r="O57">
        <v>0</v>
      </c>
      <c r="P57">
        <v>1.6E-2</v>
      </c>
      <c r="Q57">
        <v>0</v>
      </c>
      <c r="R57">
        <v>0</v>
      </c>
      <c r="S57">
        <v>0</v>
      </c>
      <c r="T57">
        <v>0</v>
      </c>
      <c r="U57">
        <v>0.77583020281293102</v>
      </c>
      <c r="V57" t="s">
        <v>78</v>
      </c>
      <c r="W57">
        <v>3879091.5363985598</v>
      </c>
      <c r="X57" t="s">
        <v>76</v>
      </c>
      <c r="Y57">
        <v>-1.5707963267949001</v>
      </c>
      <c r="Z57">
        <v>0.76916423162403003</v>
      </c>
      <c r="AA57">
        <v>0</v>
      </c>
      <c r="AB57">
        <v>4.4727000762458502E-2</v>
      </c>
      <c r="AC57">
        <v>0</v>
      </c>
      <c r="AD57">
        <v>8.6171089120610795E-3</v>
      </c>
      <c r="AE57">
        <v>9.2175217521848502E-3</v>
      </c>
      <c r="AF57">
        <v>0</v>
      </c>
      <c r="AG57">
        <v>0.22692306430210901</v>
      </c>
      <c r="AH57">
        <v>0.108168114839666</v>
      </c>
      <c r="AI57">
        <v>0.59167493040584596</v>
      </c>
      <c r="AJ57" t="s">
        <v>74</v>
      </c>
      <c r="AK57">
        <v>0</v>
      </c>
      <c r="AL57" t="s">
        <v>77</v>
      </c>
      <c r="AM57">
        <v>0</v>
      </c>
      <c r="AN57">
        <v>0.99199999999999999</v>
      </c>
      <c r="AO57">
        <v>0</v>
      </c>
      <c r="AP57">
        <v>5.8245346242475203E-2</v>
      </c>
      <c r="AQ57">
        <v>0</v>
      </c>
      <c r="AR57">
        <v>1.6E-2</v>
      </c>
      <c r="AS57">
        <v>0</v>
      </c>
      <c r="AT57">
        <v>0</v>
      </c>
      <c r="AU57">
        <v>0</v>
      </c>
      <c r="AV57">
        <v>0</v>
      </c>
      <c r="AW57">
        <v>1</v>
      </c>
      <c r="AX57" t="s">
        <v>74</v>
      </c>
      <c r="AY57">
        <v>0</v>
      </c>
      <c r="AZ57" t="s">
        <v>76</v>
      </c>
      <c r="BA57">
        <v>-1.5707963267949001</v>
      </c>
      <c r="BB57">
        <v>0.99199999999999999</v>
      </c>
      <c r="BC57">
        <v>0</v>
      </c>
      <c r="BD57">
        <v>5.8245346242475203E-2</v>
      </c>
      <c r="BE57">
        <v>0</v>
      </c>
      <c r="BF57">
        <v>1.6E-2</v>
      </c>
      <c r="BG57">
        <v>0</v>
      </c>
      <c r="BH57">
        <v>0</v>
      </c>
      <c r="BI57">
        <v>0</v>
      </c>
      <c r="BJ57">
        <v>0</v>
      </c>
      <c r="BK57">
        <v>1</v>
      </c>
      <c r="BL57">
        <v>1.03211702358289E-4</v>
      </c>
      <c r="BM57">
        <v>1.6754558957088699E-4</v>
      </c>
      <c r="BN57" s="1">
        <v>3.8398726191926501E-7</v>
      </c>
      <c r="BO57" s="1">
        <v>2.63179996668635E-6</v>
      </c>
      <c r="BP57">
        <v>0</v>
      </c>
      <c r="BQ57">
        <v>0</v>
      </c>
      <c r="BR57" s="1">
        <v>5.83566506585939E-5</v>
      </c>
      <c r="BS57" s="1">
        <v>9.59503543268945E-5</v>
      </c>
    </row>
    <row r="58" spans="1:71" x14ac:dyDescent="0.25">
      <c r="A58">
        <v>55</v>
      </c>
      <c r="B58" s="1">
        <v>5.4270529442362202E-6</v>
      </c>
      <c r="C58">
        <v>0.13254189571640099</v>
      </c>
      <c r="D58">
        <v>-4.9100284826490205E-4</v>
      </c>
      <c r="E58">
        <v>6.1312499999999995E-4</v>
      </c>
      <c r="F58">
        <v>-1.32541895716401E-3</v>
      </c>
      <c r="G58">
        <v>0</v>
      </c>
      <c r="H58" t="s">
        <v>74</v>
      </c>
      <c r="I58">
        <v>0</v>
      </c>
      <c r="J58" t="s">
        <v>75</v>
      </c>
      <c r="K58">
        <v>3.14159265358979</v>
      </c>
      <c r="L58">
        <v>0.76573900221881197</v>
      </c>
      <c r="M58">
        <v>0</v>
      </c>
      <c r="N58">
        <v>4.4960416648792502E-2</v>
      </c>
      <c r="O58">
        <v>0</v>
      </c>
      <c r="P58">
        <v>1.6E-2</v>
      </c>
      <c r="Q58">
        <v>0</v>
      </c>
      <c r="R58">
        <v>0</v>
      </c>
      <c r="S58">
        <v>0</v>
      </c>
      <c r="T58">
        <v>0</v>
      </c>
      <c r="U58">
        <v>0.77145733951478701</v>
      </c>
      <c r="V58" t="s">
        <v>78</v>
      </c>
      <c r="W58">
        <v>3879301.3232439901</v>
      </c>
      <c r="X58" t="s">
        <v>76</v>
      </c>
      <c r="Y58">
        <v>-1.5707963267949001</v>
      </c>
      <c r="Z58">
        <v>0.76498832138994599</v>
      </c>
      <c r="AA58">
        <v>0</v>
      </c>
      <c r="AB58">
        <v>4.4482854140670401E-2</v>
      </c>
      <c r="AC58">
        <v>0</v>
      </c>
      <c r="AD58">
        <v>8.4503233758451493E-3</v>
      </c>
      <c r="AE58">
        <v>9.3877655634368104E-3</v>
      </c>
      <c r="AF58">
        <v>0</v>
      </c>
      <c r="AG58">
        <v>0.22868146246948301</v>
      </c>
      <c r="AH58">
        <v>0.11271327747185</v>
      </c>
      <c r="AI58">
        <v>0.58453519195911696</v>
      </c>
      <c r="AJ58" t="s">
        <v>74</v>
      </c>
      <c r="AK58">
        <v>0</v>
      </c>
      <c r="AL58" t="s">
        <v>77</v>
      </c>
      <c r="AM58">
        <v>0</v>
      </c>
      <c r="AN58">
        <v>0.99199999999999999</v>
      </c>
      <c r="AO58">
        <v>0</v>
      </c>
      <c r="AP58">
        <v>5.8245346242475203E-2</v>
      </c>
      <c r="AQ58">
        <v>0</v>
      </c>
      <c r="AR58">
        <v>1.6E-2</v>
      </c>
      <c r="AS58">
        <v>0</v>
      </c>
      <c r="AT58">
        <v>0</v>
      </c>
      <c r="AU58">
        <v>0</v>
      </c>
      <c r="AV58">
        <v>0</v>
      </c>
      <c r="AW58">
        <v>1</v>
      </c>
      <c r="AX58" t="s">
        <v>74</v>
      </c>
      <c r="AY58">
        <v>0</v>
      </c>
      <c r="AZ58" t="s">
        <v>76</v>
      </c>
      <c r="BA58">
        <v>-1.5707963267949001</v>
      </c>
      <c r="BB58">
        <v>0.99199999999999999</v>
      </c>
      <c r="BC58">
        <v>0</v>
      </c>
      <c r="BD58">
        <v>5.8245346242475203E-2</v>
      </c>
      <c r="BE58">
        <v>0</v>
      </c>
      <c r="BF58">
        <v>1.6E-2</v>
      </c>
      <c r="BG58">
        <v>0</v>
      </c>
      <c r="BH58">
        <v>0</v>
      </c>
      <c r="BI58">
        <v>0</v>
      </c>
      <c r="BJ58">
        <v>0</v>
      </c>
      <c r="BK58">
        <v>1</v>
      </c>
      <c r="BL58">
        <v>1.02966981637207E-4</v>
      </c>
      <c r="BM58">
        <v>1.7069736997066701E-4</v>
      </c>
      <c r="BN58" s="1">
        <v>3.8307684126662103E-7</v>
      </c>
      <c r="BO58" s="1">
        <v>2.6813080174347302E-6</v>
      </c>
      <c r="BP58">
        <v>0</v>
      </c>
      <c r="BQ58">
        <v>0</v>
      </c>
      <c r="BR58" s="1">
        <v>5.82012842009303E-5</v>
      </c>
      <c r="BS58" s="1">
        <v>9.77558304670363E-5</v>
      </c>
    </row>
    <row r="59" spans="1:71" x14ac:dyDescent="0.25">
      <c r="A59">
        <v>56</v>
      </c>
      <c r="B59" s="1">
        <v>5.3870804418150898E-6</v>
      </c>
      <c r="C59">
        <v>0.132547282796843</v>
      </c>
      <c r="D59">
        <v>-4.9102697894163705E-4</v>
      </c>
      <c r="E59">
        <v>6.1312499999999995E-4</v>
      </c>
      <c r="F59">
        <v>-1.32547282796843E-3</v>
      </c>
      <c r="G59" s="1">
        <v>1.0842021724855E-19</v>
      </c>
      <c r="H59" t="s">
        <v>74</v>
      </c>
      <c r="I59">
        <v>0</v>
      </c>
      <c r="J59" t="s">
        <v>75</v>
      </c>
      <c r="K59">
        <v>3.14159265358979</v>
      </c>
      <c r="L59">
        <v>0.761562017527734</v>
      </c>
      <c r="M59">
        <v>0</v>
      </c>
      <c r="N59">
        <v>4.4715164713730701E-2</v>
      </c>
      <c r="O59">
        <v>0</v>
      </c>
      <c r="P59">
        <v>1.6E-2</v>
      </c>
      <c r="Q59">
        <v>0</v>
      </c>
      <c r="R59">
        <v>0</v>
      </c>
      <c r="S59">
        <v>0</v>
      </c>
      <c r="T59">
        <v>0</v>
      </c>
      <c r="U59">
        <v>0.76749072821663999</v>
      </c>
      <c r="V59" t="s">
        <v>78</v>
      </c>
      <c r="W59">
        <v>3879509.5592713398</v>
      </c>
      <c r="X59" t="s">
        <v>76</v>
      </c>
      <c r="Y59">
        <v>-1.5707963267949001</v>
      </c>
      <c r="Z59">
        <v>0.76081318223885197</v>
      </c>
      <c r="AA59">
        <v>0</v>
      </c>
      <c r="AB59">
        <v>4.4238776287433203E-2</v>
      </c>
      <c r="AC59">
        <v>0</v>
      </c>
      <c r="AD59">
        <v>8.2838183510635308E-3</v>
      </c>
      <c r="AE59">
        <v>9.5576615901178906E-3</v>
      </c>
      <c r="AF59">
        <v>0</v>
      </c>
      <c r="AG59">
        <v>0.23032317237736399</v>
      </c>
      <c r="AH59">
        <v>0.117374026301151</v>
      </c>
      <c r="AI59">
        <v>0.57741872318395604</v>
      </c>
      <c r="AJ59" t="s">
        <v>74</v>
      </c>
      <c r="AK59">
        <v>0</v>
      </c>
      <c r="AL59" t="s">
        <v>77</v>
      </c>
      <c r="AM59">
        <v>0</v>
      </c>
      <c r="AN59">
        <v>0.99199999999999999</v>
      </c>
      <c r="AO59">
        <v>0</v>
      </c>
      <c r="AP59">
        <v>5.8245346242475203E-2</v>
      </c>
      <c r="AQ59">
        <v>0</v>
      </c>
      <c r="AR59">
        <v>1.6E-2</v>
      </c>
      <c r="AS59">
        <v>0</v>
      </c>
      <c r="AT59">
        <v>0</v>
      </c>
      <c r="AU59">
        <v>0</v>
      </c>
      <c r="AV59">
        <v>0</v>
      </c>
      <c r="AW59">
        <v>1</v>
      </c>
      <c r="AX59" t="s">
        <v>74</v>
      </c>
      <c r="AY59">
        <v>0</v>
      </c>
      <c r="AZ59" t="s">
        <v>76</v>
      </c>
      <c r="BA59">
        <v>-1.5707963267949001</v>
      </c>
      <c r="BB59">
        <v>0.99199999999999999</v>
      </c>
      <c r="BC59">
        <v>0</v>
      </c>
      <c r="BD59">
        <v>5.8245346242475203E-2</v>
      </c>
      <c r="BE59">
        <v>0</v>
      </c>
      <c r="BF59">
        <v>1.6E-2</v>
      </c>
      <c r="BG59">
        <v>0</v>
      </c>
      <c r="BH59">
        <v>0</v>
      </c>
      <c r="BI59">
        <v>0</v>
      </c>
      <c r="BJ59">
        <v>0</v>
      </c>
      <c r="BK59">
        <v>1</v>
      </c>
      <c r="BL59">
        <v>1.02722316743057E-4</v>
      </c>
      <c r="BM59">
        <v>1.7384859933925801E-4</v>
      </c>
      <c r="BN59" s="1">
        <v>3.8216669716228301E-7</v>
      </c>
      <c r="BO59" s="1">
        <v>2.7308074126054299E-6</v>
      </c>
      <c r="BP59">
        <v>0</v>
      </c>
      <c r="BQ59">
        <v>0</v>
      </c>
      <c r="BR59" s="1">
        <v>5.8045947238880497E-5</v>
      </c>
      <c r="BS59" s="1">
        <v>9.9561005983554802E-5</v>
      </c>
    </row>
    <row r="60" spans="1:71" x14ac:dyDescent="0.25">
      <c r="A60">
        <v>57</v>
      </c>
      <c r="B60" s="1">
        <v>5.3503383152797602E-6</v>
      </c>
      <c r="C60">
        <v>0.132552633135158</v>
      </c>
      <c r="D60">
        <v>-4.9105094439159599E-4</v>
      </c>
      <c r="E60">
        <v>6.1312499999999995E-4</v>
      </c>
      <c r="F60">
        <v>-1.3255263313515799E-3</v>
      </c>
      <c r="G60" s="1">
        <v>1.0842021724855E-19</v>
      </c>
      <c r="H60" t="s">
        <v>74</v>
      </c>
      <c r="I60">
        <v>0</v>
      </c>
      <c r="J60" t="s">
        <v>75</v>
      </c>
      <c r="K60">
        <v>3.14159265358979</v>
      </c>
      <c r="L60">
        <v>0.75738578999454398</v>
      </c>
      <c r="M60">
        <v>0</v>
      </c>
      <c r="N60">
        <v>4.44699572352448E-2</v>
      </c>
      <c r="O60">
        <v>0</v>
      </c>
      <c r="P60">
        <v>1.6E-2</v>
      </c>
      <c r="Q60">
        <v>0</v>
      </c>
      <c r="R60">
        <v>0</v>
      </c>
      <c r="S60">
        <v>0</v>
      </c>
      <c r="T60">
        <v>0</v>
      </c>
      <c r="U60">
        <v>0.76333434847980997</v>
      </c>
      <c r="V60" t="s">
        <v>78</v>
      </c>
      <c r="W60">
        <v>3879716.3694718098</v>
      </c>
      <c r="X60" t="s">
        <v>76</v>
      </c>
      <c r="Y60">
        <v>-1.5707963267949001</v>
      </c>
      <c r="Z60">
        <v>0.75663883927745101</v>
      </c>
      <c r="AA60">
        <v>0</v>
      </c>
      <c r="AB60">
        <v>4.3994767721733101E-2</v>
      </c>
      <c r="AC60">
        <v>0</v>
      </c>
      <c r="AD60">
        <v>8.1176010742539904E-3</v>
      </c>
      <c r="AE60">
        <v>9.7272053605700903E-3</v>
      </c>
      <c r="AF60">
        <v>0</v>
      </c>
      <c r="AG60">
        <v>0.231846323226684</v>
      </c>
      <c r="AH60">
        <v>0.122152191748544</v>
      </c>
      <c r="AI60">
        <v>0.57032584425710697</v>
      </c>
      <c r="AJ60" t="s">
        <v>74</v>
      </c>
      <c r="AK60">
        <v>0</v>
      </c>
      <c r="AL60" t="s">
        <v>77</v>
      </c>
      <c r="AM60">
        <v>0</v>
      </c>
      <c r="AN60">
        <v>0.99199999999999999</v>
      </c>
      <c r="AO60">
        <v>0</v>
      </c>
      <c r="AP60">
        <v>5.8245346242475203E-2</v>
      </c>
      <c r="AQ60">
        <v>0</v>
      </c>
      <c r="AR60">
        <v>1.6E-2</v>
      </c>
      <c r="AS60">
        <v>0</v>
      </c>
      <c r="AT60">
        <v>0</v>
      </c>
      <c r="AU60">
        <v>0</v>
      </c>
      <c r="AV60">
        <v>0</v>
      </c>
      <c r="AW60">
        <v>1</v>
      </c>
      <c r="AX60" t="s">
        <v>74</v>
      </c>
      <c r="AY60">
        <v>0</v>
      </c>
      <c r="AZ60" t="s">
        <v>76</v>
      </c>
      <c r="BA60">
        <v>-1.5707963267949001</v>
      </c>
      <c r="BB60">
        <v>0.99199999999999999</v>
      </c>
      <c r="BC60">
        <v>0</v>
      </c>
      <c r="BD60">
        <v>5.8245346242475203E-2</v>
      </c>
      <c r="BE60">
        <v>0</v>
      </c>
      <c r="BF60">
        <v>1.6E-2</v>
      </c>
      <c r="BG60">
        <v>0</v>
      </c>
      <c r="BH60">
        <v>0</v>
      </c>
      <c r="BI60">
        <v>0</v>
      </c>
      <c r="BJ60">
        <v>0</v>
      </c>
      <c r="BK60">
        <v>1</v>
      </c>
      <c r="BL60">
        <v>1.02477708720964E-4</v>
      </c>
      <c r="BM60">
        <v>1.76999257487614E-4</v>
      </c>
      <c r="BN60" s="1">
        <v>3.8125683073590498E-7</v>
      </c>
      <c r="BO60" s="1">
        <v>2.7802978350696801E-6</v>
      </c>
      <c r="BP60">
        <v>0</v>
      </c>
      <c r="BQ60">
        <v>0</v>
      </c>
      <c r="BR60" s="1">
        <v>5.7890640684117802E-5</v>
      </c>
      <c r="BS60">
        <v>1.01365869415667E-4</v>
      </c>
    </row>
    <row r="61" spans="1:71" x14ac:dyDescent="0.25">
      <c r="A61">
        <v>58</v>
      </c>
      <c r="B61" s="1">
        <v>5.3167480430140999E-6</v>
      </c>
      <c r="C61">
        <v>0.13255794988320099</v>
      </c>
      <c r="D61">
        <v>-4.9107475874556896E-4</v>
      </c>
      <c r="E61">
        <v>6.1312499999999995E-4</v>
      </c>
      <c r="F61">
        <v>-1.3255794988320201E-3</v>
      </c>
      <c r="G61">
        <v>0</v>
      </c>
      <c r="H61" t="s">
        <v>74</v>
      </c>
      <c r="I61">
        <v>0</v>
      </c>
      <c r="J61" t="s">
        <v>75</v>
      </c>
      <c r="K61">
        <v>3.14159265358979</v>
      </c>
      <c r="L61">
        <v>0.75321034787766805</v>
      </c>
      <c r="M61">
        <v>0</v>
      </c>
      <c r="N61">
        <v>4.4224795872530198E-2</v>
      </c>
      <c r="O61">
        <v>0</v>
      </c>
      <c r="P61">
        <v>1.6E-2</v>
      </c>
      <c r="Q61">
        <v>0</v>
      </c>
      <c r="R61">
        <v>0</v>
      </c>
      <c r="S61">
        <v>0</v>
      </c>
      <c r="T61">
        <v>0</v>
      </c>
      <c r="U61">
        <v>0.75918224842272497</v>
      </c>
      <c r="V61" t="s">
        <v>78</v>
      </c>
      <c r="W61">
        <v>3879921.8757872698</v>
      </c>
      <c r="X61" t="s">
        <v>76</v>
      </c>
      <c r="Y61">
        <v>-1.5707963267949001</v>
      </c>
      <c r="Z61">
        <v>0.75246531917090298</v>
      </c>
      <c r="AA61">
        <v>0</v>
      </c>
      <c r="AB61">
        <v>4.3750829089174999E-2</v>
      </c>
      <c r="AC61">
        <v>0</v>
      </c>
      <c r="AD61">
        <v>7.9516787634418308E-3</v>
      </c>
      <c r="AE61">
        <v>9.8963922959291305E-3</v>
      </c>
      <c r="AF61">
        <v>0</v>
      </c>
      <c r="AG61">
        <v>0.23324897549378301</v>
      </c>
      <c r="AH61">
        <v>0.12704967069986001</v>
      </c>
      <c r="AI61">
        <v>0.56325687459116403</v>
      </c>
      <c r="AJ61" t="s">
        <v>74</v>
      </c>
      <c r="AK61">
        <v>0</v>
      </c>
      <c r="AL61" t="s">
        <v>77</v>
      </c>
      <c r="AM61">
        <v>0</v>
      </c>
      <c r="AN61">
        <v>0.99199999999999999</v>
      </c>
      <c r="AO61">
        <v>0</v>
      </c>
      <c r="AP61">
        <v>5.8245346242475203E-2</v>
      </c>
      <c r="AQ61">
        <v>0</v>
      </c>
      <c r="AR61">
        <v>1.6E-2</v>
      </c>
      <c r="AS61">
        <v>0</v>
      </c>
      <c r="AT61">
        <v>0</v>
      </c>
      <c r="AU61">
        <v>0</v>
      </c>
      <c r="AV61">
        <v>0</v>
      </c>
      <c r="AW61">
        <v>1</v>
      </c>
      <c r="AX61" t="s">
        <v>74</v>
      </c>
      <c r="AY61">
        <v>0</v>
      </c>
      <c r="AZ61" t="s">
        <v>76</v>
      </c>
      <c r="BA61">
        <v>-1.5707963267949001</v>
      </c>
      <c r="BB61">
        <v>0.99199999999999999</v>
      </c>
      <c r="BC61">
        <v>0</v>
      </c>
      <c r="BD61">
        <v>5.8245346242475203E-2</v>
      </c>
      <c r="BE61">
        <v>0</v>
      </c>
      <c r="BF61">
        <v>1.6E-2</v>
      </c>
      <c r="BG61">
        <v>0</v>
      </c>
      <c r="BH61">
        <v>0</v>
      </c>
      <c r="BI61">
        <v>0</v>
      </c>
      <c r="BJ61">
        <v>0</v>
      </c>
      <c r="BK61">
        <v>1</v>
      </c>
      <c r="BL61">
        <v>1.02233158723328E-4</v>
      </c>
      <c r="BM61">
        <v>1.80149323096822E-4</v>
      </c>
      <c r="BN61" s="1">
        <v>3.8034724361944101E-7</v>
      </c>
      <c r="BO61" s="1">
        <v>2.82977894995074E-6</v>
      </c>
      <c r="BP61">
        <v>0</v>
      </c>
      <c r="BQ61">
        <v>0</v>
      </c>
      <c r="BR61" s="1">
        <v>5.7735365507474698E-5</v>
      </c>
      <c r="BS61">
        <v>1.0317040866991899E-4</v>
      </c>
    </row>
    <row r="62" spans="1:71" x14ac:dyDescent="0.25">
      <c r="A62">
        <v>59</v>
      </c>
      <c r="B62" s="1">
        <v>5.2862429584351798E-6</v>
      </c>
      <c r="C62">
        <v>0.13256323612616</v>
      </c>
      <c r="D62">
        <v>-4.9109843583415602E-4</v>
      </c>
      <c r="E62">
        <v>6.1312499999999995E-4</v>
      </c>
      <c r="F62">
        <v>-1.3256323612616E-3</v>
      </c>
      <c r="G62">
        <v>0</v>
      </c>
      <c r="H62" t="s">
        <v>74</v>
      </c>
      <c r="I62">
        <v>0</v>
      </c>
      <c r="J62" t="s">
        <v>75</v>
      </c>
      <c r="K62">
        <v>3.14159265358979</v>
      </c>
      <c r="L62">
        <v>0.749035721047981</v>
      </c>
      <c r="M62">
        <v>0</v>
      </c>
      <c r="N62">
        <v>4.3979682379457402E-2</v>
      </c>
      <c r="O62">
        <v>0</v>
      </c>
      <c r="P62">
        <v>1.6E-2</v>
      </c>
      <c r="Q62">
        <v>0</v>
      </c>
      <c r="R62">
        <v>0</v>
      </c>
      <c r="S62">
        <v>0</v>
      </c>
      <c r="T62">
        <v>0</v>
      </c>
      <c r="U62">
        <v>0.75500807043728302</v>
      </c>
      <c r="V62" t="s">
        <v>78</v>
      </c>
      <c r="W62">
        <v>3880126.1975690802</v>
      </c>
      <c r="X62" t="s">
        <v>76</v>
      </c>
      <c r="Y62">
        <v>-1.5707963267949001</v>
      </c>
      <c r="Z62">
        <v>0.74829265025163305</v>
      </c>
      <c r="AA62">
        <v>0</v>
      </c>
      <c r="AB62">
        <v>4.3506961164907897E-2</v>
      </c>
      <c r="AC62">
        <v>0</v>
      </c>
      <c r="AD62">
        <v>7.7860586336408501E-3</v>
      </c>
      <c r="AE62">
        <v>1.00652177047656E-2</v>
      </c>
      <c r="AF62">
        <v>0</v>
      </c>
      <c r="AG62">
        <v>0.23452911698777101</v>
      </c>
      <c r="AH62">
        <v>0.13206843027520801</v>
      </c>
      <c r="AI62">
        <v>0.55621213339077202</v>
      </c>
      <c r="AJ62" t="s">
        <v>74</v>
      </c>
      <c r="AK62">
        <v>0</v>
      </c>
      <c r="AL62" t="s">
        <v>77</v>
      </c>
      <c r="AM62">
        <v>0</v>
      </c>
      <c r="AN62">
        <v>0.99199999999999999</v>
      </c>
      <c r="AO62">
        <v>0</v>
      </c>
      <c r="AP62">
        <v>5.8245346242475203E-2</v>
      </c>
      <c r="AQ62">
        <v>0</v>
      </c>
      <c r="AR62">
        <v>1.6E-2</v>
      </c>
      <c r="AS62">
        <v>0</v>
      </c>
      <c r="AT62">
        <v>0</v>
      </c>
      <c r="AU62">
        <v>0</v>
      </c>
      <c r="AV62">
        <v>0</v>
      </c>
      <c r="AW62">
        <v>1</v>
      </c>
      <c r="AX62" t="s">
        <v>74</v>
      </c>
      <c r="AY62">
        <v>0</v>
      </c>
      <c r="AZ62" t="s">
        <v>76</v>
      </c>
      <c r="BA62">
        <v>-1.5707963267949001</v>
      </c>
      <c r="BB62">
        <v>0.99199999999999999</v>
      </c>
      <c r="BC62">
        <v>0</v>
      </c>
      <c r="BD62">
        <v>5.8245346242475203E-2</v>
      </c>
      <c r="BE62">
        <v>0</v>
      </c>
      <c r="BF62">
        <v>1.6E-2</v>
      </c>
      <c r="BG62">
        <v>0</v>
      </c>
      <c r="BH62">
        <v>0</v>
      </c>
      <c r="BI62">
        <v>0</v>
      </c>
      <c r="BJ62">
        <v>0</v>
      </c>
      <c r="BK62">
        <v>1</v>
      </c>
      <c r="BL62">
        <v>1.0198866801465799E-4</v>
      </c>
      <c r="BM62">
        <v>1.8329877363149001E-4</v>
      </c>
      <c r="BN62" s="1">
        <v>3.7943793795514399E-7</v>
      </c>
      <c r="BO62" s="1">
        <v>2.87925040326353E-6</v>
      </c>
      <c r="BP62">
        <v>0</v>
      </c>
      <c r="BQ62">
        <v>0</v>
      </c>
      <c r="BR62" s="1">
        <v>5.7580122742903299E-5</v>
      </c>
      <c r="BS62">
        <v>1.0497461097107601E-4</v>
      </c>
    </row>
    <row r="63" spans="1:71" x14ac:dyDescent="0.25">
      <c r="A63">
        <v>60</v>
      </c>
      <c r="B63" s="1">
        <v>5.25876783641914E-6</v>
      </c>
      <c r="C63">
        <v>0.132568494893996</v>
      </c>
      <c r="D63">
        <v>-4.9112198923907701E-4</v>
      </c>
      <c r="E63">
        <v>6.1312499999999995E-4</v>
      </c>
      <c r="F63">
        <v>-1.32568494893996E-3</v>
      </c>
      <c r="G63">
        <v>0</v>
      </c>
      <c r="H63" t="s">
        <v>74</v>
      </c>
      <c r="I63">
        <v>0</v>
      </c>
      <c r="J63" t="s">
        <v>75</v>
      </c>
      <c r="K63">
        <v>3.14159265358979</v>
      </c>
      <c r="L63">
        <v>0.74486194111489801</v>
      </c>
      <c r="M63">
        <v>0</v>
      </c>
      <c r="N63">
        <v>4.3734618611975203E-2</v>
      </c>
      <c r="O63">
        <v>0</v>
      </c>
      <c r="P63">
        <v>1.6E-2</v>
      </c>
      <c r="Q63">
        <v>0</v>
      </c>
      <c r="R63">
        <v>0</v>
      </c>
      <c r="S63">
        <v>0</v>
      </c>
      <c r="T63">
        <v>0</v>
      </c>
      <c r="U63">
        <v>0.75082354584176103</v>
      </c>
      <c r="V63" t="s">
        <v>78</v>
      </c>
      <c r="W63">
        <v>3880329.4520208798</v>
      </c>
      <c r="X63" t="s">
        <v>76</v>
      </c>
      <c r="Y63">
        <v>-1.5707963267949001</v>
      </c>
      <c r="Z63">
        <v>0.74412086263974198</v>
      </c>
      <c r="AA63">
        <v>0</v>
      </c>
      <c r="AB63">
        <v>4.3263164857421502E-2</v>
      </c>
      <c r="AC63">
        <v>0</v>
      </c>
      <c r="AD63">
        <v>7.6207479120240004E-3</v>
      </c>
      <c r="AE63">
        <v>1.02336767773261E-2</v>
      </c>
      <c r="AF63">
        <v>0</v>
      </c>
      <c r="AG63">
        <v>0.23568465859983201</v>
      </c>
      <c r="AH63">
        <v>0.13721051188942399</v>
      </c>
      <c r="AI63">
        <v>0.549191940192857</v>
      </c>
      <c r="AJ63" t="s">
        <v>74</v>
      </c>
      <c r="AK63">
        <v>0</v>
      </c>
      <c r="AL63" t="s">
        <v>77</v>
      </c>
      <c r="AM63">
        <v>0</v>
      </c>
      <c r="AN63">
        <v>0.99199999999999999</v>
      </c>
      <c r="AO63">
        <v>0</v>
      </c>
      <c r="AP63">
        <v>5.8245346242475203E-2</v>
      </c>
      <c r="AQ63">
        <v>0</v>
      </c>
      <c r="AR63">
        <v>1.6E-2</v>
      </c>
      <c r="AS63">
        <v>0</v>
      </c>
      <c r="AT63">
        <v>0</v>
      </c>
      <c r="AU63">
        <v>0</v>
      </c>
      <c r="AV63">
        <v>0</v>
      </c>
      <c r="AW63">
        <v>1</v>
      </c>
      <c r="AX63" t="s">
        <v>74</v>
      </c>
      <c r="AY63">
        <v>0</v>
      </c>
      <c r="AZ63" t="s">
        <v>76</v>
      </c>
      <c r="BA63">
        <v>-1.5707963267949001</v>
      </c>
      <c r="BB63">
        <v>0.99199999999999999</v>
      </c>
      <c r="BC63">
        <v>0</v>
      </c>
      <c r="BD63">
        <v>5.8245346242475203E-2</v>
      </c>
      <c r="BE63">
        <v>0</v>
      </c>
      <c r="BF63">
        <v>1.6E-2</v>
      </c>
      <c r="BG63">
        <v>0</v>
      </c>
      <c r="BH63">
        <v>0</v>
      </c>
      <c r="BI63">
        <v>0</v>
      </c>
      <c r="BJ63">
        <v>0</v>
      </c>
      <c r="BK63">
        <v>1</v>
      </c>
      <c r="BL63">
        <v>1.01744237977174E-4</v>
      </c>
      <c r="BM63">
        <v>1.86447585244628E-4</v>
      </c>
      <c r="BN63" s="1">
        <v>3.7852891640696198E-7</v>
      </c>
      <c r="BO63" s="1">
        <v>2.9287118204203999E-6</v>
      </c>
      <c r="BP63">
        <v>0</v>
      </c>
      <c r="BQ63">
        <v>0</v>
      </c>
      <c r="BR63" s="1">
        <v>5.7424913491874603E-5</v>
      </c>
      <c r="BS63">
        <v>1.06778462808213E-4</v>
      </c>
    </row>
    <row r="64" spans="1:71" x14ac:dyDescent="0.25">
      <c r="A64">
        <v>61</v>
      </c>
      <c r="B64" s="1">
        <v>5.2342785879011503E-6</v>
      </c>
      <c r="C64">
        <v>0.132573729172584</v>
      </c>
      <c r="D64">
        <v>-4.9114543234309905E-4</v>
      </c>
      <c r="E64">
        <v>6.1312499999999995E-4</v>
      </c>
      <c r="F64">
        <v>-1.3257372917258401E-3</v>
      </c>
      <c r="G64">
        <v>0</v>
      </c>
      <c r="H64" t="s">
        <v>74</v>
      </c>
      <c r="I64">
        <v>0</v>
      </c>
      <c r="J64" t="s">
        <v>75</v>
      </c>
      <c r="K64">
        <v>3.14159265358979</v>
      </c>
      <c r="L64">
        <v>0.74068904156486703</v>
      </c>
      <c r="M64">
        <v>0</v>
      </c>
      <c r="N64">
        <v>4.34896065362428E-2</v>
      </c>
      <c r="O64">
        <v>0</v>
      </c>
      <c r="P64">
        <v>1.6E-2</v>
      </c>
      <c r="Q64">
        <v>0</v>
      </c>
      <c r="R64">
        <v>0</v>
      </c>
      <c r="S64">
        <v>0</v>
      </c>
      <c r="T64">
        <v>0</v>
      </c>
      <c r="U64">
        <v>0.746632108656753</v>
      </c>
      <c r="V64" t="s">
        <v>78</v>
      </c>
      <c r="W64">
        <v>3880531.7546294602</v>
      </c>
      <c r="X64" t="s">
        <v>76</v>
      </c>
      <c r="Y64">
        <v>-1.5707963267949001</v>
      </c>
      <c r="Z64">
        <v>0.73994998837611303</v>
      </c>
      <c r="AA64">
        <v>0</v>
      </c>
      <c r="AB64">
        <v>4.3019441213244698E-2</v>
      </c>
      <c r="AC64">
        <v>0</v>
      </c>
      <c r="AD64">
        <v>7.4557538528908004E-3</v>
      </c>
      <c r="AE64">
        <v>1.0401764579335599E-2</v>
      </c>
      <c r="AF64">
        <v>0</v>
      </c>
      <c r="AG64">
        <v>0.236713429714383</v>
      </c>
      <c r="AH64">
        <v>0.142478035631938</v>
      </c>
      <c r="AI64">
        <v>0.542196615395244</v>
      </c>
      <c r="AJ64" t="s">
        <v>74</v>
      </c>
      <c r="AK64">
        <v>0</v>
      </c>
      <c r="AL64" t="s">
        <v>77</v>
      </c>
      <c r="AM64">
        <v>0</v>
      </c>
      <c r="AN64">
        <v>0.99199999999999999</v>
      </c>
      <c r="AO64">
        <v>0</v>
      </c>
      <c r="AP64">
        <v>5.8245346242475203E-2</v>
      </c>
      <c r="AQ64">
        <v>0</v>
      </c>
      <c r="AR64">
        <v>1.6E-2</v>
      </c>
      <c r="AS64">
        <v>0</v>
      </c>
      <c r="AT64">
        <v>0</v>
      </c>
      <c r="AU64">
        <v>0</v>
      </c>
      <c r="AV64">
        <v>0</v>
      </c>
      <c r="AW64">
        <v>1</v>
      </c>
      <c r="AX64" t="s">
        <v>74</v>
      </c>
      <c r="AY64">
        <v>0</v>
      </c>
      <c r="AZ64" t="s">
        <v>76</v>
      </c>
      <c r="BA64">
        <v>-1.5707963267949001</v>
      </c>
      <c r="BB64">
        <v>0.99199999999999999</v>
      </c>
      <c r="BC64">
        <v>0</v>
      </c>
      <c r="BD64">
        <v>5.8245346242475203E-2</v>
      </c>
      <c r="BE64">
        <v>0</v>
      </c>
      <c r="BF64">
        <v>1.6E-2</v>
      </c>
      <c r="BG64">
        <v>0</v>
      </c>
      <c r="BH64">
        <v>0</v>
      </c>
      <c r="BI64">
        <v>0</v>
      </c>
      <c r="BJ64">
        <v>0</v>
      </c>
      <c r="BK64">
        <v>1</v>
      </c>
      <c r="BL64">
        <v>1.01499870117219E-4</v>
      </c>
      <c r="BM64">
        <v>1.8959573267315999E-4</v>
      </c>
      <c r="BN64" s="1">
        <v>3.7762018217544598E-7</v>
      </c>
      <c r="BO64" s="1">
        <v>2.9781628045898698E-6</v>
      </c>
      <c r="BP64">
        <v>0</v>
      </c>
      <c r="BQ64">
        <v>0</v>
      </c>
      <c r="BR64" s="1">
        <v>5.7269738928255901E-5</v>
      </c>
      <c r="BS64">
        <v>1.08581949875533E-4</v>
      </c>
    </row>
    <row r="65" spans="1:71" x14ac:dyDescent="0.25">
      <c r="A65">
        <v>62</v>
      </c>
      <c r="B65" s="1">
        <v>5.2127420590334801E-6</v>
      </c>
      <c r="C65">
        <v>0.13257894191464301</v>
      </c>
      <c r="D65">
        <v>-4.91168778379053E-4</v>
      </c>
      <c r="E65">
        <v>6.1312499999999995E-4</v>
      </c>
      <c r="F65">
        <v>-1.32578941914643E-3</v>
      </c>
      <c r="G65" s="1">
        <v>1.0842021724855E-19</v>
      </c>
      <c r="H65" t="s">
        <v>74</v>
      </c>
      <c r="I65">
        <v>0</v>
      </c>
      <c r="J65" t="s">
        <v>75</v>
      </c>
      <c r="K65">
        <v>3.14159265358979</v>
      </c>
      <c r="L65">
        <v>0.73651705791400102</v>
      </c>
      <c r="M65">
        <v>0</v>
      </c>
      <c r="N65">
        <v>4.3244648237590902E-2</v>
      </c>
      <c r="O65">
        <v>0</v>
      </c>
      <c r="P65">
        <v>1.6E-2</v>
      </c>
      <c r="Q65">
        <v>0</v>
      </c>
      <c r="R65">
        <v>0</v>
      </c>
      <c r="S65">
        <v>0</v>
      </c>
      <c r="T65">
        <v>0</v>
      </c>
      <c r="U65">
        <v>0.74243649547628199</v>
      </c>
      <c r="V65" t="s">
        <v>78</v>
      </c>
      <c r="W65">
        <v>3880733.21958774</v>
      </c>
      <c r="X65" t="s">
        <v>76</v>
      </c>
      <c r="Y65">
        <v>-1.5707963267949001</v>
      </c>
      <c r="Z65">
        <v>0.73578006156986098</v>
      </c>
      <c r="AA65">
        <v>0</v>
      </c>
      <c r="AB65">
        <v>4.2775791422616102E-2</v>
      </c>
      <c r="AC65">
        <v>0</v>
      </c>
      <c r="AD65">
        <v>7.2910837525715401E-3</v>
      </c>
      <c r="AE65">
        <v>1.05694760453013E-2</v>
      </c>
      <c r="AF65">
        <v>0</v>
      </c>
      <c r="AG65">
        <v>0.23761317324828399</v>
      </c>
      <c r="AH65">
        <v>0.14787320499727299</v>
      </c>
      <c r="AI65">
        <v>0.53522648077862001</v>
      </c>
      <c r="AJ65" t="s">
        <v>74</v>
      </c>
      <c r="AK65">
        <v>0</v>
      </c>
      <c r="AL65" t="s">
        <v>77</v>
      </c>
      <c r="AM65">
        <v>0</v>
      </c>
      <c r="AN65">
        <v>0.99199999999999999</v>
      </c>
      <c r="AO65">
        <v>0</v>
      </c>
      <c r="AP65">
        <v>5.8245346242475203E-2</v>
      </c>
      <c r="AQ65">
        <v>0</v>
      </c>
      <c r="AR65">
        <v>1.6E-2</v>
      </c>
      <c r="AS65">
        <v>0</v>
      </c>
      <c r="AT65">
        <v>0</v>
      </c>
      <c r="AU65">
        <v>0</v>
      </c>
      <c r="AV65">
        <v>0</v>
      </c>
      <c r="AW65">
        <v>1</v>
      </c>
      <c r="AX65" t="s">
        <v>74</v>
      </c>
      <c r="AY65">
        <v>0</v>
      </c>
      <c r="AZ65" t="s">
        <v>76</v>
      </c>
      <c r="BA65">
        <v>-1.5707963267949001</v>
      </c>
      <c r="BB65">
        <v>0.99199999999999999</v>
      </c>
      <c r="BC65">
        <v>0</v>
      </c>
      <c r="BD65">
        <v>5.8245346242475203E-2</v>
      </c>
      <c r="BE65">
        <v>0</v>
      </c>
      <c r="BF65">
        <v>1.6E-2</v>
      </c>
      <c r="BG65">
        <v>0</v>
      </c>
      <c r="BH65">
        <v>0</v>
      </c>
      <c r="BI65">
        <v>0</v>
      </c>
      <c r="BJ65">
        <v>0</v>
      </c>
      <c r="BK65">
        <v>1</v>
      </c>
      <c r="BL65">
        <v>1.0125556607257899E-4</v>
      </c>
      <c r="BM65">
        <v>1.9274318912277901E-4</v>
      </c>
      <c r="BN65" s="1">
        <v>3.7671173901638802E-7</v>
      </c>
      <c r="BO65" s="1">
        <v>3.02760293488795E-6</v>
      </c>
      <c r="BP65">
        <v>0</v>
      </c>
      <c r="BQ65">
        <v>0</v>
      </c>
      <c r="BR65" s="1">
        <v>5.7114600303728001E-5</v>
      </c>
      <c r="BS65">
        <v>1.10385057007169E-4</v>
      </c>
    </row>
    <row r="66" spans="1:71" x14ac:dyDescent="0.25">
      <c r="A66">
        <v>63</v>
      </c>
      <c r="B66" s="1">
        <v>5.1941359336936901E-6</v>
      </c>
      <c r="C66">
        <v>0.13258413605057701</v>
      </c>
      <c r="D66">
        <v>-4.9119204047841196E-4</v>
      </c>
      <c r="E66">
        <v>6.1312499999999995E-4</v>
      </c>
      <c r="F66">
        <v>-1.3258413605057699E-3</v>
      </c>
      <c r="G66" s="1">
        <v>1.0842021724855E-19</v>
      </c>
      <c r="H66" t="s">
        <v>74</v>
      </c>
      <c r="I66">
        <v>0</v>
      </c>
      <c r="J66" t="s">
        <v>75</v>
      </c>
      <c r="K66">
        <v>3.14159265358979</v>
      </c>
      <c r="L66">
        <v>0.73234602787636904</v>
      </c>
      <c r="M66">
        <v>0</v>
      </c>
      <c r="N66">
        <v>4.2999745930403697E-2</v>
      </c>
      <c r="O66">
        <v>0</v>
      </c>
      <c r="P66">
        <v>1.6E-2</v>
      </c>
      <c r="Q66">
        <v>0</v>
      </c>
      <c r="R66">
        <v>0</v>
      </c>
      <c r="S66">
        <v>0</v>
      </c>
      <c r="T66">
        <v>0</v>
      </c>
      <c r="U66">
        <v>0.73823848107060697</v>
      </c>
      <c r="V66" t="s">
        <v>78</v>
      </c>
      <c r="W66">
        <v>3880933.9602139401</v>
      </c>
      <c r="X66" t="s">
        <v>76</v>
      </c>
      <c r="Y66">
        <v>-1.5707963267949001</v>
      </c>
      <c r="Z66">
        <v>0.73161111856163197</v>
      </c>
      <c r="AA66">
        <v>0</v>
      </c>
      <c r="AB66">
        <v>4.2532216826185798E-2</v>
      </c>
      <c r="AC66">
        <v>0</v>
      </c>
      <c r="AD66">
        <v>7.1267449643941799E-3</v>
      </c>
      <c r="AE66">
        <v>1.0736805971265801E-2</v>
      </c>
      <c r="AF66">
        <v>0</v>
      </c>
      <c r="AG66">
        <v>0.238381540280348</v>
      </c>
      <c r="AH66">
        <v>0.153398312001605</v>
      </c>
      <c r="AI66">
        <v>0.52828186002604105</v>
      </c>
      <c r="AJ66" t="s">
        <v>74</v>
      </c>
      <c r="AK66">
        <v>0</v>
      </c>
      <c r="AL66" t="s">
        <v>77</v>
      </c>
      <c r="AM66">
        <v>0</v>
      </c>
      <c r="AN66">
        <v>0.99199999999999999</v>
      </c>
      <c r="AO66">
        <v>0</v>
      </c>
      <c r="AP66">
        <v>5.8245346242475203E-2</v>
      </c>
      <c r="AQ66">
        <v>0</v>
      </c>
      <c r="AR66">
        <v>1.6E-2</v>
      </c>
      <c r="AS66">
        <v>0</v>
      </c>
      <c r="AT66">
        <v>0</v>
      </c>
      <c r="AU66">
        <v>0</v>
      </c>
      <c r="AV66">
        <v>0</v>
      </c>
      <c r="AW66">
        <v>1</v>
      </c>
      <c r="AX66" t="s">
        <v>74</v>
      </c>
      <c r="AY66">
        <v>0</v>
      </c>
      <c r="AZ66" t="s">
        <v>76</v>
      </c>
      <c r="BA66">
        <v>-1.5707963267949001</v>
      </c>
      <c r="BB66">
        <v>0.99199999999999999</v>
      </c>
      <c r="BC66">
        <v>0</v>
      </c>
      <c r="BD66">
        <v>5.8245346242475203E-2</v>
      </c>
      <c r="BE66">
        <v>0</v>
      </c>
      <c r="BF66">
        <v>1.6E-2</v>
      </c>
      <c r="BG66">
        <v>0</v>
      </c>
      <c r="BH66">
        <v>0</v>
      </c>
      <c r="BI66">
        <v>0</v>
      </c>
      <c r="BJ66">
        <v>0</v>
      </c>
      <c r="BK66">
        <v>1</v>
      </c>
      <c r="BL66">
        <v>1.0101132762077E-4</v>
      </c>
      <c r="BM66">
        <v>1.9588992614097601E-4</v>
      </c>
      <c r="BN66" s="1">
        <v>3.7580359126339503E-7</v>
      </c>
      <c r="BO66" s="1">
        <v>3.0770317643836898E-6</v>
      </c>
      <c r="BP66">
        <v>0</v>
      </c>
      <c r="BQ66">
        <v>0</v>
      </c>
      <c r="BR66" s="1">
        <v>5.6959498953796602E-5</v>
      </c>
      <c r="BS66">
        <v>1.12187768105314E-4</v>
      </c>
    </row>
    <row r="67" spans="1:71" x14ac:dyDescent="0.25">
      <c r="A67">
        <v>64</v>
      </c>
      <c r="B67" s="1">
        <v>5.1784487394343298E-6</v>
      </c>
      <c r="C67">
        <v>0.13258931449931599</v>
      </c>
      <c r="D67">
        <v>-4.9121523171987498E-4</v>
      </c>
      <c r="E67">
        <v>6.1312499999999995E-4</v>
      </c>
      <c r="F67">
        <v>-1.3258931449931599E-3</v>
      </c>
      <c r="G67" s="1">
        <v>1.0842021724855E-19</v>
      </c>
      <c r="H67" t="s">
        <v>74</v>
      </c>
      <c r="I67">
        <v>0</v>
      </c>
      <c r="J67" t="s">
        <v>75</v>
      </c>
      <c r="K67">
        <v>3.14159265358979</v>
      </c>
      <c r="L67">
        <v>0.728175991550152</v>
      </c>
      <c r="M67">
        <v>0</v>
      </c>
      <c r="N67">
        <v>4.27549019690487E-2</v>
      </c>
      <c r="O67">
        <v>0</v>
      </c>
      <c r="P67">
        <v>1.6E-2</v>
      </c>
      <c r="Q67">
        <v>0</v>
      </c>
      <c r="R67">
        <v>0</v>
      </c>
      <c r="S67">
        <v>0</v>
      </c>
      <c r="T67">
        <v>0</v>
      </c>
      <c r="U67">
        <v>0.73403924889195105</v>
      </c>
      <c r="V67" t="s">
        <v>78</v>
      </c>
      <c r="W67">
        <v>3881134.0893708901</v>
      </c>
      <c r="X67" t="s">
        <v>76</v>
      </c>
      <c r="Y67">
        <v>-1.5707963267949001</v>
      </c>
      <c r="Z67">
        <v>0.727443198104888</v>
      </c>
      <c r="AA67">
        <v>0</v>
      </c>
      <c r="AB67">
        <v>4.2288718922847399E-2</v>
      </c>
      <c r="AC67">
        <v>0</v>
      </c>
      <c r="AD67">
        <v>6.9627449138573898E-3</v>
      </c>
      <c r="AE67">
        <v>1.0903749006933101E-2</v>
      </c>
      <c r="AF67">
        <v>0</v>
      </c>
      <c r="AG67">
        <v>0.23901608422860399</v>
      </c>
      <c r="AH67">
        <v>0.15905574272461501</v>
      </c>
      <c r="AI67">
        <v>0.52136307924491798</v>
      </c>
      <c r="AJ67" t="s">
        <v>74</v>
      </c>
      <c r="AK67">
        <v>0</v>
      </c>
      <c r="AL67" t="s">
        <v>77</v>
      </c>
      <c r="AM67">
        <v>0</v>
      </c>
      <c r="AN67">
        <v>0.99199999999999999</v>
      </c>
      <c r="AO67">
        <v>0</v>
      </c>
      <c r="AP67">
        <v>5.8245346242475203E-2</v>
      </c>
      <c r="AQ67">
        <v>0</v>
      </c>
      <c r="AR67">
        <v>1.6E-2</v>
      </c>
      <c r="AS67">
        <v>0</v>
      </c>
      <c r="AT67">
        <v>0</v>
      </c>
      <c r="AU67">
        <v>0</v>
      </c>
      <c r="AV67">
        <v>0</v>
      </c>
      <c r="AW67">
        <v>1</v>
      </c>
      <c r="AX67" t="s">
        <v>74</v>
      </c>
      <c r="AY67">
        <v>0</v>
      </c>
      <c r="AZ67" t="s">
        <v>76</v>
      </c>
      <c r="BA67">
        <v>-1.5707963267949001</v>
      </c>
      <c r="BB67">
        <v>0.99199999999999999</v>
      </c>
      <c r="BC67">
        <v>0</v>
      </c>
      <c r="BD67">
        <v>5.8245346242475203E-2</v>
      </c>
      <c r="BE67">
        <v>0</v>
      </c>
      <c r="BF67">
        <v>1.6E-2</v>
      </c>
      <c r="BG67">
        <v>0</v>
      </c>
      <c r="BH67">
        <v>0</v>
      </c>
      <c r="BI67">
        <v>0</v>
      </c>
      <c r="BJ67">
        <v>0</v>
      </c>
      <c r="BK67">
        <v>1</v>
      </c>
      <c r="BL67">
        <v>1.00767156688423E-4</v>
      </c>
      <c r="BM67">
        <v>1.9903591347660999E-4</v>
      </c>
      <c r="BN67" s="1">
        <v>3.7489574385474901E-7</v>
      </c>
      <c r="BO67" s="1">
        <v>3.1264488178932498E-6</v>
      </c>
      <c r="BP67">
        <v>0</v>
      </c>
      <c r="BQ67">
        <v>0</v>
      </c>
      <c r="BR67" s="1">
        <v>5.6804436304477499E-5</v>
      </c>
      <c r="BS67">
        <v>1.1399006606074999E-4</v>
      </c>
    </row>
    <row r="68" spans="1:71" x14ac:dyDescent="0.25">
      <c r="A68">
        <v>65</v>
      </c>
      <c r="B68" s="1">
        <v>5.1656799595321402E-6</v>
      </c>
      <c r="C68">
        <v>0.132594480179276</v>
      </c>
      <c r="D68">
        <v>-4.9123836517845298E-4</v>
      </c>
      <c r="E68">
        <v>6.1312499999999995E-4</v>
      </c>
      <c r="F68">
        <v>-1.3259448017927599E-3</v>
      </c>
      <c r="G68" s="1">
        <v>1.0842021724855E-19</v>
      </c>
      <c r="H68" t="s">
        <v>74</v>
      </c>
      <c r="I68">
        <v>0</v>
      </c>
      <c r="J68" t="s">
        <v>75</v>
      </c>
      <c r="K68">
        <v>3.14159265358979</v>
      </c>
      <c r="L68">
        <v>0.72400699162374604</v>
      </c>
      <c r="M68">
        <v>0</v>
      </c>
      <c r="N68">
        <v>4.2510118859977797E-2</v>
      </c>
      <c r="O68">
        <v>0</v>
      </c>
      <c r="P68">
        <v>1.6E-2</v>
      </c>
      <c r="Q68">
        <v>0</v>
      </c>
      <c r="R68">
        <v>0</v>
      </c>
      <c r="S68">
        <v>0</v>
      </c>
      <c r="T68">
        <v>0</v>
      </c>
      <c r="U68">
        <v>0.72983959274640198</v>
      </c>
      <c r="V68" t="s">
        <v>78</v>
      </c>
      <c r="W68">
        <v>3881333.7198895901</v>
      </c>
      <c r="X68" t="s">
        <v>76</v>
      </c>
      <c r="Y68">
        <v>-1.5707963267949001</v>
      </c>
      <c r="Z68">
        <v>0.72327634156722198</v>
      </c>
      <c r="AA68">
        <v>0</v>
      </c>
      <c r="AB68">
        <v>4.2045299378794497E-2</v>
      </c>
      <c r="AC68">
        <v>0</v>
      </c>
      <c r="AD68">
        <v>6.7990911141437797E-3</v>
      </c>
      <c r="AE68">
        <v>1.10702996470973E-2</v>
      </c>
      <c r="AF68">
        <v>0</v>
      </c>
      <c r="AG68">
        <v>0.239514254527572</v>
      </c>
      <c r="AH68">
        <v>0.16484798332124101</v>
      </c>
      <c r="AI68">
        <v>0.514470467495865</v>
      </c>
      <c r="AJ68" t="s">
        <v>74</v>
      </c>
      <c r="AK68">
        <v>0</v>
      </c>
      <c r="AL68" t="s">
        <v>77</v>
      </c>
      <c r="AM68">
        <v>0</v>
      </c>
      <c r="AN68">
        <v>0.99199999999999999</v>
      </c>
      <c r="AO68">
        <v>0</v>
      </c>
      <c r="AP68">
        <v>5.8245346242475203E-2</v>
      </c>
      <c r="AQ68">
        <v>0</v>
      </c>
      <c r="AR68">
        <v>1.6E-2</v>
      </c>
      <c r="AS68">
        <v>0</v>
      </c>
      <c r="AT68">
        <v>0</v>
      </c>
      <c r="AU68">
        <v>0</v>
      </c>
      <c r="AV68">
        <v>0</v>
      </c>
      <c r="AW68">
        <v>1</v>
      </c>
      <c r="AX68" t="s">
        <v>74</v>
      </c>
      <c r="AY68">
        <v>0</v>
      </c>
      <c r="AZ68" t="s">
        <v>76</v>
      </c>
      <c r="BA68">
        <v>-1.5707963267949001</v>
      </c>
      <c r="BB68">
        <v>0.99199999999999999</v>
      </c>
      <c r="BC68">
        <v>0</v>
      </c>
      <c r="BD68">
        <v>5.8245346242475203E-2</v>
      </c>
      <c r="BE68">
        <v>0</v>
      </c>
      <c r="BF68">
        <v>1.6E-2</v>
      </c>
      <c r="BG68">
        <v>0</v>
      </c>
      <c r="BH68">
        <v>0</v>
      </c>
      <c r="BI68">
        <v>0</v>
      </c>
      <c r="BJ68">
        <v>0</v>
      </c>
      <c r="BK68">
        <v>1</v>
      </c>
      <c r="BL68">
        <v>1.00523055361861E-4</v>
      </c>
      <c r="BM68">
        <v>2.0218111892440701E-4</v>
      </c>
      <c r="BN68" s="1">
        <v>3.7398820236486899E-7</v>
      </c>
      <c r="BO68" s="1">
        <v>3.1758535895374001E-6</v>
      </c>
      <c r="BP68">
        <v>0</v>
      </c>
      <c r="BQ68">
        <v>0</v>
      </c>
      <c r="BR68" s="1">
        <v>5.6649413879729899E-5</v>
      </c>
      <c r="BS68">
        <v>1.1579193266488E-4</v>
      </c>
    </row>
    <row r="69" spans="1:71" x14ac:dyDescent="0.25">
      <c r="A69">
        <v>66</v>
      </c>
      <c r="B69" s="1">
        <v>5.1558402548906403E-6</v>
      </c>
      <c r="C69">
        <v>0.13259963601953101</v>
      </c>
      <c r="D69">
        <v>-4.9126145397553099E-4</v>
      </c>
      <c r="E69">
        <v>6.1312499999999995E-4</v>
      </c>
      <c r="F69">
        <v>-1.3259963601953101E-3</v>
      </c>
      <c r="G69">
        <v>0</v>
      </c>
      <c r="H69" t="s">
        <v>74</v>
      </c>
      <c r="I69">
        <v>0</v>
      </c>
      <c r="J69" t="s">
        <v>75</v>
      </c>
      <c r="K69">
        <v>3.14159265358979</v>
      </c>
      <c r="L69">
        <v>0.71983907360473998</v>
      </c>
      <c r="M69">
        <v>0</v>
      </c>
      <c r="N69">
        <v>4.2265399275171998E-2</v>
      </c>
      <c r="O69">
        <v>0</v>
      </c>
      <c r="P69">
        <v>1.6E-2</v>
      </c>
      <c r="Q69">
        <v>0</v>
      </c>
      <c r="R69">
        <v>0</v>
      </c>
      <c r="S69">
        <v>0</v>
      </c>
      <c r="T69">
        <v>0</v>
      </c>
      <c r="U69">
        <v>0.72564005227519901</v>
      </c>
      <c r="V69" t="s">
        <v>78</v>
      </c>
      <c r="W69">
        <v>3881532.9650012199</v>
      </c>
      <c r="X69" t="s">
        <v>76</v>
      </c>
      <c r="Y69">
        <v>-1.5707963267949001</v>
      </c>
      <c r="Z69">
        <v>0.71911059315458703</v>
      </c>
      <c r="AA69">
        <v>0</v>
      </c>
      <c r="AB69">
        <v>4.18019600379438E-2</v>
      </c>
      <c r="AC69">
        <v>0</v>
      </c>
      <c r="AD69">
        <v>6.6357911821344597E-3</v>
      </c>
      <c r="AE69">
        <v>1.1236452222273799E-2</v>
      </c>
      <c r="AF69">
        <v>0</v>
      </c>
      <c r="AG69">
        <v>0.23987338975154299</v>
      </c>
      <c r="AH69">
        <v>0.17077762655289999</v>
      </c>
      <c r="AI69">
        <v>0.50760435733380505</v>
      </c>
      <c r="AJ69" t="s">
        <v>74</v>
      </c>
      <c r="AK69">
        <v>0</v>
      </c>
      <c r="AL69" t="s">
        <v>77</v>
      </c>
      <c r="AM69">
        <v>0</v>
      </c>
      <c r="AN69">
        <v>0.99199999999999999</v>
      </c>
      <c r="AO69">
        <v>0</v>
      </c>
      <c r="AP69">
        <v>5.8245346242475203E-2</v>
      </c>
      <c r="AQ69">
        <v>0</v>
      </c>
      <c r="AR69">
        <v>1.6E-2</v>
      </c>
      <c r="AS69">
        <v>0</v>
      </c>
      <c r="AT69">
        <v>0</v>
      </c>
      <c r="AU69">
        <v>0</v>
      </c>
      <c r="AV69">
        <v>0</v>
      </c>
      <c r="AW69">
        <v>1</v>
      </c>
      <c r="AX69" t="s">
        <v>74</v>
      </c>
      <c r="AY69">
        <v>0</v>
      </c>
      <c r="AZ69" t="s">
        <v>76</v>
      </c>
      <c r="BA69">
        <v>-1.5707963267949001</v>
      </c>
      <c r="BB69">
        <v>0.99199999999999999</v>
      </c>
      <c r="BC69">
        <v>0</v>
      </c>
      <c r="BD69">
        <v>5.8245346242475203E-2</v>
      </c>
      <c r="BE69">
        <v>0</v>
      </c>
      <c r="BF69">
        <v>1.6E-2</v>
      </c>
      <c r="BG69">
        <v>0</v>
      </c>
      <c r="BH69">
        <v>0</v>
      </c>
      <c r="BI69">
        <v>0</v>
      </c>
      <c r="BJ69">
        <v>0</v>
      </c>
      <c r="BK69">
        <v>1</v>
      </c>
      <c r="BL69">
        <v>1.0027902589903301E-4</v>
      </c>
      <c r="BM69">
        <v>2.05325508152221E-4</v>
      </c>
      <c r="BN69" s="1">
        <v>3.7308097304090501E-7</v>
      </c>
      <c r="BO69" s="1">
        <v>3.22524554002805E-6</v>
      </c>
      <c r="BP69">
        <v>0</v>
      </c>
      <c r="BQ69">
        <v>0</v>
      </c>
      <c r="BR69" s="1">
        <v>5.6494433309746399E-5</v>
      </c>
      <c r="BS69">
        <v>1.17593348512004E-4</v>
      </c>
    </row>
    <row r="70" spans="1:71" x14ac:dyDescent="0.25">
      <c r="A70">
        <v>67</v>
      </c>
      <c r="B70" s="1">
        <v>5.1489518029976401E-6</v>
      </c>
      <c r="C70">
        <v>0.13260478497133399</v>
      </c>
      <c r="D70">
        <v>-4.9128451133044395E-4</v>
      </c>
      <c r="E70">
        <v>6.1312499999999995E-4</v>
      </c>
      <c r="F70">
        <v>-1.32604784971334E-3</v>
      </c>
      <c r="G70">
        <v>0</v>
      </c>
      <c r="H70" t="s">
        <v>74</v>
      </c>
      <c r="I70">
        <v>0</v>
      </c>
      <c r="J70" t="s">
        <v>75</v>
      </c>
      <c r="K70">
        <v>3.14159265358979</v>
      </c>
      <c r="L70">
        <v>0.71567228607452205</v>
      </c>
      <c r="M70">
        <v>0</v>
      </c>
      <c r="N70">
        <v>4.2020746067090997E-2</v>
      </c>
      <c r="O70">
        <v>0</v>
      </c>
      <c r="P70">
        <v>1.6E-2</v>
      </c>
      <c r="Q70">
        <v>0</v>
      </c>
      <c r="R70">
        <v>0</v>
      </c>
      <c r="S70">
        <v>0</v>
      </c>
      <c r="T70">
        <v>0</v>
      </c>
      <c r="U70">
        <v>0.72144100188997995</v>
      </c>
      <c r="V70" t="s">
        <v>78</v>
      </c>
      <c r="W70">
        <v>3881731.93878223</v>
      </c>
      <c r="X70" t="s">
        <v>76</v>
      </c>
      <c r="Y70">
        <v>-1.5707963267949001</v>
      </c>
      <c r="Z70">
        <v>0.71494600016114696</v>
      </c>
      <c r="AA70">
        <v>0</v>
      </c>
      <c r="AB70">
        <v>4.1558702933857002E-2</v>
      </c>
      <c r="AC70">
        <v>0</v>
      </c>
      <c r="AD70">
        <v>6.4728528550748003E-3</v>
      </c>
      <c r="AE70">
        <v>1.1402200888438199E-2</v>
      </c>
      <c r="AF70">
        <v>0</v>
      </c>
      <c r="AG70">
        <v>0.24009071012295599</v>
      </c>
      <c r="AH70">
        <v>0.17684737889494301</v>
      </c>
      <c r="AI70">
        <v>0.50076508536611397</v>
      </c>
      <c r="AJ70" t="s">
        <v>74</v>
      </c>
      <c r="AK70">
        <v>0</v>
      </c>
      <c r="AL70" t="s">
        <v>77</v>
      </c>
      <c r="AM70">
        <v>0</v>
      </c>
      <c r="AN70">
        <v>0.99199999999999999</v>
      </c>
      <c r="AO70">
        <v>0</v>
      </c>
      <c r="AP70">
        <v>5.8245346242475203E-2</v>
      </c>
      <c r="AQ70">
        <v>0</v>
      </c>
      <c r="AR70">
        <v>1.6E-2</v>
      </c>
      <c r="AS70">
        <v>0</v>
      </c>
      <c r="AT70">
        <v>0</v>
      </c>
      <c r="AU70">
        <v>0</v>
      </c>
      <c r="AV70">
        <v>0</v>
      </c>
      <c r="AW70">
        <v>1</v>
      </c>
      <c r="AX70" t="s">
        <v>74</v>
      </c>
      <c r="AY70">
        <v>0</v>
      </c>
      <c r="AZ70" t="s">
        <v>76</v>
      </c>
      <c r="BA70">
        <v>-1.5707963267949001</v>
      </c>
      <c r="BB70">
        <v>0.99199999999999999</v>
      </c>
      <c r="BC70">
        <v>0</v>
      </c>
      <c r="BD70">
        <v>5.8245346242475203E-2</v>
      </c>
      <c r="BE70">
        <v>0</v>
      </c>
      <c r="BF70">
        <v>1.6E-2</v>
      </c>
      <c r="BG70">
        <v>0</v>
      </c>
      <c r="BH70">
        <v>0</v>
      </c>
      <c r="BI70">
        <v>0</v>
      </c>
      <c r="BJ70">
        <v>0</v>
      </c>
      <c r="BK70">
        <v>1</v>
      </c>
      <c r="BL70">
        <v>1.00035070742949E-4</v>
      </c>
      <c r="BM70">
        <v>2.0846904450894999E-4</v>
      </c>
      <c r="BN70" s="1">
        <v>3.72174062844908E-7</v>
      </c>
      <c r="BO70" s="1">
        <v>3.2746240936509999E-6</v>
      </c>
      <c r="BP70">
        <v>0</v>
      </c>
      <c r="BQ70">
        <v>0</v>
      </c>
      <c r="BR70" s="1">
        <v>5.6339496340198099E-5</v>
      </c>
      <c r="BS70">
        <v>1.19394292890679E-4</v>
      </c>
    </row>
    <row r="71" spans="1:71" x14ac:dyDescent="0.25">
      <c r="A71">
        <v>68</v>
      </c>
      <c r="B71" s="1">
        <v>5.14504876227321E-6</v>
      </c>
      <c r="C71">
        <v>0.132609930020096</v>
      </c>
      <c r="D71">
        <v>-4.9130755061412002E-4</v>
      </c>
      <c r="E71">
        <v>6.1312499999999995E-4</v>
      </c>
      <c r="F71">
        <v>-1.3260993002009601E-3</v>
      </c>
      <c r="G71" s="1">
        <v>1.0842021724855E-19</v>
      </c>
      <c r="H71" t="s">
        <v>74</v>
      </c>
      <c r="I71">
        <v>0</v>
      </c>
      <c r="J71" t="s">
        <v>75</v>
      </c>
      <c r="K71">
        <v>3.14159265358979</v>
      </c>
      <c r="L71">
        <v>0.71150668097236003</v>
      </c>
      <c r="M71">
        <v>0</v>
      </c>
      <c r="N71">
        <v>4.1776162285352303E-2</v>
      </c>
      <c r="O71">
        <v>0</v>
      </c>
      <c r="P71">
        <v>1.6E-2</v>
      </c>
      <c r="Q71">
        <v>0</v>
      </c>
      <c r="R71">
        <v>0</v>
      </c>
      <c r="S71">
        <v>0</v>
      </c>
      <c r="T71">
        <v>0</v>
      </c>
      <c r="U71">
        <v>0.71724270908605203</v>
      </c>
      <c r="V71" t="s">
        <v>78</v>
      </c>
      <c r="W71">
        <v>3881930.7566172499</v>
      </c>
      <c r="X71" t="s">
        <v>76</v>
      </c>
      <c r="Y71">
        <v>-1.5707963267949001</v>
      </c>
      <c r="Z71">
        <v>0.71078261324853398</v>
      </c>
      <c r="AA71">
        <v>0</v>
      </c>
      <c r="AB71">
        <v>4.1315530303356302E-2</v>
      </c>
      <c r="AC71">
        <v>0</v>
      </c>
      <c r="AD71">
        <v>6.3102840080794097E-3</v>
      </c>
      <c r="AE71">
        <v>1.15675396157445E-2</v>
      </c>
      <c r="AF71">
        <v>0</v>
      </c>
      <c r="AG71">
        <v>0.24016330933671901</v>
      </c>
      <c r="AH71">
        <v>0.18306006828370899</v>
      </c>
      <c r="AI71">
        <v>0.493952992833952</v>
      </c>
      <c r="AJ71" t="s">
        <v>74</v>
      </c>
      <c r="AK71">
        <v>0</v>
      </c>
      <c r="AL71" t="s">
        <v>77</v>
      </c>
      <c r="AM71">
        <v>0</v>
      </c>
      <c r="AN71">
        <v>0.99199999999999999</v>
      </c>
      <c r="AO71">
        <v>0</v>
      </c>
      <c r="AP71">
        <v>5.8245346242475203E-2</v>
      </c>
      <c r="AQ71">
        <v>0</v>
      </c>
      <c r="AR71">
        <v>1.6E-2</v>
      </c>
      <c r="AS71">
        <v>0</v>
      </c>
      <c r="AT71">
        <v>0</v>
      </c>
      <c r="AU71">
        <v>0</v>
      </c>
      <c r="AV71">
        <v>0</v>
      </c>
      <c r="AW71">
        <v>1</v>
      </c>
      <c r="AX71" t="s">
        <v>74</v>
      </c>
      <c r="AY71">
        <v>0</v>
      </c>
      <c r="AZ71" t="s">
        <v>76</v>
      </c>
      <c r="BA71">
        <v>-1.5707963267949001</v>
      </c>
      <c r="BB71">
        <v>0.99199999999999999</v>
      </c>
      <c r="BC71">
        <v>0</v>
      </c>
      <c r="BD71">
        <v>5.8245346242475203E-2</v>
      </c>
      <c r="BE71">
        <v>0</v>
      </c>
      <c r="BF71">
        <v>1.6E-2</v>
      </c>
      <c r="BG71">
        <v>0</v>
      </c>
      <c r="BH71">
        <v>0</v>
      </c>
      <c r="BI71">
        <v>0</v>
      </c>
      <c r="BJ71">
        <v>0</v>
      </c>
      <c r="BK71">
        <v>1</v>
      </c>
      <c r="BL71" s="1">
        <v>9.9791192536829505E-5</v>
      </c>
      <c r="BM71">
        <v>2.11611688810214E-4</v>
      </c>
      <c r="BN71" s="1">
        <v>3.71267479502302E-7</v>
      </c>
      <c r="BO71" s="1">
        <v>3.32398863489949E-6</v>
      </c>
      <c r="BP71">
        <v>0</v>
      </c>
      <c r="BQ71">
        <v>0</v>
      </c>
      <c r="BR71" s="1">
        <v>5.6184604842576702E-5</v>
      </c>
      <c r="BS71">
        <v>1.2119474366251E-4</v>
      </c>
    </row>
    <row r="72" spans="1:71" x14ac:dyDescent="0.25">
      <c r="A72">
        <v>69</v>
      </c>
      <c r="B72" s="1">
        <v>5.1441778739660897E-6</v>
      </c>
      <c r="C72">
        <v>0.13261507419797</v>
      </c>
      <c r="D72">
        <v>-4.9133058540540904E-4</v>
      </c>
      <c r="E72">
        <v>6.1312499999999995E-4</v>
      </c>
      <c r="F72">
        <v>-1.3261507419797E-3</v>
      </c>
      <c r="G72">
        <v>0</v>
      </c>
      <c r="H72" t="s">
        <v>74</v>
      </c>
      <c r="I72">
        <v>0</v>
      </c>
      <c r="J72" t="s">
        <v>75</v>
      </c>
      <c r="K72">
        <v>3.14159265358979</v>
      </c>
      <c r="L72">
        <v>0.70734231391292801</v>
      </c>
      <c r="M72">
        <v>0</v>
      </c>
      <c r="N72">
        <v>4.1531651195375101E-2</v>
      </c>
      <c r="O72">
        <v>0</v>
      </c>
      <c r="P72">
        <v>1.6E-2</v>
      </c>
      <c r="Q72">
        <v>0</v>
      </c>
      <c r="R72">
        <v>0</v>
      </c>
      <c r="S72">
        <v>0</v>
      </c>
      <c r="T72">
        <v>0</v>
      </c>
      <c r="U72">
        <v>0.71304537265933798</v>
      </c>
      <c r="V72" t="s">
        <v>78</v>
      </c>
      <c r="W72">
        <v>3882129.5356851402</v>
      </c>
      <c r="X72" t="s">
        <v>76</v>
      </c>
      <c r="Y72">
        <v>-1.5707963267949001</v>
      </c>
      <c r="Z72">
        <v>0.70662048675845501</v>
      </c>
      <c r="AA72">
        <v>0</v>
      </c>
      <c r="AB72">
        <v>4.1072444602033499E-2</v>
      </c>
      <c r="AC72">
        <v>0</v>
      </c>
      <c r="AD72">
        <v>6.1480926726668796E-3</v>
      </c>
      <c r="AE72">
        <v>1.17324621760847E-2</v>
      </c>
      <c r="AF72">
        <v>0</v>
      </c>
      <c r="AG72">
        <v>0.240088145621983</v>
      </c>
      <c r="AH72">
        <v>0.189418652575641</v>
      </c>
      <c r="AI72">
        <v>0.48716842622281498</v>
      </c>
      <c r="AJ72" t="s">
        <v>74</v>
      </c>
      <c r="AK72">
        <v>0</v>
      </c>
      <c r="AL72" t="s">
        <v>77</v>
      </c>
      <c r="AM72">
        <v>0</v>
      </c>
      <c r="AN72">
        <v>0.99199999999999999</v>
      </c>
      <c r="AO72">
        <v>0</v>
      </c>
      <c r="AP72">
        <v>5.8245346242475203E-2</v>
      </c>
      <c r="AQ72">
        <v>0</v>
      </c>
      <c r="AR72">
        <v>1.6E-2</v>
      </c>
      <c r="AS72">
        <v>0</v>
      </c>
      <c r="AT72">
        <v>0</v>
      </c>
      <c r="AU72">
        <v>0</v>
      </c>
      <c r="AV72">
        <v>0</v>
      </c>
      <c r="AW72">
        <v>1</v>
      </c>
      <c r="AX72" t="s">
        <v>74</v>
      </c>
      <c r="AY72">
        <v>0</v>
      </c>
      <c r="AZ72" t="s">
        <v>76</v>
      </c>
      <c r="BA72">
        <v>-1.5707963267949001</v>
      </c>
      <c r="BB72">
        <v>0.99199999999999999</v>
      </c>
      <c r="BC72">
        <v>0</v>
      </c>
      <c r="BD72">
        <v>5.8245346242475203E-2</v>
      </c>
      <c r="BE72">
        <v>0</v>
      </c>
      <c r="BF72">
        <v>1.6E-2</v>
      </c>
      <c r="BG72">
        <v>0</v>
      </c>
      <c r="BH72">
        <v>0</v>
      </c>
      <c r="BI72">
        <v>0</v>
      </c>
      <c r="BJ72">
        <v>0</v>
      </c>
      <c r="BK72">
        <v>1</v>
      </c>
      <c r="BL72" s="1">
        <v>9.9547394141179506E-5</v>
      </c>
      <c r="BM72">
        <v>2.14753399098812E-4</v>
      </c>
      <c r="BN72" s="1">
        <v>3.7036123155736802E-7</v>
      </c>
      <c r="BO72" s="1">
        <v>3.3733385047113199E-6</v>
      </c>
      <c r="BP72">
        <v>0</v>
      </c>
      <c r="BQ72">
        <v>0</v>
      </c>
      <c r="BR72" s="1">
        <v>5.6029760825778201E-5</v>
      </c>
      <c r="BS72">
        <v>1.22994677126681E-4</v>
      </c>
    </row>
    <row r="73" spans="1:71" x14ac:dyDescent="0.25">
      <c r="A73">
        <v>70</v>
      </c>
      <c r="B73" s="1">
        <v>5.1463992162546504E-6</v>
      </c>
      <c r="C73">
        <v>0.13262022059718601</v>
      </c>
      <c r="D73">
        <v>-4.9135362955077602E-4</v>
      </c>
      <c r="E73">
        <v>6.1312499999999995E-4</v>
      </c>
      <c r="F73">
        <v>-1.3262022059718601E-3</v>
      </c>
      <c r="G73">
        <v>0</v>
      </c>
      <c r="H73" t="s">
        <v>74</v>
      </c>
      <c r="I73">
        <v>0</v>
      </c>
      <c r="J73" t="s">
        <v>75</v>
      </c>
      <c r="K73">
        <v>3.14159265358979</v>
      </c>
      <c r="L73">
        <v>0.70317924454213998</v>
      </c>
      <c r="M73">
        <v>0</v>
      </c>
      <c r="N73">
        <v>4.1287216299273302E-2</v>
      </c>
      <c r="O73">
        <v>0</v>
      </c>
      <c r="P73">
        <v>1.6E-2</v>
      </c>
      <c r="Q73">
        <v>0</v>
      </c>
      <c r="R73">
        <v>0</v>
      </c>
      <c r="S73">
        <v>0</v>
      </c>
      <c r="T73">
        <v>0</v>
      </c>
      <c r="U73">
        <v>0.70884914780997099</v>
      </c>
      <c r="V73" t="s">
        <v>78</v>
      </c>
      <c r="W73">
        <v>3882328.3954741801</v>
      </c>
      <c r="X73" t="s">
        <v>76</v>
      </c>
      <c r="Y73">
        <v>-1.5707963267949001</v>
      </c>
      <c r="Z73">
        <v>0.70245967906342799</v>
      </c>
      <c r="AA73">
        <v>0</v>
      </c>
      <c r="AB73">
        <v>4.0829448521902602E-2</v>
      </c>
      <c r="AC73">
        <v>0</v>
      </c>
      <c r="AD73">
        <v>5.9862870565456604E-3</v>
      </c>
      <c r="AE73">
        <v>1.1896962129328E-2</v>
      </c>
      <c r="AF73">
        <v>0</v>
      </c>
      <c r="AG73">
        <v>0.239862031951946</v>
      </c>
      <c r="AH73">
        <v>0.195926228800582</v>
      </c>
      <c r="AI73">
        <v>0.48041173790932501</v>
      </c>
      <c r="AJ73" t="s">
        <v>74</v>
      </c>
      <c r="AK73">
        <v>0</v>
      </c>
      <c r="AL73" t="s">
        <v>77</v>
      </c>
      <c r="AM73">
        <v>0</v>
      </c>
      <c r="AN73">
        <v>0.99199999999999999</v>
      </c>
      <c r="AO73">
        <v>0</v>
      </c>
      <c r="AP73">
        <v>5.8245346242475203E-2</v>
      </c>
      <c r="AQ73">
        <v>0</v>
      </c>
      <c r="AR73">
        <v>1.6E-2</v>
      </c>
      <c r="AS73">
        <v>0</v>
      </c>
      <c r="AT73">
        <v>0</v>
      </c>
      <c r="AU73">
        <v>0</v>
      </c>
      <c r="AV73">
        <v>0</v>
      </c>
      <c r="AW73">
        <v>1</v>
      </c>
      <c r="AX73" t="s">
        <v>74</v>
      </c>
      <c r="AY73">
        <v>0</v>
      </c>
      <c r="AZ73" t="s">
        <v>76</v>
      </c>
      <c r="BA73">
        <v>-1.5707963267949001</v>
      </c>
      <c r="BB73">
        <v>0.99199999999999999</v>
      </c>
      <c r="BC73">
        <v>0</v>
      </c>
      <c r="BD73">
        <v>5.8245346242475203E-2</v>
      </c>
      <c r="BE73">
        <v>0</v>
      </c>
      <c r="BF73">
        <v>1.6E-2</v>
      </c>
      <c r="BG73">
        <v>0</v>
      </c>
      <c r="BH73">
        <v>0</v>
      </c>
      <c r="BI73">
        <v>0</v>
      </c>
      <c r="BJ73">
        <v>0</v>
      </c>
      <c r="BK73">
        <v>1</v>
      </c>
      <c r="BL73" s="1">
        <v>9.9303678653063198E-5</v>
      </c>
      <c r="BM73">
        <v>2.1789413037626401E-4</v>
      </c>
      <c r="BN73" s="1">
        <v>3.6945532843665101E-7</v>
      </c>
      <c r="BO73" s="1">
        <v>3.4226729962520399E-6</v>
      </c>
      <c r="BP73">
        <v>0</v>
      </c>
      <c r="BQ73">
        <v>0</v>
      </c>
      <c r="BR73" s="1">
        <v>5.5874966449107301E-5</v>
      </c>
      <c r="BS73">
        <v>1.24794067868144E-4</v>
      </c>
    </row>
    <row r="74" spans="1:71" x14ac:dyDescent="0.25">
      <c r="A74">
        <v>71</v>
      </c>
      <c r="B74" s="1">
        <v>5.1517871295270101E-6</v>
      </c>
      <c r="C74">
        <v>0.13262537238431599</v>
      </c>
      <c r="D74">
        <v>-4.9137669722812795E-4</v>
      </c>
      <c r="E74">
        <v>6.1312499999999995E-4</v>
      </c>
      <c r="F74">
        <v>-1.32625372384316E-3</v>
      </c>
      <c r="G74">
        <v>0</v>
      </c>
      <c r="H74" t="s">
        <v>74</v>
      </c>
      <c r="I74">
        <v>0</v>
      </c>
      <c r="J74" t="s">
        <v>75</v>
      </c>
      <c r="K74">
        <v>3.14159265358979</v>
      </c>
      <c r="L74">
        <v>0.69901753693713797</v>
      </c>
      <c r="M74">
        <v>0</v>
      </c>
      <c r="N74">
        <v>4.1042861359340502E-2</v>
      </c>
      <c r="O74">
        <v>0</v>
      </c>
      <c r="P74">
        <v>1.6E-2</v>
      </c>
      <c r="Q74">
        <v>0</v>
      </c>
      <c r="R74">
        <v>0</v>
      </c>
      <c r="S74">
        <v>0</v>
      </c>
      <c r="T74">
        <v>0</v>
      </c>
      <c r="U74">
        <v>0.70465416272336001</v>
      </c>
      <c r="V74" t="s">
        <v>78</v>
      </c>
      <c r="W74">
        <v>3882527.4583328301</v>
      </c>
      <c r="X74" t="s">
        <v>76</v>
      </c>
      <c r="Y74">
        <v>-1.5707963267949001</v>
      </c>
      <c r="Z74">
        <v>0.69830025296145004</v>
      </c>
      <c r="AA74">
        <v>0</v>
      </c>
      <c r="AB74">
        <v>4.05865450115011E-2</v>
      </c>
      <c r="AC74">
        <v>0</v>
      </c>
      <c r="AD74">
        <v>5.8248755649087797E-3</v>
      </c>
      <c r="AE74">
        <v>1.20610328080371E-2</v>
      </c>
      <c r="AF74">
        <v>0</v>
      </c>
      <c r="AG74">
        <v>0.23948162529956299</v>
      </c>
      <c r="AH74">
        <v>0.20258604330254701</v>
      </c>
      <c r="AI74">
        <v>0.47368328685245997</v>
      </c>
      <c r="AJ74" t="s">
        <v>74</v>
      </c>
      <c r="AK74">
        <v>0</v>
      </c>
      <c r="AL74" t="s">
        <v>77</v>
      </c>
      <c r="AM74">
        <v>0</v>
      </c>
      <c r="AN74">
        <v>0.99199999999999999</v>
      </c>
      <c r="AO74">
        <v>0</v>
      </c>
      <c r="AP74">
        <v>5.8245346242475203E-2</v>
      </c>
      <c r="AQ74">
        <v>0</v>
      </c>
      <c r="AR74">
        <v>1.6E-2</v>
      </c>
      <c r="AS74">
        <v>0</v>
      </c>
      <c r="AT74">
        <v>0</v>
      </c>
      <c r="AU74">
        <v>0</v>
      </c>
      <c r="AV74">
        <v>0</v>
      </c>
      <c r="AW74">
        <v>1</v>
      </c>
      <c r="AX74" t="s">
        <v>74</v>
      </c>
      <c r="AY74">
        <v>0</v>
      </c>
      <c r="AZ74" t="s">
        <v>76</v>
      </c>
      <c r="BA74">
        <v>-1.5707963267949001</v>
      </c>
      <c r="BB74">
        <v>0.99199999999999999</v>
      </c>
      <c r="BC74">
        <v>0</v>
      </c>
      <c r="BD74">
        <v>5.8245346242475203E-2</v>
      </c>
      <c r="BE74">
        <v>0</v>
      </c>
      <c r="BF74">
        <v>1.6E-2</v>
      </c>
      <c r="BG74">
        <v>0</v>
      </c>
      <c r="BH74">
        <v>0</v>
      </c>
      <c r="BI74">
        <v>0</v>
      </c>
      <c r="BJ74">
        <v>0</v>
      </c>
      <c r="BK74">
        <v>1</v>
      </c>
      <c r="BL74" s="1">
        <v>9.9060049427895997E-5</v>
      </c>
      <c r="BM74">
        <v>2.2103383430105501E-4</v>
      </c>
      <c r="BN74" s="1">
        <v>3.6854978052138398E-7</v>
      </c>
      <c r="BO74" s="1">
        <v>3.47199135017489E-6</v>
      </c>
      <c r="BP74">
        <v>0</v>
      </c>
      <c r="BQ74">
        <v>0</v>
      </c>
      <c r="BR74" s="1">
        <v>5.5720224036916997E-5</v>
      </c>
      <c r="BS74">
        <v>1.2659288858698101E-4</v>
      </c>
    </row>
    <row r="75" spans="1:71" x14ac:dyDescent="0.25">
      <c r="A75">
        <v>72</v>
      </c>
      <c r="B75" s="1">
        <v>5.1604313359184798E-6</v>
      </c>
      <c r="C75">
        <v>0.13263053281565201</v>
      </c>
      <c r="D75">
        <v>-4.9139980301564205E-4</v>
      </c>
      <c r="E75">
        <v>6.1312499999999995E-4</v>
      </c>
      <c r="F75">
        <v>-1.32630532815652E-3</v>
      </c>
      <c r="G75" s="1">
        <v>1.0842021724855E-19</v>
      </c>
      <c r="H75" t="s">
        <v>74</v>
      </c>
      <c r="I75">
        <v>0</v>
      </c>
      <c r="J75" t="s">
        <v>75</v>
      </c>
      <c r="K75">
        <v>3.14159265358979</v>
      </c>
      <c r="L75">
        <v>0.69485726005684101</v>
      </c>
      <c r="M75">
        <v>0</v>
      </c>
      <c r="N75">
        <v>4.07985904245044E-2</v>
      </c>
      <c r="O75">
        <v>0</v>
      </c>
      <c r="P75">
        <v>1.6E-2</v>
      </c>
      <c r="Q75">
        <v>0</v>
      </c>
      <c r="R75">
        <v>0</v>
      </c>
      <c r="S75">
        <v>0</v>
      </c>
      <c r="T75">
        <v>0</v>
      </c>
      <c r="U75">
        <v>0.70046052962733596</v>
      </c>
      <c r="V75" t="s">
        <v>78</v>
      </c>
      <c r="W75">
        <v>3882726.85006369</v>
      </c>
      <c r="X75" t="s">
        <v>76</v>
      </c>
      <c r="Y75">
        <v>-1.5707963267949001</v>
      </c>
      <c r="Z75">
        <v>0.69414227612093204</v>
      </c>
      <c r="AA75">
        <v>0</v>
      </c>
      <c r="AB75">
        <v>4.0343737298770797E-2</v>
      </c>
      <c r="AC75">
        <v>0</v>
      </c>
      <c r="AD75">
        <v>5.6638668235153601E-3</v>
      </c>
      <c r="AE75">
        <v>1.22246673004477E-2</v>
      </c>
      <c r="AF75">
        <v>0</v>
      </c>
      <c r="AG75">
        <v>0.238943414822196</v>
      </c>
      <c r="AH75">
        <v>0.209401502875255</v>
      </c>
      <c r="AI75">
        <v>0.466983439337819</v>
      </c>
      <c r="AJ75" t="s">
        <v>74</v>
      </c>
      <c r="AK75">
        <v>0</v>
      </c>
      <c r="AL75" t="s">
        <v>77</v>
      </c>
      <c r="AM75">
        <v>0</v>
      </c>
      <c r="AN75">
        <v>0.99199999999999999</v>
      </c>
      <c r="AO75">
        <v>0</v>
      </c>
      <c r="AP75">
        <v>5.8245346242475203E-2</v>
      </c>
      <c r="AQ75">
        <v>0</v>
      </c>
      <c r="AR75">
        <v>1.6E-2</v>
      </c>
      <c r="AS75">
        <v>0</v>
      </c>
      <c r="AT75">
        <v>0</v>
      </c>
      <c r="AU75">
        <v>0</v>
      </c>
      <c r="AV75">
        <v>0</v>
      </c>
      <c r="AW75">
        <v>1</v>
      </c>
      <c r="AX75" t="s">
        <v>74</v>
      </c>
      <c r="AY75">
        <v>0</v>
      </c>
      <c r="AZ75" t="s">
        <v>76</v>
      </c>
      <c r="BA75">
        <v>-1.5707963267949001</v>
      </c>
      <c r="BB75">
        <v>0.99199999999999999</v>
      </c>
      <c r="BC75">
        <v>0</v>
      </c>
      <c r="BD75">
        <v>5.8245346242475203E-2</v>
      </c>
      <c r="BE75">
        <v>0</v>
      </c>
      <c r="BF75">
        <v>1.6E-2</v>
      </c>
      <c r="BG75">
        <v>0</v>
      </c>
      <c r="BH75">
        <v>0</v>
      </c>
      <c r="BI75">
        <v>0</v>
      </c>
      <c r="BJ75">
        <v>0</v>
      </c>
      <c r="BK75">
        <v>1</v>
      </c>
      <c r="BL75" s="1">
        <v>9.8816510104112796E-5</v>
      </c>
      <c r="BM75">
        <v>2.2417245884872599E-4</v>
      </c>
      <c r="BN75" s="1">
        <v>3.6764459923016102E-7</v>
      </c>
      <c r="BO75" s="1">
        <v>3.5212927492815799E-6</v>
      </c>
      <c r="BP75">
        <v>0</v>
      </c>
      <c r="BQ75">
        <v>0</v>
      </c>
      <c r="BR75" s="1">
        <v>5.55655360951181E-5</v>
      </c>
      <c r="BS75">
        <v>1.2839110990618699E-4</v>
      </c>
    </row>
    <row r="76" spans="1:71" x14ac:dyDescent="0.25">
      <c r="A76">
        <v>73</v>
      </c>
      <c r="B76" s="1">
        <v>5.1724382819161501E-6</v>
      </c>
      <c r="C76">
        <v>0.13263570525393401</v>
      </c>
      <c r="D76">
        <v>-4.91422961966589E-4</v>
      </c>
      <c r="E76">
        <v>6.1312499999999898E-4</v>
      </c>
      <c r="F76">
        <v>-1.3263570525393401E-3</v>
      </c>
      <c r="G76">
        <v>0</v>
      </c>
      <c r="H76" t="s">
        <v>74</v>
      </c>
      <c r="I76">
        <v>0</v>
      </c>
      <c r="J76" t="s">
        <v>75</v>
      </c>
      <c r="K76">
        <v>3.14159265358979</v>
      </c>
      <c r="L76">
        <v>0.69069848825131797</v>
      </c>
      <c r="M76">
        <v>0</v>
      </c>
      <c r="N76">
        <v>4.05544078602341E-2</v>
      </c>
      <c r="O76">
        <v>0</v>
      </c>
      <c r="P76">
        <v>1.6E-2</v>
      </c>
      <c r="Q76">
        <v>0</v>
      </c>
      <c r="R76">
        <v>0</v>
      </c>
      <c r="S76">
        <v>0</v>
      </c>
      <c r="T76">
        <v>0</v>
      </c>
      <c r="U76">
        <v>0.69626835227811601</v>
      </c>
      <c r="V76" t="s">
        <v>78</v>
      </c>
      <c r="W76">
        <v>3882926.7005691598</v>
      </c>
      <c r="X76" t="s">
        <v>76</v>
      </c>
      <c r="Y76">
        <v>-1.5707963267949001</v>
      </c>
      <c r="Z76">
        <v>0.68998582158408295</v>
      </c>
      <c r="AA76">
        <v>0</v>
      </c>
      <c r="AB76">
        <v>4.0101028917156001E-2</v>
      </c>
      <c r="AC76">
        <v>0</v>
      </c>
      <c r="AD76">
        <v>5.5032697039069699E-3</v>
      </c>
      <c r="AE76">
        <v>1.23878584314273E-2</v>
      </c>
      <c r="AF76">
        <v>0</v>
      </c>
      <c r="AG76">
        <v>0.238243708840919</v>
      </c>
      <c r="AH76">
        <v>0.21637618701425701</v>
      </c>
      <c r="AI76">
        <v>0.46031256978594998</v>
      </c>
      <c r="AJ76" t="s">
        <v>74</v>
      </c>
      <c r="AK76">
        <v>0</v>
      </c>
      <c r="AL76" t="s">
        <v>77</v>
      </c>
      <c r="AM76">
        <v>0</v>
      </c>
      <c r="AN76">
        <v>0.99199999999999999</v>
      </c>
      <c r="AO76">
        <v>0</v>
      </c>
      <c r="AP76">
        <v>5.8245346242475203E-2</v>
      </c>
      <c r="AQ76">
        <v>0</v>
      </c>
      <c r="AR76">
        <v>1.6E-2</v>
      </c>
      <c r="AS76">
        <v>0</v>
      </c>
      <c r="AT76">
        <v>0</v>
      </c>
      <c r="AU76">
        <v>0</v>
      </c>
      <c r="AV76">
        <v>0</v>
      </c>
      <c r="AW76">
        <v>1</v>
      </c>
      <c r="AX76" t="s">
        <v>74</v>
      </c>
      <c r="AY76">
        <v>0</v>
      </c>
      <c r="AZ76" t="s">
        <v>76</v>
      </c>
      <c r="BA76">
        <v>-1.5707963267949001</v>
      </c>
      <c r="BB76">
        <v>0.99199999999999999</v>
      </c>
      <c r="BC76">
        <v>0</v>
      </c>
      <c r="BD76">
        <v>5.8245346242475203E-2</v>
      </c>
      <c r="BE76">
        <v>0</v>
      </c>
      <c r="BF76">
        <v>1.6E-2</v>
      </c>
      <c r="BG76">
        <v>0</v>
      </c>
      <c r="BH76">
        <v>0</v>
      </c>
      <c r="BI76">
        <v>0</v>
      </c>
      <c r="BJ76">
        <v>0</v>
      </c>
      <c r="BK76">
        <v>1</v>
      </c>
      <c r="BL76" s="1">
        <v>9.8573064631170295E-5</v>
      </c>
      <c r="BM76">
        <v>2.2730994792758799E-4</v>
      </c>
      <c r="BN76" s="1">
        <v>3.6673979711342398E-7</v>
      </c>
      <c r="BO76" s="1">
        <v>3.5705763124859401E-6</v>
      </c>
      <c r="BP76">
        <v>0</v>
      </c>
      <c r="BQ76">
        <v>0</v>
      </c>
      <c r="BR76" s="1">
        <v>5.54109053298636E-5</v>
      </c>
      <c r="BS76">
        <v>1.3018870015436401E-4</v>
      </c>
    </row>
    <row r="77" spans="1:71" x14ac:dyDescent="0.25">
      <c r="A77">
        <v>74</v>
      </c>
      <c r="B77" s="1">
        <v>5.1879327393579902E-6</v>
      </c>
      <c r="C77">
        <v>0.13264089318667299</v>
      </c>
      <c r="D77">
        <v>-4.9144618969131299E-4</v>
      </c>
      <c r="E77">
        <v>6.1312499999999995E-4</v>
      </c>
      <c r="F77">
        <v>-1.3264089318667301E-3</v>
      </c>
      <c r="G77">
        <v>0</v>
      </c>
      <c r="H77" t="s">
        <v>74</v>
      </c>
      <c r="I77">
        <v>0</v>
      </c>
      <c r="J77" t="s">
        <v>75</v>
      </c>
      <c r="K77">
        <v>3.14159265358979</v>
      </c>
      <c r="L77">
        <v>0.68654130183899098</v>
      </c>
      <c r="M77">
        <v>0</v>
      </c>
      <c r="N77">
        <v>4.0310318382431203E-2</v>
      </c>
      <c r="O77">
        <v>0</v>
      </c>
      <c r="P77">
        <v>1.6E-2</v>
      </c>
      <c r="Q77">
        <v>0</v>
      </c>
      <c r="R77">
        <v>0</v>
      </c>
      <c r="S77">
        <v>0</v>
      </c>
      <c r="T77">
        <v>0</v>
      </c>
      <c r="U77">
        <v>0.69207773114536497</v>
      </c>
      <c r="V77" t="s">
        <v>78</v>
      </c>
      <c r="W77">
        <v>3883127.1445589401</v>
      </c>
      <c r="X77" t="s">
        <v>76</v>
      </c>
      <c r="Y77">
        <v>-1.5707963267949001</v>
      </c>
      <c r="Z77">
        <v>0.68583096833766199</v>
      </c>
      <c r="AA77">
        <v>0</v>
      </c>
      <c r="AB77">
        <v>3.9858423735390801E-2</v>
      </c>
      <c r="AC77">
        <v>0</v>
      </c>
      <c r="AD77">
        <v>5.3430933511358298E-3</v>
      </c>
      <c r="AE77">
        <v>1.25505987411084E-2</v>
      </c>
      <c r="AF77">
        <v>0</v>
      </c>
      <c r="AG77">
        <v>0.23737862045971</v>
      </c>
      <c r="AH77">
        <v>0.223513861426826</v>
      </c>
      <c r="AI77">
        <v>0.45367106163632798</v>
      </c>
      <c r="AJ77" t="s">
        <v>74</v>
      </c>
      <c r="AK77">
        <v>0</v>
      </c>
      <c r="AL77" t="s">
        <v>77</v>
      </c>
      <c r="AM77">
        <v>0</v>
      </c>
      <c r="AN77">
        <v>0.99199999999999999</v>
      </c>
      <c r="AO77">
        <v>0</v>
      </c>
      <c r="AP77">
        <v>5.8245346242475203E-2</v>
      </c>
      <c r="AQ77">
        <v>0</v>
      </c>
      <c r="AR77">
        <v>1.6E-2</v>
      </c>
      <c r="AS77">
        <v>0</v>
      </c>
      <c r="AT77">
        <v>0</v>
      </c>
      <c r="AU77">
        <v>0</v>
      </c>
      <c r="AV77">
        <v>0</v>
      </c>
      <c r="AW77">
        <v>1</v>
      </c>
      <c r="AX77" t="s">
        <v>74</v>
      </c>
      <c r="AY77">
        <v>0</v>
      </c>
      <c r="AZ77" t="s">
        <v>76</v>
      </c>
      <c r="BA77">
        <v>-1.5707963267949001</v>
      </c>
      <c r="BB77">
        <v>0.99199999999999999</v>
      </c>
      <c r="BC77">
        <v>0</v>
      </c>
      <c r="BD77">
        <v>5.8245346242475203E-2</v>
      </c>
      <c r="BE77">
        <v>0</v>
      </c>
      <c r="BF77">
        <v>1.6E-2</v>
      </c>
      <c r="BG77">
        <v>0</v>
      </c>
      <c r="BH77">
        <v>0</v>
      </c>
      <c r="BI77">
        <v>0</v>
      </c>
      <c r="BJ77">
        <v>0</v>
      </c>
      <c r="BK77">
        <v>1</v>
      </c>
      <c r="BL77" s="1">
        <v>9.8329717301386203E-5</v>
      </c>
      <c r="BM77">
        <v>2.30446240943268E-4</v>
      </c>
      <c r="BN77" s="1">
        <v>3.6583538796149197E-7</v>
      </c>
      <c r="BO77" s="1">
        <v>3.61984108797377E-6</v>
      </c>
      <c r="BP77">
        <v>0</v>
      </c>
      <c r="BQ77">
        <v>0</v>
      </c>
      <c r="BR77" s="1">
        <v>5.52563346687387E-5</v>
      </c>
      <c r="BS77">
        <v>1.3198562511946199E-4</v>
      </c>
    </row>
    <row r="78" spans="1:71" x14ac:dyDescent="0.25">
      <c r="A78">
        <v>75</v>
      </c>
      <c r="B78" s="1">
        <v>5.2070597083971801E-6</v>
      </c>
      <c r="C78">
        <v>0.13264610024638099</v>
      </c>
      <c r="D78">
        <v>-4.9146950244771204E-4</v>
      </c>
      <c r="E78">
        <v>6.1312499999999898E-4</v>
      </c>
      <c r="F78">
        <v>-1.3264610024638101E-3</v>
      </c>
      <c r="G78" s="1">
        <v>1.0842021724855E-19</v>
      </c>
      <c r="H78" t="s">
        <v>74</v>
      </c>
      <c r="I78">
        <v>0</v>
      </c>
      <c r="J78" t="s">
        <v>75</v>
      </c>
      <c r="K78">
        <v>3.14159265358979</v>
      </c>
      <c r="L78">
        <v>0.68238578776310299</v>
      </c>
      <c r="M78">
        <v>0</v>
      </c>
      <c r="N78">
        <v>4.0066327095973901E-2</v>
      </c>
      <c r="O78">
        <v>0</v>
      </c>
      <c r="P78">
        <v>1.6E-2</v>
      </c>
      <c r="Q78">
        <v>0</v>
      </c>
      <c r="R78">
        <v>0</v>
      </c>
      <c r="S78">
        <v>0</v>
      </c>
      <c r="T78">
        <v>0</v>
      </c>
      <c r="U78">
        <v>0.687888767126143</v>
      </c>
      <c r="V78" t="s">
        <v>78</v>
      </c>
      <c r="W78">
        <v>3883328.3223308101</v>
      </c>
      <c r="X78" t="s">
        <v>76</v>
      </c>
      <c r="Y78">
        <v>-1.5707963267949001</v>
      </c>
      <c r="Z78">
        <v>0.681677801962431</v>
      </c>
      <c r="AA78">
        <v>0</v>
      </c>
      <c r="AB78">
        <v>3.9615925991581299E-2</v>
      </c>
      <c r="AC78">
        <v>0</v>
      </c>
      <c r="AD78">
        <v>5.1833472144751404E-3</v>
      </c>
      <c r="AE78">
        <v>1.2712880460805801E-2</v>
      </c>
      <c r="AF78">
        <v>0</v>
      </c>
      <c r="AG78">
        <v>0.23634405164576799</v>
      </c>
      <c r="AH78">
        <v>0.23081849296113399</v>
      </c>
      <c r="AI78">
        <v>0.44705930832171598</v>
      </c>
      <c r="AJ78" t="s">
        <v>74</v>
      </c>
      <c r="AK78">
        <v>0</v>
      </c>
      <c r="AL78" t="s">
        <v>77</v>
      </c>
      <c r="AM78">
        <v>0</v>
      </c>
      <c r="AN78">
        <v>0.99199999999999999</v>
      </c>
      <c r="AO78">
        <v>0</v>
      </c>
      <c r="AP78">
        <v>5.8245346242475203E-2</v>
      </c>
      <c r="AQ78">
        <v>0</v>
      </c>
      <c r="AR78">
        <v>1.6E-2</v>
      </c>
      <c r="AS78">
        <v>0</v>
      </c>
      <c r="AT78">
        <v>0</v>
      </c>
      <c r="AU78">
        <v>0</v>
      </c>
      <c r="AV78">
        <v>0</v>
      </c>
      <c r="AW78">
        <v>1</v>
      </c>
      <c r="AX78" t="s">
        <v>74</v>
      </c>
      <c r="AY78">
        <v>0</v>
      </c>
      <c r="AZ78" t="s">
        <v>76</v>
      </c>
      <c r="BA78">
        <v>-1.5707963267949001</v>
      </c>
      <c r="BB78">
        <v>0.99199999999999999</v>
      </c>
      <c r="BC78">
        <v>0</v>
      </c>
      <c r="BD78">
        <v>5.8245346242475203E-2</v>
      </c>
      <c r="BE78">
        <v>0</v>
      </c>
      <c r="BF78">
        <v>1.6E-2</v>
      </c>
      <c r="BG78">
        <v>0</v>
      </c>
      <c r="BH78">
        <v>0</v>
      </c>
      <c r="BI78">
        <v>0</v>
      </c>
      <c r="BJ78">
        <v>0</v>
      </c>
      <c r="BK78">
        <v>1</v>
      </c>
      <c r="BL78" s="1">
        <v>9.8086472786252797E-5</v>
      </c>
      <c r="BM78">
        <v>2.3358127230345101E-4</v>
      </c>
      <c r="BN78" s="1">
        <v>3.6493138692836402E-7</v>
      </c>
      <c r="BO78" s="1">
        <v>3.6690860454233901E-6</v>
      </c>
      <c r="BP78">
        <v>0</v>
      </c>
      <c r="BQ78">
        <v>0</v>
      </c>
      <c r="BR78" s="1">
        <v>5.5101827284877802E-5</v>
      </c>
      <c r="BS78">
        <v>1.3378184776869899E-4</v>
      </c>
    </row>
    <row r="79" spans="1:71" x14ac:dyDescent="0.25">
      <c r="A79">
        <v>76</v>
      </c>
      <c r="B79" s="1">
        <v>5.2299866758276003E-6</v>
      </c>
      <c r="C79">
        <v>0.132651330233057</v>
      </c>
      <c r="D79">
        <v>-4.9149291724181999E-4</v>
      </c>
      <c r="E79">
        <v>6.1312499999999898E-4</v>
      </c>
      <c r="F79">
        <v>-1.32651330233057E-3</v>
      </c>
      <c r="G79">
        <v>0</v>
      </c>
      <c r="H79" t="s">
        <v>74</v>
      </c>
      <c r="I79">
        <v>0</v>
      </c>
      <c r="J79" t="s">
        <v>75</v>
      </c>
      <c r="K79">
        <v>3.14159265358979</v>
      </c>
      <c r="L79">
        <v>0.67823204034070494</v>
      </c>
      <c r="M79">
        <v>0</v>
      </c>
      <c r="N79">
        <v>3.9822439538694299E-2</v>
      </c>
      <c r="O79">
        <v>0</v>
      </c>
      <c r="P79">
        <v>1.6E-2</v>
      </c>
      <c r="Q79">
        <v>0</v>
      </c>
      <c r="R79">
        <v>0</v>
      </c>
      <c r="S79">
        <v>0</v>
      </c>
      <c r="T79">
        <v>0</v>
      </c>
      <c r="U79">
        <v>0.68370156433285501</v>
      </c>
      <c r="V79" t="s">
        <v>78</v>
      </c>
      <c r="W79">
        <v>3883530.3806385798</v>
      </c>
      <c r="X79" t="s">
        <v>76</v>
      </c>
      <c r="Y79">
        <v>-1.5707963267949001</v>
      </c>
      <c r="Z79">
        <v>0.67752641537444802</v>
      </c>
      <c r="AA79">
        <v>0</v>
      </c>
      <c r="AB79">
        <v>3.9373540332285399E-2</v>
      </c>
      <c r="AC79">
        <v>0</v>
      </c>
      <c r="AD79">
        <v>5.0240410816538104E-3</v>
      </c>
      <c r="AE79">
        <v>1.28746954857647E-2</v>
      </c>
      <c r="AF79">
        <v>0</v>
      </c>
      <c r="AG79">
        <v>0.235135675563657</v>
      </c>
      <c r="AH79">
        <v>0.23829426614198301</v>
      </c>
      <c r="AI79">
        <v>0.44047771434965799</v>
      </c>
      <c r="AJ79" t="s">
        <v>74</v>
      </c>
      <c r="AK79">
        <v>0</v>
      </c>
      <c r="AL79" t="s">
        <v>77</v>
      </c>
      <c r="AM79">
        <v>0</v>
      </c>
      <c r="AN79">
        <v>0.99199999999999999</v>
      </c>
      <c r="AO79">
        <v>0</v>
      </c>
      <c r="AP79">
        <v>5.8245346242475203E-2</v>
      </c>
      <c r="AQ79">
        <v>0</v>
      </c>
      <c r="AR79">
        <v>1.6E-2</v>
      </c>
      <c r="AS79">
        <v>0</v>
      </c>
      <c r="AT79">
        <v>0</v>
      </c>
      <c r="AU79">
        <v>0</v>
      </c>
      <c r="AV79">
        <v>0</v>
      </c>
      <c r="AW79">
        <v>1</v>
      </c>
      <c r="AX79" t="s">
        <v>74</v>
      </c>
      <c r="AY79">
        <v>0</v>
      </c>
      <c r="AZ79" t="s">
        <v>76</v>
      </c>
      <c r="BA79">
        <v>-1.5707963267949001</v>
      </c>
      <c r="BB79">
        <v>0.99199999999999999</v>
      </c>
      <c r="BC79">
        <v>0</v>
      </c>
      <c r="BD79">
        <v>5.8245346242475203E-2</v>
      </c>
      <c r="BE79">
        <v>0</v>
      </c>
      <c r="BF79">
        <v>1.6E-2</v>
      </c>
      <c r="BG79">
        <v>0</v>
      </c>
      <c r="BH79">
        <v>0</v>
      </c>
      <c r="BI79">
        <v>0</v>
      </c>
      <c r="BJ79">
        <v>0</v>
      </c>
      <c r="BK79">
        <v>1</v>
      </c>
      <c r="BL79" s="1">
        <v>9.7843336177965096E-5</v>
      </c>
      <c r="BM79">
        <v>2.3671497085282E-4</v>
      </c>
      <c r="BN79" s="1">
        <v>3.6402781067381901E-7</v>
      </c>
      <c r="BO79" s="1">
        <v>3.7183100671297102E-6</v>
      </c>
      <c r="BP79">
        <v>0</v>
      </c>
      <c r="BQ79">
        <v>0</v>
      </c>
      <c r="BR79" s="1">
        <v>5.4947386624495298E-5</v>
      </c>
      <c r="BS79">
        <v>1.35577327928986E-4</v>
      </c>
    </row>
    <row r="80" spans="1:71" x14ac:dyDescent="0.25">
      <c r="A80">
        <v>77</v>
      </c>
      <c r="B80" s="1">
        <v>5.2569062954549796E-6</v>
      </c>
      <c r="C80">
        <v>0.13265658713935299</v>
      </c>
      <c r="D80">
        <v>-4.9151645194035905E-4</v>
      </c>
      <c r="E80">
        <v>6.1312499999999995E-4</v>
      </c>
      <c r="F80">
        <v>-1.3265658713935301E-3</v>
      </c>
      <c r="G80" s="1">
        <v>1.0842021724855E-19</v>
      </c>
      <c r="H80" t="s">
        <v>74</v>
      </c>
      <c r="I80">
        <v>0</v>
      </c>
      <c r="J80" t="s">
        <v>75</v>
      </c>
      <c r="K80">
        <v>3.14159265358979</v>
      </c>
      <c r="L80">
        <v>0.67408016212023902</v>
      </c>
      <c r="M80">
        <v>0</v>
      </c>
      <c r="N80">
        <v>3.9578661731731003E-2</v>
      </c>
      <c r="O80">
        <v>0</v>
      </c>
      <c r="P80">
        <v>1.6E-2</v>
      </c>
      <c r="Q80">
        <v>0</v>
      </c>
      <c r="R80">
        <v>0</v>
      </c>
      <c r="S80">
        <v>0</v>
      </c>
      <c r="T80">
        <v>0</v>
      </c>
      <c r="U80">
        <v>0.67951623231796299</v>
      </c>
      <c r="V80" t="s">
        <v>78</v>
      </c>
      <c r="W80">
        <v>3883733.4736633799</v>
      </c>
      <c r="X80" t="s">
        <v>76</v>
      </c>
      <c r="Y80">
        <v>-1.5707963267949001</v>
      </c>
      <c r="Z80">
        <v>0.673376909674123</v>
      </c>
      <c r="AA80">
        <v>0</v>
      </c>
      <c r="AB80">
        <v>3.9131271857444597E-2</v>
      </c>
      <c r="AC80">
        <v>0</v>
      </c>
      <c r="AD80">
        <v>4.86518511726774E-3</v>
      </c>
      <c r="AE80">
        <v>1.30360353441922E-2</v>
      </c>
      <c r="AF80">
        <v>0</v>
      </c>
      <c r="AG80">
        <v>0.233748916922175</v>
      </c>
      <c r="AH80">
        <v>0.24594560152998299</v>
      </c>
      <c r="AI80">
        <v>0.43392669651132398</v>
      </c>
      <c r="AJ80" t="s">
        <v>74</v>
      </c>
      <c r="AK80">
        <v>0</v>
      </c>
      <c r="AL80" t="s">
        <v>77</v>
      </c>
      <c r="AM80">
        <v>0</v>
      </c>
      <c r="AN80">
        <v>0.99199999999999999</v>
      </c>
      <c r="AO80">
        <v>0</v>
      </c>
      <c r="AP80">
        <v>5.8245346242475203E-2</v>
      </c>
      <c r="AQ80">
        <v>0</v>
      </c>
      <c r="AR80">
        <v>1.6E-2</v>
      </c>
      <c r="AS80">
        <v>0</v>
      </c>
      <c r="AT80">
        <v>0</v>
      </c>
      <c r="AU80">
        <v>0</v>
      </c>
      <c r="AV80">
        <v>0</v>
      </c>
      <c r="AW80">
        <v>1</v>
      </c>
      <c r="AX80" t="s">
        <v>74</v>
      </c>
      <c r="AY80">
        <v>0</v>
      </c>
      <c r="AZ80" t="s">
        <v>76</v>
      </c>
      <c r="BA80">
        <v>-1.5707963267949001</v>
      </c>
      <c r="BB80">
        <v>0.99199999999999999</v>
      </c>
      <c r="BC80">
        <v>0</v>
      </c>
      <c r="BD80">
        <v>5.8245346242475203E-2</v>
      </c>
      <c r="BE80">
        <v>0</v>
      </c>
      <c r="BF80">
        <v>1.6E-2</v>
      </c>
      <c r="BG80">
        <v>0</v>
      </c>
      <c r="BH80">
        <v>0</v>
      </c>
      <c r="BI80">
        <v>0</v>
      </c>
      <c r="BJ80">
        <v>0</v>
      </c>
      <c r="BK80">
        <v>1</v>
      </c>
      <c r="BL80" s="1">
        <v>9.7600313037063001E-5</v>
      </c>
      <c r="BM80">
        <v>2.3984725922607901E-4</v>
      </c>
      <c r="BN80" s="1">
        <v>3.63124677526976E-7</v>
      </c>
      <c r="BO80" s="1">
        <v>3.7675119378414801E-6</v>
      </c>
      <c r="BP80">
        <v>0</v>
      </c>
      <c r="BQ80">
        <v>0</v>
      </c>
      <c r="BR80" s="1">
        <v>5.4793016438424402E-5</v>
      </c>
      <c r="BS80">
        <v>1.37372021921007E-4</v>
      </c>
    </row>
    <row r="81" spans="1:71" x14ac:dyDescent="0.25">
      <c r="A81">
        <v>78</v>
      </c>
      <c r="B81" s="1">
        <v>5.2880395722876702E-6</v>
      </c>
      <c r="C81">
        <v>0.132661875178925</v>
      </c>
      <c r="D81">
        <v>-4.9154012539752705E-4</v>
      </c>
      <c r="E81">
        <v>6.1312499999999995E-4</v>
      </c>
      <c r="F81">
        <v>-1.3266187517892501E-3</v>
      </c>
      <c r="G81" s="1">
        <v>1.0842021724855E-19</v>
      </c>
      <c r="H81" t="s">
        <v>74</v>
      </c>
      <c r="I81">
        <v>0</v>
      </c>
      <c r="J81" t="s">
        <v>75</v>
      </c>
      <c r="K81">
        <v>3.14159265358979</v>
      </c>
      <c r="L81">
        <v>0.66993026486709994</v>
      </c>
      <c r="M81">
        <v>0</v>
      </c>
      <c r="N81">
        <v>3.93350002373965E-2</v>
      </c>
      <c r="O81">
        <v>0</v>
      </c>
      <c r="P81">
        <v>1.6E-2</v>
      </c>
      <c r="Q81">
        <v>0</v>
      </c>
      <c r="R81">
        <v>0</v>
      </c>
      <c r="S81">
        <v>0</v>
      </c>
      <c r="T81">
        <v>0</v>
      </c>
      <c r="U81">
        <v>0.67533288798173297</v>
      </c>
      <c r="V81" t="s">
        <v>78</v>
      </c>
      <c r="W81">
        <v>3883937.7641078001</v>
      </c>
      <c r="X81" t="s">
        <v>76</v>
      </c>
      <c r="Y81">
        <v>-1.5707963267949001</v>
      </c>
      <c r="Z81">
        <v>0.66922939512226998</v>
      </c>
      <c r="AA81">
        <v>0</v>
      </c>
      <c r="AB81">
        <v>3.8889126172197301E-2</v>
      </c>
      <c r="AC81">
        <v>0</v>
      </c>
      <c r="AD81">
        <v>4.70678990615168E-3</v>
      </c>
      <c r="AE81">
        <v>1.31968911619052E-2</v>
      </c>
      <c r="AF81">
        <v>0</v>
      </c>
      <c r="AG81">
        <v>0.23217893005245299</v>
      </c>
      <c r="AH81">
        <v>0.25377717615637502</v>
      </c>
      <c r="AI81">
        <v>0.42740668524192799</v>
      </c>
      <c r="AJ81" t="s">
        <v>74</v>
      </c>
      <c r="AK81">
        <v>0</v>
      </c>
      <c r="AL81" t="s">
        <v>77</v>
      </c>
      <c r="AM81">
        <v>0</v>
      </c>
      <c r="AN81">
        <v>0.99199999999999999</v>
      </c>
      <c r="AO81">
        <v>0</v>
      </c>
      <c r="AP81">
        <v>5.8245346242475203E-2</v>
      </c>
      <c r="AQ81">
        <v>0</v>
      </c>
      <c r="AR81">
        <v>1.6E-2</v>
      </c>
      <c r="AS81">
        <v>0</v>
      </c>
      <c r="AT81">
        <v>0</v>
      </c>
      <c r="AU81">
        <v>0</v>
      </c>
      <c r="AV81">
        <v>0</v>
      </c>
      <c r="AW81">
        <v>1</v>
      </c>
      <c r="AX81" t="s">
        <v>74</v>
      </c>
      <c r="AY81">
        <v>0</v>
      </c>
      <c r="AZ81" t="s">
        <v>76</v>
      </c>
      <c r="BA81">
        <v>-1.5707963267949001</v>
      </c>
      <c r="BB81">
        <v>0.99199999999999999</v>
      </c>
      <c r="BC81">
        <v>0</v>
      </c>
      <c r="BD81">
        <v>5.8245346242475203E-2</v>
      </c>
      <c r="BE81">
        <v>0</v>
      </c>
      <c r="BF81">
        <v>1.6E-2</v>
      </c>
      <c r="BG81">
        <v>0</v>
      </c>
      <c r="BH81">
        <v>0</v>
      </c>
      <c r="BI81">
        <v>0</v>
      </c>
      <c r="BJ81">
        <v>0</v>
      </c>
      <c r="BK81">
        <v>1</v>
      </c>
      <c r="BL81" s="1">
        <v>9.7357409447272199E-5</v>
      </c>
      <c r="BM81">
        <v>2.4297805310441399E-4</v>
      </c>
      <c r="BN81" s="1">
        <v>3.6222200767503999E-7</v>
      </c>
      <c r="BO81" s="1">
        <v>3.8166903330818901E-6</v>
      </c>
      <c r="BP81">
        <v>0</v>
      </c>
      <c r="BQ81">
        <v>0</v>
      </c>
      <c r="BR81" s="1">
        <v>5.4638720818375401E-5</v>
      </c>
      <c r="BS81">
        <v>1.3916588213865199E-4</v>
      </c>
    </row>
    <row r="82" spans="1:71" x14ac:dyDescent="0.25">
      <c r="A82">
        <v>79</v>
      </c>
      <c r="B82" s="1">
        <v>5.3236396532386904E-6</v>
      </c>
      <c r="C82">
        <v>0.132667198818578</v>
      </c>
      <c r="D82">
        <v>-4.9156395759873304E-4</v>
      </c>
      <c r="E82">
        <v>6.1312499999999995E-4</v>
      </c>
      <c r="F82">
        <v>-1.3266719881857799E-3</v>
      </c>
      <c r="G82" s="1">
        <v>1.0842021724855E-19</v>
      </c>
      <c r="H82" t="s">
        <v>74</v>
      </c>
      <c r="I82">
        <v>0</v>
      </c>
      <c r="J82" t="s">
        <v>75</v>
      </c>
      <c r="K82">
        <v>3.14159265358979</v>
      </c>
      <c r="L82">
        <v>0.66578247070079899</v>
      </c>
      <c r="M82">
        <v>0</v>
      </c>
      <c r="N82">
        <v>3.90914622259462E-2</v>
      </c>
      <c r="O82">
        <v>0</v>
      </c>
      <c r="P82">
        <v>1.6E-2</v>
      </c>
      <c r="Q82">
        <v>0</v>
      </c>
      <c r="R82">
        <v>0</v>
      </c>
      <c r="S82">
        <v>0</v>
      </c>
      <c r="T82">
        <v>0</v>
      </c>
      <c r="U82">
        <v>0.67115165733573101</v>
      </c>
      <c r="V82" t="s">
        <v>78</v>
      </c>
      <c r="W82">
        <v>3884143.42443622</v>
      </c>
      <c r="X82" t="s">
        <v>76</v>
      </c>
      <c r="Y82">
        <v>-1.5707963267949001</v>
      </c>
      <c r="Z82">
        <v>0.66508399226655301</v>
      </c>
      <c r="AA82">
        <v>0</v>
      </c>
      <c r="AB82">
        <v>3.8647109446833701E-2</v>
      </c>
      <c r="AC82">
        <v>0</v>
      </c>
      <c r="AD82">
        <v>4.5488665026625699E-3</v>
      </c>
      <c r="AE82">
        <v>1.33572536217859E-2</v>
      </c>
      <c r="AF82">
        <v>0</v>
      </c>
      <c r="AG82">
        <v>0.23042057438751701</v>
      </c>
      <c r="AH82">
        <v>0.26179394632765901</v>
      </c>
      <c r="AI82">
        <v>0.42091812616213098</v>
      </c>
      <c r="AJ82" t="s">
        <v>74</v>
      </c>
      <c r="AK82">
        <v>0</v>
      </c>
      <c r="AL82" t="s">
        <v>77</v>
      </c>
      <c r="AM82">
        <v>0</v>
      </c>
      <c r="AN82">
        <v>0.99199999999999999</v>
      </c>
      <c r="AO82">
        <v>0</v>
      </c>
      <c r="AP82">
        <v>5.8245346242475203E-2</v>
      </c>
      <c r="AQ82">
        <v>0</v>
      </c>
      <c r="AR82">
        <v>1.6E-2</v>
      </c>
      <c r="AS82">
        <v>0</v>
      </c>
      <c r="AT82">
        <v>0</v>
      </c>
      <c r="AU82">
        <v>0</v>
      </c>
      <c r="AV82">
        <v>0</v>
      </c>
      <c r="AW82">
        <v>1</v>
      </c>
      <c r="AX82" t="s">
        <v>74</v>
      </c>
      <c r="AY82">
        <v>0</v>
      </c>
      <c r="AZ82" t="s">
        <v>76</v>
      </c>
      <c r="BA82">
        <v>-1.5707963267949001</v>
      </c>
      <c r="BB82">
        <v>0.99199999999999999</v>
      </c>
      <c r="BC82">
        <v>0</v>
      </c>
      <c r="BD82">
        <v>5.8245346242475203E-2</v>
      </c>
      <c r="BE82">
        <v>0</v>
      </c>
      <c r="BF82">
        <v>1.6E-2</v>
      </c>
      <c r="BG82">
        <v>0</v>
      </c>
      <c r="BH82">
        <v>0</v>
      </c>
      <c r="BI82">
        <v>0</v>
      </c>
      <c r="BJ82">
        <v>0</v>
      </c>
      <c r="BK82">
        <v>1</v>
      </c>
      <c r="BL82" s="1">
        <v>9.7114632078865206E-5</v>
      </c>
      <c r="BM82">
        <v>2.4610726035758799E-4</v>
      </c>
      <c r="BN82" s="1">
        <v>3.6131982338186702E-7</v>
      </c>
      <c r="BO82" s="1">
        <v>3.8658438056725398E-6</v>
      </c>
      <c r="BP82">
        <v>0</v>
      </c>
      <c r="BQ82">
        <v>0</v>
      </c>
      <c r="BR82" s="1">
        <v>5.44845042387855E-5</v>
      </c>
      <c r="BS82">
        <v>1.40958856563741E-4</v>
      </c>
    </row>
    <row r="83" spans="1:71" x14ac:dyDescent="0.25">
      <c r="A83">
        <v>80</v>
      </c>
      <c r="B83" s="1">
        <v>5.3639963521629998E-6</v>
      </c>
      <c r="C83">
        <v>0.13267256281493001</v>
      </c>
      <c r="D83">
        <v>-4.9158796982456097E-4</v>
      </c>
      <c r="E83">
        <v>6.1312499999999995E-4</v>
      </c>
      <c r="F83">
        <v>-1.3267256281493001E-3</v>
      </c>
      <c r="G83" s="1">
        <v>1.0842021724855E-19</v>
      </c>
      <c r="H83" t="s">
        <v>74</v>
      </c>
      <c r="I83">
        <v>0</v>
      </c>
      <c r="J83" t="s">
        <v>75</v>
      </c>
      <c r="K83">
        <v>3.14159265358979</v>
      </c>
      <c r="L83">
        <v>0.66163691341234698</v>
      </c>
      <c r="M83">
        <v>0</v>
      </c>
      <c r="N83">
        <v>3.8848055552928203E-2</v>
      </c>
      <c r="O83">
        <v>0</v>
      </c>
      <c r="P83">
        <v>1.6E-2</v>
      </c>
      <c r="Q83">
        <v>0</v>
      </c>
      <c r="R83">
        <v>0</v>
      </c>
      <c r="S83">
        <v>0</v>
      </c>
      <c r="T83">
        <v>0</v>
      </c>
      <c r="U83">
        <v>0.66697267724919995</v>
      </c>
      <c r="V83" t="s">
        <v>78</v>
      </c>
      <c r="W83">
        <v>3884350.6382897398</v>
      </c>
      <c r="X83" t="s">
        <v>76</v>
      </c>
      <c r="Y83">
        <v>-1.5707963267949001</v>
      </c>
      <c r="Z83">
        <v>0.66094083324672404</v>
      </c>
      <c r="AA83">
        <v>0</v>
      </c>
      <c r="AB83">
        <v>3.84052284864164E-2</v>
      </c>
      <c r="AC83">
        <v>0</v>
      </c>
      <c r="AD83">
        <v>4.39142648702539E-3</v>
      </c>
      <c r="AE83">
        <v>1.3517112917059799E-2</v>
      </c>
      <c r="AF83">
        <v>0</v>
      </c>
      <c r="AG83">
        <v>0.228468386955342</v>
      </c>
      <c r="AH83">
        <v>0.27000117314479899</v>
      </c>
      <c r="AI83">
        <v>0.41446148183589199</v>
      </c>
      <c r="AJ83" t="s">
        <v>74</v>
      </c>
      <c r="AK83">
        <v>0</v>
      </c>
      <c r="AL83" t="s">
        <v>77</v>
      </c>
      <c r="AM83">
        <v>0</v>
      </c>
      <c r="AN83">
        <v>0.99199999999999999</v>
      </c>
      <c r="AO83">
        <v>0</v>
      </c>
      <c r="AP83">
        <v>5.8245346242475203E-2</v>
      </c>
      <c r="AQ83">
        <v>0</v>
      </c>
      <c r="AR83">
        <v>1.6E-2</v>
      </c>
      <c r="AS83">
        <v>0</v>
      </c>
      <c r="AT83">
        <v>0</v>
      </c>
      <c r="AU83">
        <v>0</v>
      </c>
      <c r="AV83">
        <v>0</v>
      </c>
      <c r="AW83">
        <v>1</v>
      </c>
      <c r="AX83" t="s">
        <v>74</v>
      </c>
      <c r="AY83">
        <v>0</v>
      </c>
      <c r="AZ83" t="s">
        <v>76</v>
      </c>
      <c r="BA83">
        <v>-1.5707963267949001</v>
      </c>
      <c r="BB83">
        <v>0.99199999999999999</v>
      </c>
      <c r="BC83">
        <v>0</v>
      </c>
      <c r="BD83">
        <v>5.8245346242475203E-2</v>
      </c>
      <c r="BE83">
        <v>0</v>
      </c>
      <c r="BF83">
        <v>1.6E-2</v>
      </c>
      <c r="BG83">
        <v>0</v>
      </c>
      <c r="BH83">
        <v>0</v>
      </c>
      <c r="BI83">
        <v>0</v>
      </c>
      <c r="BJ83">
        <v>0</v>
      </c>
      <c r="BK83">
        <v>1</v>
      </c>
      <c r="BL83" s="1">
        <v>9.6871988262147506E-5</v>
      </c>
      <c r="BM83">
        <v>2.4923478005007101E-4</v>
      </c>
      <c r="BN83" s="1">
        <v>3.6041814924189398E-7</v>
      </c>
      <c r="BO83" s="1">
        <v>3.9149707701218502E-6</v>
      </c>
      <c r="BP83">
        <v>0</v>
      </c>
      <c r="BQ83">
        <v>0</v>
      </c>
      <c r="BR83" s="1">
        <v>5.4330371605314299E-5</v>
      </c>
      <c r="BS83">
        <v>1.4275088820378201E-4</v>
      </c>
    </row>
    <row r="84" spans="1:71" x14ac:dyDescent="0.25">
      <c r="A84">
        <v>81</v>
      </c>
      <c r="B84" s="1">
        <v>5.4094415708165796E-6</v>
      </c>
      <c r="C84">
        <v>0.13267797225650099</v>
      </c>
      <c r="D84">
        <v>-4.9161218483895501E-4</v>
      </c>
      <c r="E84">
        <v>6.1312499999999995E-4</v>
      </c>
      <c r="F84">
        <v>-1.3267797225650099E-3</v>
      </c>
      <c r="G84" s="1">
        <v>1.0842021724855E-19</v>
      </c>
      <c r="H84" t="s">
        <v>74</v>
      </c>
      <c r="I84">
        <v>0</v>
      </c>
      <c r="J84" t="s">
        <v>75</v>
      </c>
      <c r="K84">
        <v>3.14159265358979</v>
      </c>
      <c r="L84">
        <v>0.65749373999733196</v>
      </c>
      <c r="M84">
        <v>0</v>
      </c>
      <c r="N84">
        <v>3.8604788849198102E-2</v>
      </c>
      <c r="O84">
        <v>0</v>
      </c>
      <c r="P84">
        <v>1.6E-2</v>
      </c>
      <c r="Q84">
        <v>0</v>
      </c>
      <c r="R84">
        <v>0</v>
      </c>
      <c r="S84">
        <v>0</v>
      </c>
      <c r="T84">
        <v>0</v>
      </c>
      <c r="U84">
        <v>0.66279609727920297</v>
      </c>
      <c r="V84" t="s">
        <v>78</v>
      </c>
      <c r="W84">
        <v>3884559.6021101498</v>
      </c>
      <c r="X84" t="s">
        <v>76</v>
      </c>
      <c r="Y84">
        <v>-1.5707963267949001</v>
      </c>
      <c r="Z84">
        <v>0.65680006331381002</v>
      </c>
      <c r="AA84">
        <v>0</v>
      </c>
      <c r="AB84">
        <v>3.8163490811959903E-2</v>
      </c>
      <c r="AC84">
        <v>0</v>
      </c>
      <c r="AD84">
        <v>4.2344820301652699E-3</v>
      </c>
      <c r="AE84">
        <v>1.3676458697171901E-2</v>
      </c>
      <c r="AF84">
        <v>0</v>
      </c>
      <c r="AG84">
        <v>0.22631655142736101</v>
      </c>
      <c r="AH84">
        <v>0.27840445114153101</v>
      </c>
      <c r="AI84">
        <v>0.408037233788767</v>
      </c>
      <c r="AJ84" t="s">
        <v>74</v>
      </c>
      <c r="AK84">
        <v>0</v>
      </c>
      <c r="AL84" t="s">
        <v>77</v>
      </c>
      <c r="AM84">
        <v>0</v>
      </c>
      <c r="AN84">
        <v>0.99199999999999999</v>
      </c>
      <c r="AO84">
        <v>0</v>
      </c>
      <c r="AP84">
        <v>5.8245346242475203E-2</v>
      </c>
      <c r="AQ84">
        <v>0</v>
      </c>
      <c r="AR84">
        <v>1.6E-2</v>
      </c>
      <c r="AS84">
        <v>0</v>
      </c>
      <c r="AT84">
        <v>0</v>
      </c>
      <c r="AU84">
        <v>0</v>
      </c>
      <c r="AV84">
        <v>0</v>
      </c>
      <c r="AW84">
        <v>1</v>
      </c>
      <c r="AX84" t="s">
        <v>74</v>
      </c>
      <c r="AY84">
        <v>0</v>
      </c>
      <c r="AZ84" t="s">
        <v>76</v>
      </c>
      <c r="BA84">
        <v>-1.5707963267949001</v>
      </c>
      <c r="BB84">
        <v>0.99199999999999999</v>
      </c>
      <c r="BC84">
        <v>0</v>
      </c>
      <c r="BD84">
        <v>5.8245346242475203E-2</v>
      </c>
      <c r="BE84">
        <v>0</v>
      </c>
      <c r="BF84">
        <v>1.6E-2</v>
      </c>
      <c r="BG84">
        <v>0</v>
      </c>
      <c r="BH84">
        <v>0</v>
      </c>
      <c r="BI84">
        <v>0</v>
      </c>
      <c r="BJ84">
        <v>0</v>
      </c>
      <c r="BK84">
        <v>1</v>
      </c>
      <c r="BL84" s="1">
        <v>9.6629486073054202E-5</v>
      </c>
      <c r="BM84">
        <v>2.52360501284446E-4</v>
      </c>
      <c r="BN84" s="1">
        <v>3.59517012476371E-7</v>
      </c>
      <c r="BO84" s="1">
        <v>3.9640694844572603E-6</v>
      </c>
      <c r="BP84">
        <v>0</v>
      </c>
      <c r="BQ84">
        <v>0</v>
      </c>
      <c r="BR84" s="1">
        <v>5.41763283112906E-5</v>
      </c>
      <c r="BS84">
        <v>1.4454191443764199E-4</v>
      </c>
    </row>
    <row r="85" spans="1:71" x14ac:dyDescent="0.25">
      <c r="A85">
        <v>82</v>
      </c>
      <c r="B85" s="1">
        <v>5.4603558197305399E-6</v>
      </c>
      <c r="C85">
        <v>0.13268343261232099</v>
      </c>
      <c r="D85">
        <v>-4.9163662710656995E-4</v>
      </c>
      <c r="E85">
        <v>6.1312499999999995E-4</v>
      </c>
      <c r="F85">
        <v>-1.3268343261232101E-3</v>
      </c>
      <c r="G85">
        <v>0</v>
      </c>
      <c r="H85" t="s">
        <v>74</v>
      </c>
      <c r="I85">
        <v>0</v>
      </c>
      <c r="J85" t="s">
        <v>75</v>
      </c>
      <c r="K85">
        <v>3.14159265358979</v>
      </c>
      <c r="L85">
        <v>0.65335311244813699</v>
      </c>
      <c r="M85">
        <v>0</v>
      </c>
      <c r="N85">
        <v>3.8361671626149799E-2</v>
      </c>
      <c r="O85">
        <v>0</v>
      </c>
      <c r="P85">
        <v>1.6E-2</v>
      </c>
      <c r="Q85">
        <v>0</v>
      </c>
      <c r="R85">
        <v>0</v>
      </c>
      <c r="S85">
        <v>0</v>
      </c>
      <c r="T85">
        <v>0</v>
      </c>
      <c r="U85">
        <v>0.65862208167177205</v>
      </c>
      <c r="V85" t="s">
        <v>78</v>
      </c>
      <c r="W85">
        <v>3884770.5270155501</v>
      </c>
      <c r="X85" t="s">
        <v>76</v>
      </c>
      <c r="Y85">
        <v>-1.5707963267949001</v>
      </c>
      <c r="Z85">
        <v>0.65266184260634397</v>
      </c>
      <c r="AA85">
        <v>0</v>
      </c>
      <c r="AB85">
        <v>3.7921904755487498E-2</v>
      </c>
      <c r="AC85">
        <v>0</v>
      </c>
      <c r="AD85">
        <v>4.0780459687698896E-3</v>
      </c>
      <c r="AE85">
        <v>1.3835280004759001E-2</v>
      </c>
      <c r="AF85">
        <v>0</v>
      </c>
      <c r="AG85">
        <v>0.22395886317907901</v>
      </c>
      <c r="AH85">
        <v>0.28700974051953998</v>
      </c>
      <c r="AI85">
        <v>0.40164588484034103</v>
      </c>
      <c r="AJ85" t="s">
        <v>74</v>
      </c>
      <c r="AK85">
        <v>0</v>
      </c>
      <c r="AL85" t="s">
        <v>77</v>
      </c>
      <c r="AM85">
        <v>0</v>
      </c>
      <c r="AN85">
        <v>0.99199999999999999</v>
      </c>
      <c r="AO85">
        <v>0</v>
      </c>
      <c r="AP85">
        <v>5.8245346242475203E-2</v>
      </c>
      <c r="AQ85">
        <v>0</v>
      </c>
      <c r="AR85">
        <v>1.6E-2</v>
      </c>
      <c r="AS85">
        <v>0</v>
      </c>
      <c r="AT85">
        <v>0</v>
      </c>
      <c r="AU85">
        <v>0</v>
      </c>
      <c r="AV85">
        <v>0</v>
      </c>
      <c r="AW85">
        <v>1</v>
      </c>
      <c r="AX85" t="s">
        <v>74</v>
      </c>
      <c r="AY85">
        <v>0</v>
      </c>
      <c r="AZ85" t="s">
        <v>76</v>
      </c>
      <c r="BA85">
        <v>-1.5707963267949001</v>
      </c>
      <c r="BB85">
        <v>0.99199999999999999</v>
      </c>
      <c r="BC85">
        <v>0</v>
      </c>
      <c r="BD85">
        <v>5.8245346242475203E-2</v>
      </c>
      <c r="BE85">
        <v>0</v>
      </c>
      <c r="BF85">
        <v>1.6E-2</v>
      </c>
      <c r="BG85">
        <v>0</v>
      </c>
      <c r="BH85">
        <v>0</v>
      </c>
      <c r="BI85">
        <v>0</v>
      </c>
      <c r="BJ85">
        <v>0</v>
      </c>
      <c r="BK85">
        <v>1</v>
      </c>
      <c r="BL85" s="1">
        <v>9.6387134433293799E-5</v>
      </c>
      <c r="BM85">
        <v>2.5548430184930997E-4</v>
      </c>
      <c r="BN85" s="1">
        <v>3.5861644328036402E-7</v>
      </c>
      <c r="BO85" s="1">
        <v>4.0131380289865402E-6</v>
      </c>
      <c r="BP85">
        <v>0</v>
      </c>
      <c r="BQ85">
        <v>0</v>
      </c>
      <c r="BR85" s="1">
        <v>5.4022380303713297E-5</v>
      </c>
      <c r="BS85">
        <v>1.4633186625054201E-4</v>
      </c>
    </row>
    <row r="86" spans="1:71" x14ac:dyDescent="0.25">
      <c r="A86">
        <v>83</v>
      </c>
      <c r="B86" s="1">
        <v>5.5171760997523602E-6</v>
      </c>
      <c r="C86">
        <v>0.132688949788421</v>
      </c>
      <c r="D86">
        <v>-4.91661323045342E-4</v>
      </c>
      <c r="E86">
        <v>6.1312499999999995E-4</v>
      </c>
      <c r="F86">
        <v>-1.3268894978842099E-3</v>
      </c>
      <c r="G86">
        <v>0</v>
      </c>
      <c r="H86" t="s">
        <v>74</v>
      </c>
      <c r="I86">
        <v>0</v>
      </c>
      <c r="J86" t="s">
        <v>75</v>
      </c>
      <c r="K86">
        <v>3.14159265358979</v>
      </c>
      <c r="L86">
        <v>0.64921520985966996</v>
      </c>
      <c r="M86">
        <v>0</v>
      </c>
      <c r="N86">
        <v>3.81187143993525E-2</v>
      </c>
      <c r="O86">
        <v>0</v>
      </c>
      <c r="P86">
        <v>1.6E-2</v>
      </c>
      <c r="Q86">
        <v>0</v>
      </c>
      <c r="R86">
        <v>0</v>
      </c>
      <c r="S86">
        <v>0</v>
      </c>
      <c r="T86">
        <v>0</v>
      </c>
      <c r="U86">
        <v>0.654450811617868</v>
      </c>
      <c r="V86" t="s">
        <v>78</v>
      </c>
      <c r="W86">
        <v>3884983.64097992</v>
      </c>
      <c r="X86" t="s">
        <v>76</v>
      </c>
      <c r="Y86">
        <v>-1.5707963267949001</v>
      </c>
      <c r="Z86">
        <v>0.64852634823753597</v>
      </c>
      <c r="AA86">
        <v>0</v>
      </c>
      <c r="AB86">
        <v>3.7680479571869499E-2</v>
      </c>
      <c r="AC86">
        <v>0</v>
      </c>
      <c r="AD86">
        <v>3.9221318927633404E-3</v>
      </c>
      <c r="AE86">
        <v>1.3993565201832901E-2</v>
      </c>
      <c r="AF86">
        <v>0</v>
      </c>
      <c r="AG86">
        <v>0.22138868971578499</v>
      </c>
      <c r="AH86">
        <v>0.29582340354553299</v>
      </c>
      <c r="AI86">
        <v>0.39528796181805897</v>
      </c>
      <c r="AJ86" t="s">
        <v>74</v>
      </c>
      <c r="AK86">
        <v>0</v>
      </c>
      <c r="AL86" t="s">
        <v>77</v>
      </c>
      <c r="AM86">
        <v>0</v>
      </c>
      <c r="AN86">
        <v>0.99199999999999999</v>
      </c>
      <c r="AO86">
        <v>0</v>
      </c>
      <c r="AP86">
        <v>5.8245346242475203E-2</v>
      </c>
      <c r="AQ86">
        <v>0</v>
      </c>
      <c r="AR86">
        <v>1.6E-2</v>
      </c>
      <c r="AS86">
        <v>0</v>
      </c>
      <c r="AT86">
        <v>0</v>
      </c>
      <c r="AU86">
        <v>0</v>
      </c>
      <c r="AV86">
        <v>0</v>
      </c>
      <c r="AW86">
        <v>1</v>
      </c>
      <c r="AX86" t="s">
        <v>74</v>
      </c>
      <c r="AY86">
        <v>0</v>
      </c>
      <c r="AZ86" t="s">
        <v>76</v>
      </c>
      <c r="BA86">
        <v>-1.5707963267949001</v>
      </c>
      <c r="BB86">
        <v>0.99199999999999999</v>
      </c>
      <c r="BC86">
        <v>0</v>
      </c>
      <c r="BD86">
        <v>5.8245346242475203E-2</v>
      </c>
      <c r="BE86">
        <v>0</v>
      </c>
      <c r="BF86">
        <v>1.6E-2</v>
      </c>
      <c r="BG86">
        <v>0</v>
      </c>
      <c r="BH86">
        <v>0</v>
      </c>
      <c r="BI86">
        <v>0</v>
      </c>
      <c r="BJ86">
        <v>0</v>
      </c>
      <c r="BK86">
        <v>1</v>
      </c>
      <c r="BL86" s="1">
        <v>9.6144943228086206E-5</v>
      </c>
      <c r="BM86">
        <v>2.5860604663065901E-4</v>
      </c>
      <c r="BN86" s="1">
        <v>3.57716475231146E-7</v>
      </c>
      <c r="BO86" s="1">
        <v>4.0621742813438903E-6</v>
      </c>
      <c r="BP86">
        <v>0</v>
      </c>
      <c r="BQ86">
        <v>0</v>
      </c>
      <c r="BR86" s="1">
        <v>5.3868534160808698E-5</v>
      </c>
      <c r="BS86">
        <v>1.48120667335163E-4</v>
      </c>
    </row>
    <row r="87" spans="1:71" x14ac:dyDescent="0.25">
      <c r="A87">
        <v>84</v>
      </c>
      <c r="B87" s="1">
        <v>5.5804054789204797E-6</v>
      </c>
      <c r="C87">
        <v>0.13269453019390001</v>
      </c>
      <c r="D87">
        <v>-4.9168630132188104E-4</v>
      </c>
      <c r="E87">
        <v>6.1312499999999995E-4</v>
      </c>
      <c r="F87">
        <v>-1.326945301939E-3</v>
      </c>
      <c r="G87" s="1">
        <v>1.0842021724855E-19</v>
      </c>
      <c r="H87" t="s">
        <v>74</v>
      </c>
      <c r="I87">
        <v>0</v>
      </c>
      <c r="J87" t="s">
        <v>75</v>
      </c>
      <c r="K87">
        <v>3.14159265358979</v>
      </c>
      <c r="L87">
        <v>0.64508023091629196</v>
      </c>
      <c r="M87">
        <v>0</v>
      </c>
      <c r="N87">
        <v>3.7875928834571901E-2</v>
      </c>
      <c r="O87">
        <v>0</v>
      </c>
      <c r="P87">
        <v>1.6E-2</v>
      </c>
      <c r="Q87">
        <v>0</v>
      </c>
      <c r="R87">
        <v>0</v>
      </c>
      <c r="S87">
        <v>0</v>
      </c>
      <c r="T87">
        <v>0</v>
      </c>
      <c r="U87">
        <v>0.65028248785196197</v>
      </c>
      <c r="V87" t="s">
        <v>78</v>
      </c>
      <c r="W87">
        <v>3885199.1913821502</v>
      </c>
      <c r="X87" t="s">
        <v>76</v>
      </c>
      <c r="Y87">
        <v>-1.5707963267949001</v>
      </c>
      <c r="Z87">
        <v>0.64439377676054599</v>
      </c>
      <c r="AA87">
        <v>0</v>
      </c>
      <c r="AB87">
        <v>3.74392255710582E-2</v>
      </c>
      <c r="AC87">
        <v>0</v>
      </c>
      <c r="AD87">
        <v>3.7667542479108201E-3</v>
      </c>
      <c r="AE87">
        <v>1.4151301882818899E-2</v>
      </c>
      <c r="AF87">
        <v>0</v>
      </c>
      <c r="AG87">
        <v>0.21859892568898601</v>
      </c>
      <c r="AH87">
        <v>0.30485224578236603</v>
      </c>
      <c r="AI87">
        <v>0.38896401873613201</v>
      </c>
      <c r="AJ87" t="s">
        <v>74</v>
      </c>
      <c r="AK87">
        <v>0</v>
      </c>
      <c r="AL87" t="s">
        <v>77</v>
      </c>
      <c r="AM87">
        <v>0</v>
      </c>
      <c r="AN87">
        <v>0.99199999999999999</v>
      </c>
      <c r="AO87">
        <v>0</v>
      </c>
      <c r="AP87">
        <v>5.8245346242475203E-2</v>
      </c>
      <c r="AQ87">
        <v>0</v>
      </c>
      <c r="AR87">
        <v>1.6E-2</v>
      </c>
      <c r="AS87">
        <v>0</v>
      </c>
      <c r="AT87">
        <v>0</v>
      </c>
      <c r="AU87">
        <v>0</v>
      </c>
      <c r="AV87">
        <v>0</v>
      </c>
      <c r="AW87">
        <v>1</v>
      </c>
      <c r="AX87" t="s">
        <v>74</v>
      </c>
      <c r="AY87">
        <v>0</v>
      </c>
      <c r="AZ87" t="s">
        <v>76</v>
      </c>
      <c r="BA87">
        <v>-1.5707963267949001</v>
      </c>
      <c r="BB87">
        <v>0.99199999999999999</v>
      </c>
      <c r="BC87">
        <v>0</v>
      </c>
      <c r="BD87">
        <v>5.8245346242475203E-2</v>
      </c>
      <c r="BE87">
        <v>0</v>
      </c>
      <c r="BF87">
        <v>1.6E-2</v>
      </c>
      <c r="BG87">
        <v>0</v>
      </c>
      <c r="BH87">
        <v>0</v>
      </c>
      <c r="BI87">
        <v>0</v>
      </c>
      <c r="BJ87">
        <v>0</v>
      </c>
      <c r="BK87">
        <v>1</v>
      </c>
      <c r="BL87" s="1">
        <v>9.5902923445290197E-5</v>
      </c>
      <c r="BM87">
        <v>2.6172558573567598E-4</v>
      </c>
      <c r="BN87" s="1">
        <v>3.5681714577119799E-7</v>
      </c>
      <c r="BO87" s="1">
        <v>4.1111758870184196E-6</v>
      </c>
      <c r="BP87">
        <v>0</v>
      </c>
      <c r="BQ87">
        <v>0</v>
      </c>
      <c r="BR87" s="1">
        <v>5.3714797183639197E-5</v>
      </c>
      <c r="BS87">
        <v>1.4990823302992801E-4</v>
      </c>
    </row>
    <row r="88" spans="1:71" x14ac:dyDescent="0.25">
      <c r="A88">
        <v>85</v>
      </c>
      <c r="B88" s="1">
        <v>5.65062479811932E-6</v>
      </c>
      <c r="C88">
        <v>0.132700180818698</v>
      </c>
      <c r="D88">
        <v>-4.9171159319917905E-4</v>
      </c>
      <c r="E88">
        <v>6.1312499999999995E-4</v>
      </c>
      <c r="F88">
        <v>-1.32700180818698E-3</v>
      </c>
      <c r="G88">
        <v>0</v>
      </c>
      <c r="H88" t="s">
        <v>74</v>
      </c>
      <c r="I88">
        <v>0</v>
      </c>
      <c r="J88" t="s">
        <v>75</v>
      </c>
      <c r="K88">
        <v>3.14159265358979</v>
      </c>
      <c r="L88">
        <v>0.64094839684581595</v>
      </c>
      <c r="M88">
        <v>0</v>
      </c>
      <c r="N88">
        <v>3.7633327921213697E-2</v>
      </c>
      <c r="O88">
        <v>0</v>
      </c>
      <c r="P88">
        <v>1.6E-2</v>
      </c>
      <c r="Q88">
        <v>0</v>
      </c>
      <c r="R88">
        <v>0</v>
      </c>
      <c r="S88">
        <v>0</v>
      </c>
      <c r="T88">
        <v>0</v>
      </c>
      <c r="U88">
        <v>0.64611733369295599</v>
      </c>
      <c r="V88" t="s">
        <v>78</v>
      </c>
      <c r="W88">
        <v>3885417.4480067301</v>
      </c>
      <c r="X88" t="s">
        <v>76</v>
      </c>
      <c r="Y88">
        <v>-1.5707963267949001</v>
      </c>
      <c r="Z88">
        <v>0.64026434709697</v>
      </c>
      <c r="AA88">
        <v>0</v>
      </c>
      <c r="AB88">
        <v>3.7198154275308301E-2</v>
      </c>
      <c r="AC88">
        <v>0</v>
      </c>
      <c r="AD88">
        <v>3.61192845700319E-3</v>
      </c>
      <c r="AE88">
        <v>1.4308476771454101E-2</v>
      </c>
      <c r="AF88">
        <v>0</v>
      </c>
      <c r="AG88">
        <v>0.21558194157291499</v>
      </c>
      <c r="AH88">
        <v>0.31410356295540898</v>
      </c>
      <c r="AI88">
        <v>0.38267464054573702</v>
      </c>
      <c r="AJ88" t="s">
        <v>74</v>
      </c>
      <c r="AK88">
        <v>0</v>
      </c>
      <c r="AL88" t="s">
        <v>77</v>
      </c>
      <c r="AM88">
        <v>0</v>
      </c>
      <c r="AN88">
        <v>0.99199999999999999</v>
      </c>
      <c r="AO88">
        <v>0</v>
      </c>
      <c r="AP88">
        <v>5.8245346242475203E-2</v>
      </c>
      <c r="AQ88">
        <v>0</v>
      </c>
      <c r="AR88">
        <v>1.6E-2</v>
      </c>
      <c r="AS88">
        <v>0</v>
      </c>
      <c r="AT88">
        <v>0</v>
      </c>
      <c r="AU88">
        <v>0</v>
      </c>
      <c r="AV88">
        <v>0</v>
      </c>
      <c r="AW88">
        <v>1</v>
      </c>
      <c r="AX88" t="s">
        <v>74</v>
      </c>
      <c r="AY88">
        <v>0</v>
      </c>
      <c r="AZ88" t="s">
        <v>76</v>
      </c>
      <c r="BA88">
        <v>-1.5707963267949001</v>
      </c>
      <c r="BB88">
        <v>0.99199999999999999</v>
      </c>
      <c r="BC88">
        <v>0</v>
      </c>
      <c r="BD88">
        <v>5.8245346242475203E-2</v>
      </c>
      <c r="BE88">
        <v>0</v>
      </c>
      <c r="BF88">
        <v>1.6E-2</v>
      </c>
      <c r="BG88">
        <v>0</v>
      </c>
      <c r="BH88">
        <v>0</v>
      </c>
      <c r="BI88">
        <v>0</v>
      </c>
      <c r="BJ88">
        <v>0</v>
      </c>
      <c r="BK88">
        <v>1</v>
      </c>
      <c r="BL88" s="1">
        <v>9.5661087340736197E-5</v>
      </c>
      <c r="BM88">
        <v>2.6484275226416198E-4</v>
      </c>
      <c r="BN88" s="1">
        <v>3.5591849678260198E-7</v>
      </c>
      <c r="BO88" s="1">
        <v>4.1601402243479599E-6</v>
      </c>
      <c r="BP88">
        <v>0</v>
      </c>
      <c r="BQ88">
        <v>0</v>
      </c>
      <c r="BR88" s="1">
        <v>5.3561177504926303E-5</v>
      </c>
      <c r="BS88">
        <v>1.5169446905778999E-4</v>
      </c>
    </row>
    <row r="89" spans="1:71" x14ac:dyDescent="0.25">
      <c r="A89">
        <v>86</v>
      </c>
      <c r="B89" s="1">
        <v>5.7285070718828999E-6</v>
      </c>
      <c r="C89">
        <v>0.13270590932577001</v>
      </c>
      <c r="D89">
        <v>-4.9173723294871101E-4</v>
      </c>
      <c r="E89">
        <v>6.1312499999999995E-4</v>
      </c>
      <c r="F89">
        <v>-1.3270590932577E-3</v>
      </c>
      <c r="G89" s="1">
        <v>1.0842021724855E-19</v>
      </c>
      <c r="H89" t="s">
        <v>74</v>
      </c>
      <c r="I89">
        <v>0</v>
      </c>
      <c r="J89" t="s">
        <v>75</v>
      </c>
      <c r="K89">
        <v>3.14159265358979</v>
      </c>
      <c r="L89">
        <v>0.63681995494902499</v>
      </c>
      <c r="M89">
        <v>0</v>
      </c>
      <c r="N89">
        <v>3.73909261795599E-2</v>
      </c>
      <c r="O89">
        <v>0</v>
      </c>
      <c r="P89">
        <v>1.6E-2</v>
      </c>
      <c r="Q89">
        <v>0</v>
      </c>
      <c r="R89">
        <v>0</v>
      </c>
      <c r="S89">
        <v>0</v>
      </c>
      <c r="T89">
        <v>0</v>
      </c>
      <c r="U89">
        <v>0.64195559864574603</v>
      </c>
      <c r="V89" t="s">
        <v>78</v>
      </c>
      <c r="W89">
        <v>3885638.7065998302</v>
      </c>
      <c r="X89" t="s">
        <v>76</v>
      </c>
      <c r="Y89">
        <v>-1.5707963267949001</v>
      </c>
      <c r="Z89">
        <v>0.63613830403613003</v>
      </c>
      <c r="AA89">
        <v>0</v>
      </c>
      <c r="AB89">
        <v>3.69572786071794E-2</v>
      </c>
      <c r="AC89">
        <v>0</v>
      </c>
      <c r="AD89">
        <v>3.4576710639880699E-3</v>
      </c>
      <c r="AE89">
        <v>1.44650755977469E-2</v>
      </c>
      <c r="AF89">
        <v>0</v>
      </c>
      <c r="AG89">
        <v>0.212329524876362</v>
      </c>
      <c r="AH89">
        <v>0.32358519441517603</v>
      </c>
      <c r="AI89">
        <v>0.37642044759072602</v>
      </c>
      <c r="AJ89" t="s">
        <v>74</v>
      </c>
      <c r="AK89">
        <v>0</v>
      </c>
      <c r="AL89" t="s">
        <v>77</v>
      </c>
      <c r="AM89">
        <v>0</v>
      </c>
      <c r="AN89">
        <v>0.99199999999999999</v>
      </c>
      <c r="AO89">
        <v>0</v>
      </c>
      <c r="AP89">
        <v>5.8245346242475203E-2</v>
      </c>
      <c r="AQ89">
        <v>0</v>
      </c>
      <c r="AR89">
        <v>1.6E-2</v>
      </c>
      <c r="AS89">
        <v>0</v>
      </c>
      <c r="AT89">
        <v>0</v>
      </c>
      <c r="AU89">
        <v>0</v>
      </c>
      <c r="AV89">
        <v>0</v>
      </c>
      <c r="AW89">
        <v>1</v>
      </c>
      <c r="AX89" t="s">
        <v>74</v>
      </c>
      <c r="AY89">
        <v>0</v>
      </c>
      <c r="AZ89" t="s">
        <v>76</v>
      </c>
      <c r="BA89">
        <v>-1.5707963267949001</v>
      </c>
      <c r="BB89">
        <v>0.99199999999999999</v>
      </c>
      <c r="BC89">
        <v>0</v>
      </c>
      <c r="BD89">
        <v>5.8245346242475203E-2</v>
      </c>
      <c r="BE89">
        <v>0</v>
      </c>
      <c r="BF89">
        <v>1.6E-2</v>
      </c>
      <c r="BG89">
        <v>0</v>
      </c>
      <c r="BH89">
        <v>0</v>
      </c>
      <c r="BI89">
        <v>0</v>
      </c>
      <c r="BJ89">
        <v>0</v>
      </c>
      <c r="BK89">
        <v>1</v>
      </c>
      <c r="BL89" s="1">
        <v>9.5419448635844894E-5</v>
      </c>
      <c r="BM89">
        <v>2.6795735964576899E-4</v>
      </c>
      <c r="BN89" s="1">
        <v>3.5502057527401699E-7</v>
      </c>
      <c r="BO89" s="1">
        <v>4.2090643626923302E-6</v>
      </c>
      <c r="BP89">
        <v>0</v>
      </c>
      <c r="BQ89">
        <v>0</v>
      </c>
      <c r="BR89" s="1">
        <v>5.3407684219087298E-5</v>
      </c>
      <c r="BS89">
        <v>1.5347927001915399E-4</v>
      </c>
    </row>
    <row r="90" spans="1:71" x14ac:dyDescent="0.25">
      <c r="A90">
        <v>87</v>
      </c>
      <c r="B90" s="1">
        <v>5.8148353308490801E-6</v>
      </c>
      <c r="C90">
        <v>0.1327117241611</v>
      </c>
      <c r="D90">
        <v>-4.9176325834228104E-4</v>
      </c>
      <c r="E90">
        <v>6.1312499999999995E-4</v>
      </c>
      <c r="F90">
        <v>-1.3271172416109999E-3</v>
      </c>
      <c r="G90">
        <v>0</v>
      </c>
      <c r="H90" t="s">
        <v>74</v>
      </c>
      <c r="I90">
        <v>0</v>
      </c>
      <c r="J90" t="s">
        <v>75</v>
      </c>
      <c r="K90">
        <v>3.14159265358979</v>
      </c>
      <c r="L90">
        <v>0.63269518284433401</v>
      </c>
      <c r="M90">
        <v>0</v>
      </c>
      <c r="N90">
        <v>3.7148739909994399E-2</v>
      </c>
      <c r="O90">
        <v>0</v>
      </c>
      <c r="P90">
        <v>1.6E-2</v>
      </c>
      <c r="Q90">
        <v>0</v>
      </c>
      <c r="R90">
        <v>0</v>
      </c>
      <c r="S90">
        <v>0</v>
      </c>
      <c r="T90">
        <v>0</v>
      </c>
      <c r="U90">
        <v>0.63779756271025501</v>
      </c>
      <c r="V90" t="s">
        <v>78</v>
      </c>
      <c r="W90">
        <v>3885863.2931137802</v>
      </c>
      <c r="X90" t="s">
        <v>76</v>
      </c>
      <c r="Y90">
        <v>-1.5707963267949001</v>
      </c>
      <c r="Z90">
        <v>0.63201592244361604</v>
      </c>
      <c r="AA90">
        <v>0</v>
      </c>
      <c r="AB90">
        <v>3.6716613115783697E-2</v>
      </c>
      <c r="AC90">
        <v>0</v>
      </c>
      <c r="AD90">
        <v>3.3039999066731001E-3</v>
      </c>
      <c r="AE90">
        <v>1.4621082950093E-2</v>
      </c>
      <c r="AF90">
        <v>0</v>
      </c>
      <c r="AG90">
        <v>0.20883281252444499</v>
      </c>
      <c r="AH90">
        <v>0.33330558435097801</v>
      </c>
      <c r="AI90">
        <v>0.370202100941811</v>
      </c>
      <c r="AJ90" t="s">
        <v>74</v>
      </c>
      <c r="AK90">
        <v>0</v>
      </c>
      <c r="AL90" t="s">
        <v>77</v>
      </c>
      <c r="AM90">
        <v>0</v>
      </c>
      <c r="AN90">
        <v>0.99199999999999999</v>
      </c>
      <c r="AO90">
        <v>0</v>
      </c>
      <c r="AP90">
        <v>5.8245346242475203E-2</v>
      </c>
      <c r="AQ90">
        <v>0</v>
      </c>
      <c r="AR90">
        <v>1.6E-2</v>
      </c>
      <c r="AS90">
        <v>0</v>
      </c>
      <c r="AT90">
        <v>0</v>
      </c>
      <c r="AU90">
        <v>0</v>
      </c>
      <c r="AV90">
        <v>0</v>
      </c>
      <c r="AW90">
        <v>1</v>
      </c>
      <c r="AX90" t="s">
        <v>74</v>
      </c>
      <c r="AY90">
        <v>0</v>
      </c>
      <c r="AZ90" t="s">
        <v>76</v>
      </c>
      <c r="BA90">
        <v>-1.5707963267949001</v>
      </c>
      <c r="BB90">
        <v>0.99199999999999999</v>
      </c>
      <c r="BC90">
        <v>0</v>
      </c>
      <c r="BD90">
        <v>5.8245346242475203E-2</v>
      </c>
      <c r="BE90">
        <v>0</v>
      </c>
      <c r="BF90">
        <v>1.6E-2</v>
      </c>
      <c r="BG90">
        <v>0</v>
      </c>
      <c r="BH90">
        <v>0</v>
      </c>
      <c r="BI90">
        <v>0</v>
      </c>
      <c r="BJ90">
        <v>0</v>
      </c>
      <c r="BK90">
        <v>1</v>
      </c>
      <c r="BL90" s="1">
        <v>9.5178022755364205E-5</v>
      </c>
      <c r="BM90">
        <v>2.7106919843771101E-4</v>
      </c>
      <c r="BN90" s="1">
        <v>3.5412343420754098E-7</v>
      </c>
      <c r="BO90" s="1">
        <v>4.2579450121319404E-6</v>
      </c>
      <c r="BP90">
        <v>0</v>
      </c>
      <c r="BQ90">
        <v>0</v>
      </c>
      <c r="BR90" s="1">
        <v>5.3254327538627902E-5</v>
      </c>
      <c r="BS90">
        <v>1.5526251757928599E-4</v>
      </c>
    </row>
    <row r="91" spans="1:71" x14ac:dyDescent="0.25">
      <c r="A91">
        <v>88</v>
      </c>
      <c r="B91" s="1">
        <v>5.9105248998028502E-6</v>
      </c>
      <c r="C91">
        <v>0.13271763468600001</v>
      </c>
      <c r="D91">
        <v>-4.91789711243466E-4</v>
      </c>
      <c r="E91">
        <v>6.1312499999999995E-4</v>
      </c>
      <c r="F91">
        <v>-1.3271763468599999E-3</v>
      </c>
      <c r="G91">
        <v>0</v>
      </c>
      <c r="H91" t="s">
        <v>74</v>
      </c>
      <c r="I91">
        <v>0</v>
      </c>
      <c r="J91" t="s">
        <v>75</v>
      </c>
      <c r="K91">
        <v>3.14159265358979</v>
      </c>
      <c r="L91">
        <v>0.628574393607784</v>
      </c>
      <c r="M91">
        <v>0</v>
      </c>
      <c r="N91">
        <v>3.6906787494797699E-2</v>
      </c>
      <c r="O91">
        <v>0</v>
      </c>
      <c r="P91">
        <v>1.6E-2</v>
      </c>
      <c r="Q91">
        <v>0</v>
      </c>
      <c r="R91">
        <v>0</v>
      </c>
      <c r="S91">
        <v>0</v>
      </c>
      <c r="T91">
        <v>0</v>
      </c>
      <c r="U91">
        <v>0.63364354158374403</v>
      </c>
      <c r="V91" t="s">
        <v>78</v>
      </c>
      <c r="W91">
        <v>3886091.56881095</v>
      </c>
      <c r="X91" t="s">
        <v>76</v>
      </c>
      <c r="Y91">
        <v>-1.5707963267949001</v>
      </c>
      <c r="Z91">
        <v>0.62789751235778901</v>
      </c>
      <c r="AA91">
        <v>0</v>
      </c>
      <c r="AB91">
        <v>3.6476174250913401E-2</v>
      </c>
      <c r="AC91">
        <v>0</v>
      </c>
      <c r="AD91">
        <v>3.1509343252771301E-3</v>
      </c>
      <c r="AE91">
        <v>1.47764820961901E-2</v>
      </c>
      <c r="AF91">
        <v>0</v>
      </c>
      <c r="AG91">
        <v>0.205082212743461</v>
      </c>
      <c r="AH91">
        <v>0.34327385215058098</v>
      </c>
      <c r="AI91">
        <v>0.36402030883263897</v>
      </c>
      <c r="AJ91" t="s">
        <v>74</v>
      </c>
      <c r="AK91">
        <v>0</v>
      </c>
      <c r="AL91" t="s">
        <v>77</v>
      </c>
      <c r="AM91">
        <v>0</v>
      </c>
      <c r="AN91">
        <v>0.99199999999999999</v>
      </c>
      <c r="AO91">
        <v>0</v>
      </c>
      <c r="AP91">
        <v>5.8245346242475203E-2</v>
      </c>
      <c r="AQ91">
        <v>0</v>
      </c>
      <c r="AR91">
        <v>1.6E-2</v>
      </c>
      <c r="AS91">
        <v>0</v>
      </c>
      <c r="AT91">
        <v>0</v>
      </c>
      <c r="AU91">
        <v>0</v>
      </c>
      <c r="AV91">
        <v>0</v>
      </c>
      <c r="AW91">
        <v>1</v>
      </c>
      <c r="AX91" t="s">
        <v>74</v>
      </c>
      <c r="AY91">
        <v>0</v>
      </c>
      <c r="AZ91" t="s">
        <v>76</v>
      </c>
      <c r="BA91">
        <v>-1.5707963267949001</v>
      </c>
      <c r="BB91">
        <v>0.99199999999999999</v>
      </c>
      <c r="BC91">
        <v>0</v>
      </c>
      <c r="BD91">
        <v>5.8245346242475203E-2</v>
      </c>
      <c r="BE91">
        <v>0</v>
      </c>
      <c r="BF91">
        <v>1.6E-2</v>
      </c>
      <c r="BG91">
        <v>0</v>
      </c>
      <c r="BH91">
        <v>0</v>
      </c>
      <c r="BI91">
        <v>0</v>
      </c>
      <c r="BJ91">
        <v>0</v>
      </c>
      <c r="BK91">
        <v>1</v>
      </c>
      <c r="BL91" s="1">
        <v>9.4936827115330803E-5</v>
      </c>
      <c r="BM91">
        <v>2.7417803244702101E-4</v>
      </c>
      <c r="BN91" s="1">
        <v>3.5322713350068501E-7</v>
      </c>
      <c r="BO91" s="1">
        <v>4.3067784625563202E-6</v>
      </c>
      <c r="BP91">
        <v>0</v>
      </c>
      <c r="BQ91">
        <v>0</v>
      </c>
      <c r="BR91" s="1">
        <v>5.3101118983533203E-5</v>
      </c>
      <c r="BS91">
        <v>1.5704407827319899E-4</v>
      </c>
    </row>
    <row r="92" spans="1:71" x14ac:dyDescent="0.25">
      <c r="A92">
        <v>89</v>
      </c>
      <c r="B92" s="1">
        <v>6.01665144918745E-6</v>
      </c>
      <c r="C92">
        <v>0.13272365133744901</v>
      </c>
      <c r="D92">
        <v>-4.9181663832446496E-4</v>
      </c>
      <c r="E92">
        <v>6.1312499999999995E-4</v>
      </c>
      <c r="F92">
        <v>-1.3272365133744899E-3</v>
      </c>
      <c r="G92">
        <v>0</v>
      </c>
      <c r="H92" t="s">
        <v>74</v>
      </c>
      <c r="I92">
        <v>0</v>
      </c>
      <c r="J92" t="s">
        <v>75</v>
      </c>
      <c r="K92">
        <v>3.14159265358979</v>
      </c>
      <c r="L92">
        <v>0.62445794204363603</v>
      </c>
      <c r="M92">
        <v>0</v>
      </c>
      <c r="N92">
        <v>3.6665089766325702E-2</v>
      </c>
      <c r="O92">
        <v>0</v>
      </c>
      <c r="P92">
        <v>1.6E-2</v>
      </c>
      <c r="Q92">
        <v>0</v>
      </c>
      <c r="R92">
        <v>0</v>
      </c>
      <c r="S92">
        <v>0</v>
      </c>
      <c r="T92">
        <v>0</v>
      </c>
      <c r="U92">
        <v>0.62949389299643799</v>
      </c>
      <c r="V92" t="s">
        <v>78</v>
      </c>
      <c r="W92">
        <v>3886323.9364497401</v>
      </c>
      <c r="X92" t="s">
        <v>76</v>
      </c>
      <c r="Y92">
        <v>-1.5707963267949001</v>
      </c>
      <c r="Z92">
        <v>0.62378342520757302</v>
      </c>
      <c r="AA92">
        <v>0</v>
      </c>
      <c r="AB92">
        <v>3.6235980697628498E-2</v>
      </c>
      <c r="AC92">
        <v>0</v>
      </c>
      <c r="AD92">
        <v>2.9984954163486798E-3</v>
      </c>
      <c r="AE92">
        <v>1.4931254764420599E-2</v>
      </c>
      <c r="AF92">
        <v>0</v>
      </c>
      <c r="AG92">
        <v>0.20106731440329201</v>
      </c>
      <c r="AH92">
        <v>0.35349987359638702</v>
      </c>
      <c r="AI92">
        <v>0.357875834489852</v>
      </c>
      <c r="AJ92" t="s">
        <v>74</v>
      </c>
      <c r="AK92">
        <v>0</v>
      </c>
      <c r="AL92" t="s">
        <v>77</v>
      </c>
      <c r="AM92">
        <v>0</v>
      </c>
      <c r="AN92">
        <v>0.99199999999999999</v>
      </c>
      <c r="AO92">
        <v>0</v>
      </c>
      <c r="AP92">
        <v>5.8245346242475203E-2</v>
      </c>
      <c r="AQ92">
        <v>0</v>
      </c>
      <c r="AR92">
        <v>1.6E-2</v>
      </c>
      <c r="AS92">
        <v>0</v>
      </c>
      <c r="AT92">
        <v>0</v>
      </c>
      <c r="AU92">
        <v>0</v>
      </c>
      <c r="AV92">
        <v>0</v>
      </c>
      <c r="AW92">
        <v>1</v>
      </c>
      <c r="AX92" t="s">
        <v>74</v>
      </c>
      <c r="AY92">
        <v>0</v>
      </c>
      <c r="AZ92" t="s">
        <v>76</v>
      </c>
      <c r="BA92">
        <v>-1.5707963267949001</v>
      </c>
      <c r="BB92">
        <v>0.99199999999999999</v>
      </c>
      <c r="BC92">
        <v>0</v>
      </c>
      <c r="BD92">
        <v>5.8245346242475203E-2</v>
      </c>
      <c r="BE92">
        <v>0</v>
      </c>
      <c r="BF92">
        <v>1.6E-2</v>
      </c>
      <c r="BG92">
        <v>0</v>
      </c>
      <c r="BH92">
        <v>0</v>
      </c>
      <c r="BI92">
        <v>0</v>
      </c>
      <c r="BJ92">
        <v>0</v>
      </c>
      <c r="BK92">
        <v>1</v>
      </c>
      <c r="BL92" s="1">
        <v>9.4695881474452296E-5</v>
      </c>
      <c r="BM92">
        <v>2.7728359399984001E-4</v>
      </c>
      <c r="BN92" s="1">
        <v>3.5233174124947698E-7</v>
      </c>
      <c r="BO92" s="1">
        <v>4.3555605093543597E-6</v>
      </c>
      <c r="BP92">
        <v>0</v>
      </c>
      <c r="BQ92">
        <v>0</v>
      </c>
      <c r="BR92" s="1">
        <v>5.2948071612326497E-5</v>
      </c>
      <c r="BS92">
        <v>1.5882380082745401E-4</v>
      </c>
    </row>
    <row r="93" spans="1:71" x14ac:dyDescent="0.25">
      <c r="A93">
        <v>90</v>
      </c>
      <c r="B93" s="1">
        <v>6.1344866416387302E-6</v>
      </c>
      <c r="C93">
        <v>0.13272978582409101</v>
      </c>
      <c r="D93">
        <v>-4.9184409194228101E-4</v>
      </c>
      <c r="E93">
        <v>6.1312499999999995E-4</v>
      </c>
      <c r="F93">
        <v>-1.32729785824091E-3</v>
      </c>
      <c r="G93" s="1">
        <v>1.0842021724855E-19</v>
      </c>
      <c r="H93" t="s">
        <v>74</v>
      </c>
      <c r="I93">
        <v>0</v>
      </c>
      <c r="J93" t="s">
        <v>75</v>
      </c>
      <c r="K93">
        <v>3.14159265358979</v>
      </c>
      <c r="L93">
        <v>0.62034623239585895</v>
      </c>
      <c r="M93">
        <v>0</v>
      </c>
      <c r="N93">
        <v>3.64236704597901E-2</v>
      </c>
      <c r="O93">
        <v>0</v>
      </c>
      <c r="P93">
        <v>1.6E-2</v>
      </c>
      <c r="Q93">
        <v>0</v>
      </c>
      <c r="R93">
        <v>0</v>
      </c>
      <c r="S93">
        <v>0</v>
      </c>
      <c r="T93">
        <v>0</v>
      </c>
      <c r="U93">
        <v>0.62534902449522201</v>
      </c>
      <c r="V93" t="s">
        <v>78</v>
      </c>
      <c r="W93">
        <v>3886560.8478456899</v>
      </c>
      <c r="X93" t="s">
        <v>76</v>
      </c>
      <c r="Y93">
        <v>-1.5707963267949001</v>
      </c>
      <c r="Z93">
        <v>0.61967406145927495</v>
      </c>
      <c r="AA93">
        <v>0</v>
      </c>
      <c r="AB93">
        <v>3.5996053787895103E-2</v>
      </c>
      <c r="AC93">
        <v>0</v>
      </c>
      <c r="AD93">
        <v>2.84670634463441E-3</v>
      </c>
      <c r="AE93">
        <v>1.5085380874663899E-2</v>
      </c>
      <c r="AF93">
        <v>0</v>
      </c>
      <c r="AG93">
        <v>0.19677678129337201</v>
      </c>
      <c r="AH93">
        <v>0.36399437495396197</v>
      </c>
      <c r="AI93">
        <v>0.35176950574277599</v>
      </c>
      <c r="AJ93" t="s">
        <v>74</v>
      </c>
      <c r="AK93">
        <v>0</v>
      </c>
      <c r="AL93" t="s">
        <v>77</v>
      </c>
      <c r="AM93">
        <v>0</v>
      </c>
      <c r="AN93">
        <v>0.99199999999999999</v>
      </c>
      <c r="AO93">
        <v>0</v>
      </c>
      <c r="AP93">
        <v>5.8245346242475203E-2</v>
      </c>
      <c r="AQ93">
        <v>0</v>
      </c>
      <c r="AR93">
        <v>1.6E-2</v>
      </c>
      <c r="AS93">
        <v>0</v>
      </c>
      <c r="AT93">
        <v>0</v>
      </c>
      <c r="AU93">
        <v>0</v>
      </c>
      <c r="AV93">
        <v>0</v>
      </c>
      <c r="AW93">
        <v>1</v>
      </c>
      <c r="AX93" t="s">
        <v>74</v>
      </c>
      <c r="AY93">
        <v>0</v>
      </c>
      <c r="AZ93" t="s">
        <v>76</v>
      </c>
      <c r="BA93">
        <v>-1.5707963267949001</v>
      </c>
      <c r="BB93">
        <v>0.99199999999999999</v>
      </c>
      <c r="BC93">
        <v>0</v>
      </c>
      <c r="BD93">
        <v>5.8245346242475203E-2</v>
      </c>
      <c r="BE93">
        <v>0</v>
      </c>
      <c r="BF93">
        <v>1.6E-2</v>
      </c>
      <c r="BG93">
        <v>0</v>
      </c>
      <c r="BH93">
        <v>0</v>
      </c>
      <c r="BI93">
        <v>0</v>
      </c>
      <c r="BJ93">
        <v>0</v>
      </c>
      <c r="BK93">
        <v>1</v>
      </c>
      <c r="BL93" s="1">
        <v>9.4455208366317801E-5</v>
      </c>
      <c r="BM93">
        <v>2.8038557812366701E-4</v>
      </c>
      <c r="BN93" s="1">
        <v>3.5143733523337398E-7</v>
      </c>
      <c r="BO93" s="1">
        <v>4.4042863620292004E-6</v>
      </c>
      <c r="BP93">
        <v>0</v>
      </c>
      <c r="BQ93">
        <v>0</v>
      </c>
      <c r="BR93" s="1">
        <v>5.2795200306230497E-5</v>
      </c>
      <c r="BS93">
        <v>1.6060151286626499E-4</v>
      </c>
    </row>
    <row r="94" spans="1:71" x14ac:dyDescent="0.25">
      <c r="A94">
        <v>91</v>
      </c>
      <c r="B94" s="1">
        <v>6.2655438846693703E-6</v>
      </c>
      <c r="C94">
        <v>0.132736051367976</v>
      </c>
      <c r="D94">
        <v>-4.9187213121944403E-4</v>
      </c>
      <c r="E94">
        <v>6.1312499999999995E-4</v>
      </c>
      <c r="F94">
        <v>-1.3273605136797601E-3</v>
      </c>
      <c r="G94" s="1">
        <v>1.0842021724855E-19</v>
      </c>
      <c r="H94" t="s">
        <v>74</v>
      </c>
      <c r="I94">
        <v>0</v>
      </c>
      <c r="J94" t="s">
        <v>75</v>
      </c>
      <c r="K94">
        <v>3.14159265358979</v>
      </c>
      <c r="L94">
        <v>0.61623972791437798</v>
      </c>
      <c r="M94">
        <v>0</v>
      </c>
      <c r="N94">
        <v>3.6182556774941199E-2</v>
      </c>
      <c r="O94">
        <v>0</v>
      </c>
      <c r="P94">
        <v>1.6E-2</v>
      </c>
      <c r="Q94">
        <v>0</v>
      </c>
      <c r="R94">
        <v>0</v>
      </c>
      <c r="S94">
        <v>0</v>
      </c>
      <c r="T94">
        <v>0</v>
      </c>
      <c r="U94">
        <v>0.621209403093963</v>
      </c>
      <c r="V94" t="s">
        <v>78</v>
      </c>
      <c r="W94">
        <v>3886802.8131975299</v>
      </c>
      <c r="X94" t="s">
        <v>76</v>
      </c>
      <c r="Y94">
        <v>-1.5707963267949001</v>
      </c>
      <c r="Z94">
        <v>0.61556988010288305</v>
      </c>
      <c r="AA94">
        <v>0</v>
      </c>
      <c r="AB94">
        <v>3.5756418011409899E-2</v>
      </c>
      <c r="AC94">
        <v>0</v>
      </c>
      <c r="AD94">
        <v>2.69559272972368E-3</v>
      </c>
      <c r="AE94">
        <v>1.52388382037542E-2</v>
      </c>
      <c r="AF94">
        <v>0</v>
      </c>
      <c r="AG94">
        <v>0.19219822820108601</v>
      </c>
      <c r="AH94">
        <v>0.37476904245956399</v>
      </c>
      <c r="AI94">
        <v>0.34570222692785502</v>
      </c>
      <c r="AJ94" t="s">
        <v>74</v>
      </c>
      <c r="AK94">
        <v>0</v>
      </c>
      <c r="AL94" t="s">
        <v>77</v>
      </c>
      <c r="AM94">
        <v>0</v>
      </c>
      <c r="AN94">
        <v>0.99199999999999999</v>
      </c>
      <c r="AO94">
        <v>0</v>
      </c>
      <c r="AP94">
        <v>5.8245346242475203E-2</v>
      </c>
      <c r="AQ94">
        <v>0</v>
      </c>
      <c r="AR94">
        <v>1.6E-2</v>
      </c>
      <c r="AS94">
        <v>0</v>
      </c>
      <c r="AT94">
        <v>0</v>
      </c>
      <c r="AU94">
        <v>0</v>
      </c>
      <c r="AV94">
        <v>0</v>
      </c>
      <c r="AW94">
        <v>1</v>
      </c>
      <c r="AX94" t="s">
        <v>74</v>
      </c>
      <c r="AY94">
        <v>0</v>
      </c>
      <c r="AZ94" t="s">
        <v>76</v>
      </c>
      <c r="BA94">
        <v>-1.5707963267949001</v>
      </c>
      <c r="BB94">
        <v>0.99199999999999999</v>
      </c>
      <c r="BC94">
        <v>0</v>
      </c>
      <c r="BD94">
        <v>5.8245346242475203E-2</v>
      </c>
      <c r="BE94">
        <v>0</v>
      </c>
      <c r="BF94">
        <v>1.6E-2</v>
      </c>
      <c r="BG94">
        <v>0</v>
      </c>
      <c r="BH94">
        <v>0</v>
      </c>
      <c r="BI94">
        <v>0</v>
      </c>
      <c r="BJ94">
        <v>0</v>
      </c>
      <c r="BK94">
        <v>1</v>
      </c>
      <c r="BL94" s="1">
        <v>9.4214833635650707E-5</v>
      </c>
      <c r="BM94">
        <v>2.8348363533032498E-4</v>
      </c>
      <c r="BN94" s="1">
        <v>3.5054400478293202E-7</v>
      </c>
      <c r="BO94" s="1">
        <v>4.4529505308333901E-6</v>
      </c>
      <c r="BP94">
        <v>0</v>
      </c>
      <c r="BQ94">
        <v>0</v>
      </c>
      <c r="BR94" s="1">
        <v>5.2642522121683299E-5</v>
      </c>
      <c r="BS94">
        <v>1.6237701682500001E-4</v>
      </c>
    </row>
    <row r="95" spans="1:71" x14ac:dyDescent="0.25">
      <c r="A95">
        <v>92</v>
      </c>
      <c r="B95" s="1">
        <v>6.4116376992660804E-6</v>
      </c>
      <c r="C95">
        <v>0.13274246300567499</v>
      </c>
      <c r="D95">
        <v>-4.9190082339011605E-4</v>
      </c>
      <c r="E95">
        <v>6.1312499999999995E-4</v>
      </c>
      <c r="F95">
        <v>-1.3274246300567501E-3</v>
      </c>
      <c r="G95">
        <v>0</v>
      </c>
      <c r="H95" t="s">
        <v>74</v>
      </c>
      <c r="I95">
        <v>0</v>
      </c>
      <c r="J95" t="s">
        <v>75</v>
      </c>
      <c r="K95">
        <v>3.14159265358979</v>
      </c>
      <c r="L95">
        <v>0.61213896283467095</v>
      </c>
      <c r="M95">
        <v>0</v>
      </c>
      <c r="N95">
        <v>3.5941780079450703E-2</v>
      </c>
      <c r="O95">
        <v>0</v>
      </c>
      <c r="P95">
        <v>1.6E-2</v>
      </c>
      <c r="Q95">
        <v>0</v>
      </c>
      <c r="R95">
        <v>0</v>
      </c>
      <c r="S95">
        <v>0</v>
      </c>
      <c r="T95">
        <v>0</v>
      </c>
      <c r="U95">
        <v>0.61707556735452296</v>
      </c>
      <c r="V95" t="s">
        <v>78</v>
      </c>
      <c r="W95">
        <v>3887050.4127034401</v>
      </c>
      <c r="X95" t="s">
        <v>76</v>
      </c>
      <c r="Y95">
        <v>-1.5707963267949001</v>
      </c>
      <c r="Z95">
        <v>0.61147141053184595</v>
      </c>
      <c r="AA95">
        <v>0</v>
      </c>
      <c r="AB95">
        <v>3.55171016554785E-2</v>
      </c>
      <c r="AC95">
        <v>0</v>
      </c>
      <c r="AD95">
        <v>2.5451831302431799E-3</v>
      </c>
      <c r="AE95">
        <v>1.53916019655233E-2</v>
      </c>
      <c r="AF95">
        <v>0</v>
      </c>
      <c r="AG95">
        <v>0.187318074887801</v>
      </c>
      <c r="AH95">
        <v>0.38583665026865699</v>
      </c>
      <c r="AI95">
        <v>0.339674993784013</v>
      </c>
      <c r="AJ95" t="s">
        <v>74</v>
      </c>
      <c r="AK95">
        <v>0</v>
      </c>
      <c r="AL95" t="s">
        <v>77</v>
      </c>
      <c r="AM95">
        <v>0</v>
      </c>
      <c r="AN95">
        <v>0.99199999999999999</v>
      </c>
      <c r="AO95">
        <v>0</v>
      </c>
      <c r="AP95">
        <v>5.8245346242475203E-2</v>
      </c>
      <c r="AQ95">
        <v>0</v>
      </c>
      <c r="AR95">
        <v>1.6E-2</v>
      </c>
      <c r="AS95">
        <v>0</v>
      </c>
      <c r="AT95">
        <v>0</v>
      </c>
      <c r="AU95">
        <v>0</v>
      </c>
      <c r="AV95">
        <v>0</v>
      </c>
      <c r="AW95">
        <v>1</v>
      </c>
      <c r="AX95" t="s">
        <v>74</v>
      </c>
      <c r="AY95">
        <v>0</v>
      </c>
      <c r="AZ95" t="s">
        <v>76</v>
      </c>
      <c r="BA95">
        <v>-1.5707963267949001</v>
      </c>
      <c r="BB95">
        <v>0.99199999999999999</v>
      </c>
      <c r="BC95">
        <v>0</v>
      </c>
      <c r="BD95">
        <v>5.8245346242475203E-2</v>
      </c>
      <c r="BE95">
        <v>0</v>
      </c>
      <c r="BF95">
        <v>1.6E-2</v>
      </c>
      <c r="BG95">
        <v>0</v>
      </c>
      <c r="BH95">
        <v>0</v>
      </c>
      <c r="BI95">
        <v>0</v>
      </c>
      <c r="BJ95">
        <v>0</v>
      </c>
      <c r="BK95">
        <v>1</v>
      </c>
      <c r="BL95" s="1">
        <v>9.3974787109939799E-5</v>
      </c>
      <c r="BM95">
        <v>2.8657736257822899E-4</v>
      </c>
      <c r="BN95" s="1">
        <v>3.4965185311948999E-7</v>
      </c>
      <c r="BO95" s="1">
        <v>4.5015466848045097E-6</v>
      </c>
      <c r="BP95">
        <v>0</v>
      </c>
      <c r="BQ95">
        <v>0</v>
      </c>
      <c r="BR95" s="1">
        <v>5.2490056731793397E-5</v>
      </c>
      <c r="BS95">
        <v>1.64150084832312E-4</v>
      </c>
    </row>
    <row r="96" spans="1:71" x14ac:dyDescent="0.25">
      <c r="A96">
        <v>93</v>
      </c>
      <c r="B96" s="1">
        <v>6.5749616826033596E-6</v>
      </c>
      <c r="C96">
        <v>0.13274903796735801</v>
      </c>
      <c r="D96">
        <v>-4.9193024549470704E-4</v>
      </c>
      <c r="E96">
        <v>6.1312499999999995E-4</v>
      </c>
      <c r="F96">
        <v>-1.3274903796735801E-3</v>
      </c>
      <c r="G96">
        <v>0</v>
      </c>
      <c r="H96" t="s">
        <v>74</v>
      </c>
      <c r="I96">
        <v>0</v>
      </c>
      <c r="J96" t="s">
        <v>75</v>
      </c>
      <c r="K96">
        <v>3.14159265358979</v>
      </c>
      <c r="L96">
        <v>0.60804455753460995</v>
      </c>
      <c r="M96">
        <v>0</v>
      </c>
      <c r="N96">
        <v>3.5701376798846801E-2</v>
      </c>
      <c r="O96">
        <v>0</v>
      </c>
      <c r="P96">
        <v>1.6E-2</v>
      </c>
      <c r="Q96">
        <v>0</v>
      </c>
      <c r="R96">
        <v>0</v>
      </c>
      <c r="S96">
        <v>0</v>
      </c>
      <c r="T96">
        <v>0</v>
      </c>
      <c r="U96">
        <v>0.61294814266912601</v>
      </c>
      <c r="V96" t="s">
        <v>78</v>
      </c>
      <c r="W96">
        <v>3887304.31118477</v>
      </c>
      <c r="X96" t="s">
        <v>76</v>
      </c>
      <c r="Y96">
        <v>-1.5707963267949001</v>
      </c>
      <c r="Z96">
        <v>0.60737926757392202</v>
      </c>
      <c r="AA96">
        <v>0</v>
      </c>
      <c r="AB96">
        <v>3.5278137614798803E-2</v>
      </c>
      <c r="AC96">
        <v>0</v>
      </c>
      <c r="AD96">
        <v>2.39550965684171E-3</v>
      </c>
      <c r="AE96">
        <v>1.55436442778615E-2</v>
      </c>
      <c r="AF96">
        <v>0</v>
      </c>
      <c r="AG96">
        <v>0.18212137306894199</v>
      </c>
      <c r="AH96">
        <v>0.39721121060637699</v>
      </c>
      <c r="AI96">
        <v>0.33368891229235398</v>
      </c>
      <c r="AJ96" t="s">
        <v>74</v>
      </c>
      <c r="AK96">
        <v>0</v>
      </c>
      <c r="AL96" t="s">
        <v>77</v>
      </c>
      <c r="AM96">
        <v>0</v>
      </c>
      <c r="AN96">
        <v>0.99199999999999999</v>
      </c>
      <c r="AO96">
        <v>0</v>
      </c>
      <c r="AP96">
        <v>5.8245346242475203E-2</v>
      </c>
      <c r="AQ96">
        <v>0</v>
      </c>
      <c r="AR96">
        <v>1.6E-2</v>
      </c>
      <c r="AS96">
        <v>0</v>
      </c>
      <c r="AT96">
        <v>0</v>
      </c>
      <c r="AU96">
        <v>0</v>
      </c>
      <c r="AV96">
        <v>0</v>
      </c>
      <c r="AW96">
        <v>1</v>
      </c>
      <c r="AX96" t="s">
        <v>74</v>
      </c>
      <c r="AY96">
        <v>0</v>
      </c>
      <c r="AZ96" t="s">
        <v>76</v>
      </c>
      <c r="BA96">
        <v>-1.5707963267949001</v>
      </c>
      <c r="BB96">
        <v>0.99199999999999999</v>
      </c>
      <c r="BC96">
        <v>0</v>
      </c>
      <c r="BD96">
        <v>5.8245346242475203E-2</v>
      </c>
      <c r="BE96">
        <v>0</v>
      </c>
      <c r="BF96">
        <v>1.6E-2</v>
      </c>
      <c r="BG96">
        <v>0</v>
      </c>
      <c r="BH96">
        <v>0</v>
      </c>
      <c r="BI96">
        <v>0</v>
      </c>
      <c r="BJ96">
        <v>0</v>
      </c>
      <c r="BK96">
        <v>1</v>
      </c>
      <c r="BL96" s="1">
        <v>9.3735103449298006E-5</v>
      </c>
      <c r="BM96">
        <v>2.8966629183766E-4</v>
      </c>
      <c r="BN96" s="1">
        <v>3.4876100031625397E-7</v>
      </c>
      <c r="BO96" s="1">
        <v>4.5500674721489402E-6</v>
      </c>
      <c r="BP96">
        <v>0</v>
      </c>
      <c r="BQ96">
        <v>0</v>
      </c>
      <c r="BR96" s="1">
        <v>5.23378269848841E-5</v>
      </c>
      <c r="BS96">
        <v>1.6592045223435501E-4</v>
      </c>
    </row>
    <row r="97" spans="1:71" x14ac:dyDescent="0.25">
      <c r="A97">
        <v>94</v>
      </c>
      <c r="B97" s="1">
        <v>6.7581922409481303E-6</v>
      </c>
      <c r="C97">
        <v>0.13275579615959901</v>
      </c>
      <c r="D97">
        <v>-4.9196048653818696E-4</v>
      </c>
      <c r="E97">
        <v>6.1312499999999995E-4</v>
      </c>
      <c r="F97">
        <v>-1.3275579615959899E-3</v>
      </c>
      <c r="G97">
        <v>0</v>
      </c>
      <c r="H97" t="s">
        <v>74</v>
      </c>
      <c r="I97">
        <v>0</v>
      </c>
      <c r="J97" t="s">
        <v>75</v>
      </c>
      <c r="K97">
        <v>3.14159265358979</v>
      </c>
      <c r="L97">
        <v>0.60395723792802403</v>
      </c>
      <c r="M97">
        <v>0</v>
      </c>
      <c r="N97">
        <v>3.5461389555208403E-2</v>
      </c>
      <c r="O97">
        <v>0</v>
      </c>
      <c r="P97">
        <v>1.6E-2</v>
      </c>
      <c r="Q97">
        <v>0</v>
      </c>
      <c r="R97">
        <v>0</v>
      </c>
      <c r="S97">
        <v>0</v>
      </c>
      <c r="T97">
        <v>0</v>
      </c>
      <c r="U97">
        <v>0.60882786081259299</v>
      </c>
      <c r="V97" t="s">
        <v>78</v>
      </c>
      <c r="W97">
        <v>3887565.2767111999</v>
      </c>
      <c r="X97" t="s">
        <v>76</v>
      </c>
      <c r="Y97">
        <v>-1.5707963267949001</v>
      </c>
      <c r="Z97">
        <v>0.60329417072383995</v>
      </c>
      <c r="AA97">
        <v>0</v>
      </c>
      <c r="AB97">
        <v>3.5039564427796099E-2</v>
      </c>
      <c r="AC97">
        <v>0</v>
      </c>
      <c r="AD97">
        <v>2.2466087574437199E-3</v>
      </c>
      <c r="AE97">
        <v>1.5694933478336601E-2</v>
      </c>
      <c r="AF97">
        <v>0</v>
      </c>
      <c r="AG97">
        <v>0.17659160023981099</v>
      </c>
      <c r="AH97">
        <v>0.40890815067967101</v>
      </c>
      <c r="AI97">
        <v>0.32774522278444301</v>
      </c>
      <c r="AJ97" t="s">
        <v>74</v>
      </c>
      <c r="AK97">
        <v>0</v>
      </c>
      <c r="AL97" t="s">
        <v>77</v>
      </c>
      <c r="AM97">
        <v>0</v>
      </c>
      <c r="AN97">
        <v>0.99199999999999999</v>
      </c>
      <c r="AO97">
        <v>0</v>
      </c>
      <c r="AP97">
        <v>5.8245346242475203E-2</v>
      </c>
      <c r="AQ97">
        <v>0</v>
      </c>
      <c r="AR97">
        <v>1.6E-2</v>
      </c>
      <c r="AS97">
        <v>0</v>
      </c>
      <c r="AT97">
        <v>0</v>
      </c>
      <c r="AU97">
        <v>0</v>
      </c>
      <c r="AV97">
        <v>0</v>
      </c>
      <c r="AW97">
        <v>1</v>
      </c>
      <c r="AX97" t="s">
        <v>74</v>
      </c>
      <c r="AY97">
        <v>0</v>
      </c>
      <c r="AZ97" t="s">
        <v>76</v>
      </c>
      <c r="BA97">
        <v>-1.5707963267949001</v>
      </c>
      <c r="BB97">
        <v>0.99199999999999999</v>
      </c>
      <c r="BC97">
        <v>0</v>
      </c>
      <c r="BD97">
        <v>5.8245346242475203E-2</v>
      </c>
      <c r="BE97">
        <v>0</v>
      </c>
      <c r="BF97">
        <v>1.6E-2</v>
      </c>
      <c r="BG97">
        <v>0</v>
      </c>
      <c r="BH97">
        <v>0</v>
      </c>
      <c r="BI97">
        <v>0</v>
      </c>
      <c r="BJ97">
        <v>0</v>
      </c>
      <c r="BK97">
        <v>1</v>
      </c>
      <c r="BL97" s="1">
        <v>9.3495823233977405E-5</v>
      </c>
      <c r="BM97">
        <v>2.9274987545974102E-4</v>
      </c>
      <c r="BN97" s="1">
        <v>3.4787158708796997E-7</v>
      </c>
      <c r="BO97" s="1">
        <v>4.5985042904182397E-6</v>
      </c>
      <c r="BP97">
        <v>0</v>
      </c>
      <c r="BQ97">
        <v>0</v>
      </c>
      <c r="BR97" s="1">
        <v>5.2185859619169401E-5</v>
      </c>
      <c r="BS97">
        <v>1.6768780930818801E-4</v>
      </c>
    </row>
    <row r="98" spans="1:71" x14ac:dyDescent="0.25">
      <c r="A98">
        <v>95</v>
      </c>
      <c r="B98" s="1">
        <v>6.9646286232841003E-6</v>
      </c>
      <c r="C98">
        <v>0.132762760788222</v>
      </c>
      <c r="D98">
        <v>-4.9199165027436604E-4</v>
      </c>
      <c r="E98">
        <v>6.1312499999999995E-4</v>
      </c>
      <c r="F98">
        <v>-1.3276276078822201E-3</v>
      </c>
      <c r="G98" s="1">
        <v>1.0842021724855E-19</v>
      </c>
      <c r="H98" t="s">
        <v>74</v>
      </c>
      <c r="I98">
        <v>0</v>
      </c>
      <c r="J98" t="s">
        <v>75</v>
      </c>
      <c r="K98">
        <v>3.14159265358979</v>
      </c>
      <c r="L98">
        <v>0.59987786058753201</v>
      </c>
      <c r="M98">
        <v>0</v>
      </c>
      <c r="N98">
        <v>3.5221868642254101E-2</v>
      </c>
      <c r="O98">
        <v>0</v>
      </c>
      <c r="P98">
        <v>1.6E-2</v>
      </c>
      <c r="Q98">
        <v>0</v>
      </c>
      <c r="R98">
        <v>0</v>
      </c>
      <c r="S98">
        <v>0</v>
      </c>
      <c r="T98">
        <v>0</v>
      </c>
      <c r="U98">
        <v>0.604715585269334</v>
      </c>
      <c r="V98" t="s">
        <v>78</v>
      </c>
      <c r="W98">
        <v>3887834.20462775</v>
      </c>
      <c r="X98" t="s">
        <v>76</v>
      </c>
      <c r="Y98">
        <v>-1.5707963267949001</v>
      </c>
      <c r="Z98">
        <v>0.59921696905800104</v>
      </c>
      <c r="AA98">
        <v>0</v>
      </c>
      <c r="AB98">
        <v>3.4801427619300801E-2</v>
      </c>
      <c r="AC98">
        <v>0</v>
      </c>
      <c r="AD98">
        <v>2.0985222362566599E-3</v>
      </c>
      <c r="AE98">
        <v>1.5845433233863199E-2</v>
      </c>
      <c r="AF98">
        <v>0</v>
      </c>
      <c r="AG98">
        <v>0.17071041257459099</v>
      </c>
      <c r="AH98">
        <v>0.42094452187159997</v>
      </c>
      <c r="AI98">
        <v>0.321845331187534</v>
      </c>
      <c r="AJ98" t="s">
        <v>74</v>
      </c>
      <c r="AK98">
        <v>0</v>
      </c>
      <c r="AL98" t="s">
        <v>77</v>
      </c>
      <c r="AM98">
        <v>0</v>
      </c>
      <c r="AN98">
        <v>0.99199999999999999</v>
      </c>
      <c r="AO98">
        <v>0</v>
      </c>
      <c r="AP98">
        <v>5.8245346242475203E-2</v>
      </c>
      <c r="AQ98">
        <v>0</v>
      </c>
      <c r="AR98">
        <v>1.6E-2</v>
      </c>
      <c r="AS98">
        <v>0</v>
      </c>
      <c r="AT98">
        <v>0</v>
      </c>
      <c r="AU98">
        <v>0</v>
      </c>
      <c r="AV98">
        <v>0</v>
      </c>
      <c r="AW98">
        <v>1</v>
      </c>
      <c r="AX98" t="s">
        <v>74</v>
      </c>
      <c r="AY98">
        <v>0</v>
      </c>
      <c r="AZ98" t="s">
        <v>76</v>
      </c>
      <c r="BA98">
        <v>-1.5707963267949001</v>
      </c>
      <c r="BB98">
        <v>0.99199999999999999</v>
      </c>
      <c r="BC98">
        <v>0</v>
      </c>
      <c r="BD98">
        <v>5.8245346242475203E-2</v>
      </c>
      <c r="BE98">
        <v>0</v>
      </c>
      <c r="BF98">
        <v>1.6E-2</v>
      </c>
      <c r="BG98">
        <v>0</v>
      </c>
      <c r="BH98">
        <v>0</v>
      </c>
      <c r="BI98">
        <v>0</v>
      </c>
      <c r="BJ98">
        <v>0</v>
      </c>
      <c r="BK98">
        <v>1</v>
      </c>
      <c r="BL98" s="1">
        <v>9.32569943732527E-5</v>
      </c>
      <c r="BM98">
        <v>2.9582746722309601E-4</v>
      </c>
      <c r="BN98" s="1">
        <v>3.4698377970099901E-7</v>
      </c>
      <c r="BO98" s="1">
        <v>4.6468469887907602E-6</v>
      </c>
      <c r="BP98">
        <v>0</v>
      </c>
      <c r="BQ98">
        <v>0</v>
      </c>
      <c r="BR98" s="1">
        <v>5.2034186188560002E-5</v>
      </c>
      <c r="BS98">
        <v>1.69451790526307E-4</v>
      </c>
    </row>
    <row r="99" spans="1:71" x14ac:dyDescent="0.25">
      <c r="A99">
        <v>96</v>
      </c>
      <c r="B99" s="1">
        <v>7.1983850110850899E-6</v>
      </c>
      <c r="C99">
        <v>0.132769959173233</v>
      </c>
      <c r="D99">
        <v>-4.9202385884882199E-4</v>
      </c>
      <c r="E99">
        <v>6.1312499999999995E-4</v>
      </c>
      <c r="F99">
        <v>-1.3276995917323299E-3</v>
      </c>
      <c r="G99">
        <v>0</v>
      </c>
      <c r="H99" t="s">
        <v>74</v>
      </c>
      <c r="I99">
        <v>0</v>
      </c>
      <c r="J99" t="s">
        <v>75</v>
      </c>
      <c r="K99">
        <v>3.14159265358979</v>
      </c>
      <c r="L99">
        <v>0.59580744573563504</v>
      </c>
      <c r="M99">
        <v>0</v>
      </c>
      <c r="N99">
        <v>3.4982873962416103E-2</v>
      </c>
      <c r="O99">
        <v>0</v>
      </c>
      <c r="P99">
        <v>1.6E-2</v>
      </c>
      <c r="Q99">
        <v>0</v>
      </c>
      <c r="R99">
        <v>0</v>
      </c>
      <c r="S99">
        <v>0</v>
      </c>
      <c r="T99">
        <v>0</v>
      </c>
      <c r="U99">
        <v>0.60061234449154399</v>
      </c>
      <c r="V99" t="s">
        <v>78</v>
      </c>
      <c r="W99">
        <v>3888112.1489914898</v>
      </c>
      <c r="X99" t="s">
        <v>76</v>
      </c>
      <c r="Y99">
        <v>-1.5707963267949001</v>
      </c>
      <c r="Z99">
        <v>0.59514867395248106</v>
      </c>
      <c r="AA99">
        <v>0</v>
      </c>
      <c r="AB99">
        <v>3.45637814638938E-2</v>
      </c>
      <c r="AC99">
        <v>0</v>
      </c>
      <c r="AD99">
        <v>1.95129859502482E-3</v>
      </c>
      <c r="AE99">
        <v>1.59951013657747E-2</v>
      </c>
      <c r="AF99">
        <v>0</v>
      </c>
      <c r="AG99">
        <v>0.16445734708260301</v>
      </c>
      <c r="AH99">
        <v>0.43333924780636901</v>
      </c>
      <c r="AI99">
        <v>0.31599085008830702</v>
      </c>
      <c r="AJ99" t="s">
        <v>74</v>
      </c>
      <c r="AK99">
        <v>0</v>
      </c>
      <c r="AL99" t="s">
        <v>77</v>
      </c>
      <c r="AM99">
        <v>0</v>
      </c>
      <c r="AN99">
        <v>0.99199999999999999</v>
      </c>
      <c r="AO99">
        <v>0</v>
      </c>
      <c r="AP99">
        <v>5.8245346242475203E-2</v>
      </c>
      <c r="AQ99">
        <v>0</v>
      </c>
      <c r="AR99">
        <v>1.6E-2</v>
      </c>
      <c r="AS99">
        <v>0</v>
      </c>
      <c r="AT99">
        <v>0</v>
      </c>
      <c r="AU99">
        <v>0</v>
      </c>
      <c r="AV99">
        <v>0</v>
      </c>
      <c r="AW99">
        <v>1</v>
      </c>
      <c r="AX99" t="s">
        <v>74</v>
      </c>
      <c r="AY99">
        <v>0</v>
      </c>
      <c r="AZ99" t="s">
        <v>76</v>
      </c>
      <c r="BA99">
        <v>-1.5707963267949001</v>
      </c>
      <c r="BB99">
        <v>0.99199999999999999</v>
      </c>
      <c r="BC99">
        <v>0</v>
      </c>
      <c r="BD99">
        <v>5.8245346242475203E-2</v>
      </c>
      <c r="BE99">
        <v>0</v>
      </c>
      <c r="BF99">
        <v>1.6E-2</v>
      </c>
      <c r="BG99">
        <v>0</v>
      </c>
      <c r="BH99">
        <v>0</v>
      </c>
      <c r="BI99">
        <v>0</v>
      </c>
      <c r="BJ99">
        <v>0</v>
      </c>
      <c r="BK99">
        <v>1</v>
      </c>
      <c r="BL99" s="1">
        <v>9.3018673955630205E-5</v>
      </c>
      <c r="BM99">
        <v>2.98898297444486E-4</v>
      </c>
      <c r="BN99" s="1">
        <v>3.4609777642185098E-7</v>
      </c>
      <c r="BO99" s="1">
        <v>4.6950834771104703E-6</v>
      </c>
      <c r="BP99">
        <v>0</v>
      </c>
      <c r="BQ99">
        <v>0</v>
      </c>
      <c r="BR99" s="1">
        <v>5.1882844278416197E-5</v>
      </c>
      <c r="BS99">
        <v>1.7121196045789101E-4</v>
      </c>
    </row>
    <row r="100" spans="1:71" x14ac:dyDescent="0.25">
      <c r="A100">
        <v>97</v>
      </c>
      <c r="B100" s="1">
        <v>7.46465875723711E-6</v>
      </c>
      <c r="C100">
        <v>0.13277742383199001</v>
      </c>
      <c r="D100">
        <v>-4.9205725764085804E-4</v>
      </c>
      <c r="E100">
        <v>6.1312499999999995E-4</v>
      </c>
      <c r="F100">
        <v>-1.3277742383198999E-3</v>
      </c>
      <c r="G100" s="1">
        <v>1.0842021724855E-19</v>
      </c>
      <c r="H100" t="s">
        <v>74</v>
      </c>
      <c r="I100">
        <v>0</v>
      </c>
      <c r="J100" t="s">
        <v>75</v>
      </c>
      <c r="K100">
        <v>3.14159265358979</v>
      </c>
      <c r="L100">
        <v>0.59174722122687795</v>
      </c>
      <c r="M100">
        <v>0</v>
      </c>
      <c r="N100">
        <v>3.47444776092561E-2</v>
      </c>
      <c r="O100">
        <v>0</v>
      </c>
      <c r="P100">
        <v>1.6E-2</v>
      </c>
      <c r="Q100">
        <v>0</v>
      </c>
      <c r="R100">
        <v>0</v>
      </c>
      <c r="S100">
        <v>0</v>
      </c>
      <c r="T100">
        <v>0</v>
      </c>
      <c r="U100">
        <v>0.59651937623677198</v>
      </c>
      <c r="V100" t="s">
        <v>78</v>
      </c>
      <c r="W100">
        <v>3888400.3643552102</v>
      </c>
      <c r="X100" t="s">
        <v>76</v>
      </c>
      <c r="Y100">
        <v>-1.5707963267949001</v>
      </c>
      <c r="Z100">
        <v>0.59109050270121399</v>
      </c>
      <c r="AA100">
        <v>0</v>
      </c>
      <c r="AB100">
        <v>3.4326691336766503E-2</v>
      </c>
      <c r="AC100">
        <v>0</v>
      </c>
      <c r="AD100">
        <v>1.8049948263561899E-3</v>
      </c>
      <c r="AE100">
        <v>1.6143888274623298E-2</v>
      </c>
      <c r="AF100">
        <v>0</v>
      </c>
      <c r="AG100">
        <v>0.157809460665015</v>
      </c>
      <c r="AH100">
        <v>0.44611341892995399</v>
      </c>
      <c r="AI100">
        <v>0.31018365353615202</v>
      </c>
      <c r="AJ100" t="s">
        <v>74</v>
      </c>
      <c r="AK100">
        <v>0</v>
      </c>
      <c r="AL100" t="s">
        <v>77</v>
      </c>
      <c r="AM100">
        <v>0</v>
      </c>
      <c r="AN100">
        <v>0.99199999999999999</v>
      </c>
      <c r="AO100">
        <v>0</v>
      </c>
      <c r="AP100">
        <v>5.8245346242475203E-2</v>
      </c>
      <c r="AQ100">
        <v>0</v>
      </c>
      <c r="AR100">
        <v>1.6E-2</v>
      </c>
      <c r="AS100">
        <v>0</v>
      </c>
      <c r="AT100">
        <v>0</v>
      </c>
      <c r="AU100">
        <v>0</v>
      </c>
      <c r="AV100">
        <v>0</v>
      </c>
      <c r="AW100">
        <v>1</v>
      </c>
      <c r="AX100" t="s">
        <v>74</v>
      </c>
      <c r="AY100">
        <v>0</v>
      </c>
      <c r="AZ100" t="s">
        <v>76</v>
      </c>
      <c r="BA100">
        <v>-1.5707963267949001</v>
      </c>
      <c r="BB100">
        <v>0.99199999999999999</v>
      </c>
      <c r="BC100">
        <v>0</v>
      </c>
      <c r="BD100">
        <v>5.8245346242475203E-2</v>
      </c>
      <c r="BE100">
        <v>0</v>
      </c>
      <c r="BF100">
        <v>1.6E-2</v>
      </c>
      <c r="BG100">
        <v>0</v>
      </c>
      <c r="BH100">
        <v>0</v>
      </c>
      <c r="BI100">
        <v>0</v>
      </c>
      <c r="BJ100">
        <v>0</v>
      </c>
      <c r="BK100">
        <v>1</v>
      </c>
      <c r="BL100" s="1">
        <v>9.2780930715486494E-5</v>
      </c>
      <c r="BM100">
        <v>3.01961439797485E-4</v>
      </c>
      <c r="BN100" s="1">
        <v>3.45213816114321E-7</v>
      </c>
      <c r="BO100" s="1">
        <v>4.7431992046758703E-6</v>
      </c>
      <c r="BP100">
        <v>0</v>
      </c>
      <c r="BQ100">
        <v>0</v>
      </c>
      <c r="BR100" s="1">
        <v>5.1731879126313098E-5</v>
      </c>
      <c r="BS100">
        <v>1.7296779497176599E-4</v>
      </c>
    </row>
    <row r="101" spans="1:71" x14ac:dyDescent="0.25">
      <c r="A101">
        <v>98</v>
      </c>
      <c r="B101" s="1">
        <v>7.7701125096069998E-6</v>
      </c>
      <c r="C101">
        <v>0.1327851939445</v>
      </c>
      <c r="D101">
        <v>-4.9209202181352697E-4</v>
      </c>
      <c r="E101">
        <v>6.1312499999999995E-4</v>
      </c>
      <c r="F101">
        <v>-1.327851939445E-3</v>
      </c>
      <c r="G101" s="1">
        <v>1.0842021724855E-19</v>
      </c>
      <c r="H101" t="s">
        <v>74</v>
      </c>
      <c r="I101">
        <v>0</v>
      </c>
      <c r="J101" t="s">
        <v>75</v>
      </c>
      <c r="K101">
        <v>3.14159265358979</v>
      </c>
      <c r="L101">
        <v>0.58769868217671695</v>
      </c>
      <c r="M101">
        <v>0</v>
      </c>
      <c r="N101">
        <v>3.4506767368577898E-2</v>
      </c>
      <c r="O101">
        <v>0</v>
      </c>
      <c r="P101">
        <v>1.6E-2</v>
      </c>
      <c r="Q101">
        <v>0</v>
      </c>
      <c r="R101">
        <v>0</v>
      </c>
      <c r="S101">
        <v>0</v>
      </c>
      <c r="T101">
        <v>0</v>
      </c>
      <c r="U101">
        <v>0.59243818767813405</v>
      </c>
      <c r="V101" t="s">
        <v>78</v>
      </c>
      <c r="W101">
        <v>3888700.3622910399</v>
      </c>
      <c r="X101" t="s">
        <v>76</v>
      </c>
      <c r="Y101">
        <v>-1.5707963267949001</v>
      </c>
      <c r="Z101">
        <v>0.58704393765112295</v>
      </c>
      <c r="AA101">
        <v>0</v>
      </c>
      <c r="AB101">
        <v>3.4090236900733199E-2</v>
      </c>
      <c r="AC101">
        <v>0</v>
      </c>
      <c r="AD101">
        <v>1.65967885375139E-3</v>
      </c>
      <c r="AE101">
        <v>1.6291734790813799E-2</v>
      </c>
      <c r="AF101">
        <v>0</v>
      </c>
      <c r="AG101">
        <v>0.15074089067931901</v>
      </c>
      <c r="AH101">
        <v>0.459290641974401</v>
      </c>
      <c r="AI101">
        <v>0.30442595144069101</v>
      </c>
      <c r="AJ101" t="s">
        <v>74</v>
      </c>
      <c r="AK101">
        <v>0</v>
      </c>
      <c r="AL101" t="s">
        <v>77</v>
      </c>
      <c r="AM101">
        <v>0</v>
      </c>
      <c r="AN101">
        <v>0.99199999999999999</v>
      </c>
      <c r="AO101">
        <v>0</v>
      </c>
      <c r="AP101">
        <v>5.8245346242475203E-2</v>
      </c>
      <c r="AQ101">
        <v>0</v>
      </c>
      <c r="AR101">
        <v>1.6E-2</v>
      </c>
      <c r="AS101">
        <v>0</v>
      </c>
      <c r="AT101">
        <v>0</v>
      </c>
      <c r="AU101">
        <v>0</v>
      </c>
      <c r="AV101">
        <v>0</v>
      </c>
      <c r="AW101">
        <v>1</v>
      </c>
      <c r="AX101" t="s">
        <v>74</v>
      </c>
      <c r="AY101">
        <v>0</v>
      </c>
      <c r="AZ101" t="s">
        <v>76</v>
      </c>
      <c r="BA101">
        <v>-1.5707963267949001</v>
      </c>
      <c r="BB101">
        <v>0.99199999999999999</v>
      </c>
      <c r="BC101">
        <v>0</v>
      </c>
      <c r="BD101">
        <v>5.8245346242475203E-2</v>
      </c>
      <c r="BE101">
        <v>0</v>
      </c>
      <c r="BF101">
        <v>1.6E-2</v>
      </c>
      <c r="BG101">
        <v>0</v>
      </c>
      <c r="BH101">
        <v>0</v>
      </c>
      <c r="BI101">
        <v>0</v>
      </c>
      <c r="BJ101">
        <v>0</v>
      </c>
      <c r="BK101">
        <v>1</v>
      </c>
      <c r="BL101" s="1">
        <v>9.2543848377130697E-5</v>
      </c>
      <c r="BM101">
        <v>3.0501576632685999E-4</v>
      </c>
      <c r="BN101" s="1">
        <v>3.44332189894283E-7</v>
      </c>
      <c r="BO101" s="1">
        <v>4.7911764536076199E-6</v>
      </c>
      <c r="BP101">
        <v>0</v>
      </c>
      <c r="BQ101">
        <v>0</v>
      </c>
      <c r="BR101" s="1">
        <v>5.1581345819348702E-5</v>
      </c>
      <c r="BS101">
        <v>1.7471865575082601E-4</v>
      </c>
    </row>
    <row r="102" spans="1:71" x14ac:dyDescent="0.25">
      <c r="A102">
        <v>99</v>
      </c>
      <c r="B102" s="1">
        <v>8.1234309446422098E-6</v>
      </c>
      <c r="C102">
        <v>0.132793317375444</v>
      </c>
      <c r="D102">
        <v>-4.9212836535219597E-4</v>
      </c>
      <c r="E102">
        <v>6.1312499999999995E-4</v>
      </c>
      <c r="F102">
        <v>-1.32793317375444E-3</v>
      </c>
      <c r="G102">
        <v>0</v>
      </c>
      <c r="H102" t="s">
        <v>74</v>
      </c>
      <c r="I102">
        <v>0</v>
      </c>
      <c r="J102" t="s">
        <v>75</v>
      </c>
      <c r="K102">
        <v>3.14159265358979</v>
      </c>
      <c r="L102">
        <v>0.58366367333927305</v>
      </c>
      <c r="M102">
        <v>0</v>
      </c>
      <c r="N102">
        <v>3.42698515552428E-2</v>
      </c>
      <c r="O102">
        <v>0</v>
      </c>
      <c r="P102">
        <v>1.6E-2</v>
      </c>
      <c r="Q102">
        <v>0</v>
      </c>
      <c r="R102">
        <v>0</v>
      </c>
      <c r="S102">
        <v>0</v>
      </c>
      <c r="T102">
        <v>0</v>
      </c>
      <c r="U102">
        <v>0.588370638446715</v>
      </c>
      <c r="V102" t="s">
        <v>78</v>
      </c>
      <c r="W102">
        <v>3889013.9893888398</v>
      </c>
      <c r="X102" t="s">
        <v>76</v>
      </c>
      <c r="Y102">
        <v>-1.5707963267949001</v>
      </c>
      <c r="Z102">
        <v>0.58301080789673598</v>
      </c>
      <c r="AA102">
        <v>0</v>
      </c>
      <c r="AB102">
        <v>3.3854516508454002E-2</v>
      </c>
      <c r="AC102">
        <v>0</v>
      </c>
      <c r="AD102">
        <v>1.5154329171690401E-3</v>
      </c>
      <c r="AE102">
        <v>1.6438569183299799E-2</v>
      </c>
      <c r="AF102">
        <v>0</v>
      </c>
      <c r="AG102">
        <v>0.14322231829892099</v>
      </c>
      <c r="AH102">
        <v>0.472897452302252</v>
      </c>
      <c r="AI102">
        <v>0.29872039250908899</v>
      </c>
      <c r="AJ102" t="s">
        <v>74</v>
      </c>
      <c r="AK102">
        <v>0</v>
      </c>
      <c r="AL102" t="s">
        <v>77</v>
      </c>
      <c r="AM102">
        <v>0</v>
      </c>
      <c r="AN102">
        <v>0.99199999999999999</v>
      </c>
      <c r="AO102">
        <v>0</v>
      </c>
      <c r="AP102">
        <v>5.8245346242475203E-2</v>
      </c>
      <c r="AQ102">
        <v>0</v>
      </c>
      <c r="AR102">
        <v>1.6E-2</v>
      </c>
      <c r="AS102">
        <v>0</v>
      </c>
      <c r="AT102">
        <v>0</v>
      </c>
      <c r="AU102">
        <v>0</v>
      </c>
      <c r="AV102">
        <v>0</v>
      </c>
      <c r="AW102">
        <v>1</v>
      </c>
      <c r="AX102" t="s">
        <v>74</v>
      </c>
      <c r="AY102">
        <v>0</v>
      </c>
      <c r="AZ102" t="s">
        <v>76</v>
      </c>
      <c r="BA102">
        <v>-1.5707963267949001</v>
      </c>
      <c r="BB102">
        <v>0.99199999999999999</v>
      </c>
      <c r="BC102">
        <v>0</v>
      </c>
      <c r="BD102">
        <v>5.8245346242475203E-2</v>
      </c>
      <c r="BE102">
        <v>0</v>
      </c>
      <c r="BF102">
        <v>1.6E-2</v>
      </c>
      <c r="BG102">
        <v>0</v>
      </c>
      <c r="BH102">
        <v>0</v>
      </c>
      <c r="BI102">
        <v>0</v>
      </c>
      <c r="BJ102">
        <v>0</v>
      </c>
      <c r="BK102">
        <v>1</v>
      </c>
      <c r="BL102" s="1">
        <v>9.2307530274323701E-5</v>
      </c>
      <c r="BM102">
        <v>3.0805988530058698E-4</v>
      </c>
      <c r="BN102" s="1">
        <v>3.4345325722792903E-7</v>
      </c>
      <c r="BO102" s="1">
        <v>4.83899336263019E-6</v>
      </c>
      <c r="BP102">
        <v>0</v>
      </c>
      <c r="BQ102">
        <v>0</v>
      </c>
      <c r="BR102" s="1">
        <v>5.1431312329651802E-5</v>
      </c>
      <c r="BS102">
        <v>1.7646375508185001E-4</v>
      </c>
    </row>
    <row r="103" spans="1:71" x14ac:dyDescent="0.25">
      <c r="A103">
        <v>100</v>
      </c>
      <c r="B103" s="1">
        <v>8.5361528482064606E-6</v>
      </c>
      <c r="C103">
        <v>0.13280185352829299</v>
      </c>
      <c r="D103">
        <v>-4.9216655382236497E-4</v>
      </c>
      <c r="E103">
        <v>6.1312499999999995E-4</v>
      </c>
      <c r="F103">
        <v>-1.32801853528293E-3</v>
      </c>
      <c r="G103">
        <v>0</v>
      </c>
      <c r="H103" t="s">
        <v>74</v>
      </c>
      <c r="I103">
        <v>0</v>
      </c>
      <c r="J103" t="s">
        <v>75</v>
      </c>
      <c r="K103">
        <v>3.14159265358979</v>
      </c>
      <c r="L103">
        <v>0.57964450535213796</v>
      </c>
      <c r="M103">
        <v>0</v>
      </c>
      <c r="N103">
        <v>3.4033865838491502E-2</v>
      </c>
      <c r="O103">
        <v>0</v>
      </c>
      <c r="P103">
        <v>1.6E-2</v>
      </c>
      <c r="Q103">
        <v>0</v>
      </c>
      <c r="R103">
        <v>0</v>
      </c>
      <c r="S103">
        <v>0</v>
      </c>
      <c r="T103">
        <v>0</v>
      </c>
      <c r="U103">
        <v>0.58431905781402405</v>
      </c>
      <c r="V103" t="s">
        <v>78</v>
      </c>
      <c r="W103">
        <v>3889343.5373499701</v>
      </c>
      <c r="X103" t="s">
        <v>76</v>
      </c>
      <c r="Y103">
        <v>-1.5707963267949001</v>
      </c>
      <c r="Z103">
        <v>0.57899340455832604</v>
      </c>
      <c r="AA103">
        <v>0</v>
      </c>
      <c r="AB103">
        <v>3.3619653412788802E-2</v>
      </c>
      <c r="AC103">
        <v>0</v>
      </c>
      <c r="AD103">
        <v>1.3723583755120201E-3</v>
      </c>
      <c r="AE103">
        <v>1.6584302902627301E-2</v>
      </c>
      <c r="AF103">
        <v>0</v>
      </c>
      <c r="AG103">
        <v>0.135220313133631</v>
      </c>
      <c r="AH103">
        <v>0.48696379388965699</v>
      </c>
      <c r="AI103">
        <v>0.29307020974959702</v>
      </c>
      <c r="AJ103" t="s">
        <v>74</v>
      </c>
      <c r="AK103">
        <v>0</v>
      </c>
      <c r="AL103" t="s">
        <v>77</v>
      </c>
      <c r="AM103">
        <v>0</v>
      </c>
      <c r="AN103">
        <v>0.99199999999999999</v>
      </c>
      <c r="AO103">
        <v>0</v>
      </c>
      <c r="AP103">
        <v>5.8245346242475203E-2</v>
      </c>
      <c r="AQ103">
        <v>0</v>
      </c>
      <c r="AR103">
        <v>1.6E-2</v>
      </c>
      <c r="AS103">
        <v>0</v>
      </c>
      <c r="AT103">
        <v>0</v>
      </c>
      <c r="AU103">
        <v>0</v>
      </c>
      <c r="AV103">
        <v>0</v>
      </c>
      <c r="AW103">
        <v>1</v>
      </c>
      <c r="AX103" t="s">
        <v>74</v>
      </c>
      <c r="AY103">
        <v>0</v>
      </c>
      <c r="AZ103" t="s">
        <v>76</v>
      </c>
      <c r="BA103">
        <v>-1.5707963267949001</v>
      </c>
      <c r="BB103">
        <v>0.99199999999999999</v>
      </c>
      <c r="BC103">
        <v>0</v>
      </c>
      <c r="BD103">
        <v>5.8245346242475203E-2</v>
      </c>
      <c r="BE103">
        <v>0</v>
      </c>
      <c r="BF103">
        <v>1.6E-2</v>
      </c>
      <c r="BG103">
        <v>0</v>
      </c>
      <c r="BH103">
        <v>0</v>
      </c>
      <c r="BI103">
        <v>0</v>
      </c>
      <c r="BJ103">
        <v>0</v>
      </c>
      <c r="BK103">
        <v>1</v>
      </c>
      <c r="BL103" s="1">
        <v>9.2072105868115295E-5</v>
      </c>
      <c r="BM103">
        <v>3.1109205351164402E-4</v>
      </c>
      <c r="BN103" s="1">
        <v>3.4257746864060997E-7</v>
      </c>
      <c r="BO103" s="1">
        <v>4.88662254951172E-6</v>
      </c>
      <c r="BP103">
        <v>0</v>
      </c>
      <c r="BQ103">
        <v>0</v>
      </c>
      <c r="BR103" s="1">
        <v>5.128186379766E-5</v>
      </c>
      <c r="BS103">
        <v>1.78202106168167E-4</v>
      </c>
    </row>
    <row r="104" spans="1:71" x14ac:dyDescent="0.25">
      <c r="A104">
        <v>101</v>
      </c>
      <c r="B104" s="1">
        <v>9.0239515432495304E-6</v>
      </c>
      <c r="C104">
        <v>0.132810877479836</v>
      </c>
      <c r="D104">
        <v>-4.9220692285068305E-4</v>
      </c>
      <c r="E104">
        <v>6.1312499999999995E-4</v>
      </c>
      <c r="F104">
        <v>-1.32810877479836E-3</v>
      </c>
      <c r="G104">
        <v>0</v>
      </c>
      <c r="H104" t="s">
        <v>74</v>
      </c>
      <c r="I104">
        <v>0</v>
      </c>
      <c r="J104" t="s">
        <v>75</v>
      </c>
      <c r="K104">
        <v>3.14159265358979</v>
      </c>
      <c r="L104">
        <v>0.57564412276334298</v>
      </c>
      <c r="M104">
        <v>0</v>
      </c>
      <c r="N104">
        <v>3.3798983107658102E-2</v>
      </c>
      <c r="O104">
        <v>0</v>
      </c>
      <c r="P104">
        <v>1.6E-2</v>
      </c>
      <c r="Q104">
        <v>0</v>
      </c>
      <c r="R104">
        <v>0</v>
      </c>
      <c r="S104">
        <v>0</v>
      </c>
      <c r="T104">
        <v>0</v>
      </c>
      <c r="U104">
        <v>0.58028641407415205</v>
      </c>
      <c r="V104" t="s">
        <v>78</v>
      </c>
      <c r="W104">
        <v>3889691.9024695</v>
      </c>
      <c r="X104" t="s">
        <v>76</v>
      </c>
      <c r="Y104">
        <v>-1.5707963267949001</v>
      </c>
      <c r="Z104">
        <v>0.57499464740532702</v>
      </c>
      <c r="AA104">
        <v>0</v>
      </c>
      <c r="AB104">
        <v>3.3385804739610697E-2</v>
      </c>
      <c r="AC104">
        <v>0</v>
      </c>
      <c r="AD104">
        <v>1.2305826925739301E-3</v>
      </c>
      <c r="AE104">
        <v>1.67288243669701E-2</v>
      </c>
      <c r="AF104">
        <v>0</v>
      </c>
      <c r="AG104">
        <v>0.12669653750359799</v>
      </c>
      <c r="AH104">
        <v>0.50152356152432298</v>
      </c>
      <c r="AI104">
        <v>0.28747943117978503</v>
      </c>
      <c r="AJ104" t="s">
        <v>74</v>
      </c>
      <c r="AK104">
        <v>0</v>
      </c>
      <c r="AL104" t="s">
        <v>77</v>
      </c>
      <c r="AM104">
        <v>0</v>
      </c>
      <c r="AN104">
        <v>0.99199999999999999</v>
      </c>
      <c r="AO104">
        <v>0</v>
      </c>
      <c r="AP104">
        <v>5.8245346242475203E-2</v>
      </c>
      <c r="AQ104">
        <v>0</v>
      </c>
      <c r="AR104">
        <v>1.6E-2</v>
      </c>
      <c r="AS104">
        <v>0</v>
      </c>
      <c r="AT104">
        <v>0</v>
      </c>
      <c r="AU104">
        <v>0</v>
      </c>
      <c r="AV104">
        <v>0</v>
      </c>
      <c r="AW104">
        <v>1</v>
      </c>
      <c r="AX104" t="s">
        <v>74</v>
      </c>
      <c r="AY104">
        <v>0</v>
      </c>
      <c r="AZ104" t="s">
        <v>76</v>
      </c>
      <c r="BA104">
        <v>-1.5707963267949001</v>
      </c>
      <c r="BB104">
        <v>0.99199999999999999</v>
      </c>
      <c r="BC104">
        <v>0</v>
      </c>
      <c r="BD104">
        <v>5.8245346242475203E-2</v>
      </c>
      <c r="BE104">
        <v>0</v>
      </c>
      <c r="BF104">
        <v>1.6E-2</v>
      </c>
      <c r="BG104">
        <v>0</v>
      </c>
      <c r="BH104">
        <v>0</v>
      </c>
      <c r="BI104">
        <v>0</v>
      </c>
      <c r="BJ104">
        <v>0</v>
      </c>
      <c r="BK104">
        <v>1</v>
      </c>
      <c r="BL104" s="1">
        <v>9.1837740166109605E-5</v>
      </c>
      <c r="BM104">
        <v>3.1411004951396101E-4</v>
      </c>
      <c r="BN104" s="1">
        <v>3.4170539852355402E-7</v>
      </c>
      <c r="BO104" s="1">
        <v>4.9340291198589202E-6</v>
      </c>
      <c r="BP104">
        <v>0</v>
      </c>
      <c r="BQ104">
        <v>0</v>
      </c>
      <c r="BR104" s="1">
        <v>5.1133108723046902E-5</v>
      </c>
      <c r="BS104">
        <v>1.7993245130789199E-4</v>
      </c>
    </row>
    <row r="105" spans="1:71" x14ac:dyDescent="0.25">
      <c r="A105">
        <v>102</v>
      </c>
      <c r="B105" s="1">
        <v>9.60867278808373E-6</v>
      </c>
      <c r="C105">
        <v>0.13282048615262401</v>
      </c>
      <c r="D105">
        <v>-4.9224990571471899E-4</v>
      </c>
      <c r="E105">
        <v>6.1312499999999995E-4</v>
      </c>
      <c r="F105">
        <v>-1.32820486152624E-3</v>
      </c>
      <c r="G105">
        <v>0</v>
      </c>
      <c r="H105" t="s">
        <v>74</v>
      </c>
      <c r="I105">
        <v>0</v>
      </c>
      <c r="J105" t="s">
        <v>75</v>
      </c>
      <c r="K105">
        <v>3.14159265358979</v>
      </c>
      <c r="L105">
        <v>0.57166635366725904</v>
      </c>
      <c r="M105">
        <v>0</v>
      </c>
      <c r="N105">
        <v>3.3565428129559302E-2</v>
      </c>
      <c r="O105">
        <v>0</v>
      </c>
      <c r="P105">
        <v>1.6E-2</v>
      </c>
      <c r="Q105">
        <v>0</v>
      </c>
      <c r="R105">
        <v>0</v>
      </c>
      <c r="S105">
        <v>0</v>
      </c>
      <c r="T105">
        <v>0</v>
      </c>
      <c r="U105">
        <v>0.57627656619293199</v>
      </c>
      <c r="V105" t="s">
        <v>78</v>
      </c>
      <c r="W105">
        <v>3890062.8237225302</v>
      </c>
      <c r="X105" t="s">
        <v>76</v>
      </c>
      <c r="Y105">
        <v>-1.5707963267949001</v>
      </c>
      <c r="Z105">
        <v>0.57101833239273803</v>
      </c>
      <c r="AA105">
        <v>0</v>
      </c>
      <c r="AB105">
        <v>3.3153174809553203E-2</v>
      </c>
      <c r="AC105">
        <v>0</v>
      </c>
      <c r="AD105">
        <v>1.09026989703377E-3</v>
      </c>
      <c r="AE105">
        <v>1.68719896228633E-2</v>
      </c>
      <c r="AF105">
        <v>0</v>
      </c>
      <c r="AG105">
        <v>0.117606797471955</v>
      </c>
      <c r="AH105">
        <v>0.51661517310882399</v>
      </c>
      <c r="AI105">
        <v>0.281953193493853</v>
      </c>
      <c r="AJ105" t="s">
        <v>74</v>
      </c>
      <c r="AK105">
        <v>0</v>
      </c>
      <c r="AL105" t="s">
        <v>77</v>
      </c>
      <c r="AM105">
        <v>0</v>
      </c>
      <c r="AN105">
        <v>0.99199999999999999</v>
      </c>
      <c r="AO105">
        <v>0</v>
      </c>
      <c r="AP105">
        <v>5.8245346242475203E-2</v>
      </c>
      <c r="AQ105">
        <v>0</v>
      </c>
      <c r="AR105">
        <v>1.6E-2</v>
      </c>
      <c r="AS105">
        <v>0</v>
      </c>
      <c r="AT105">
        <v>0</v>
      </c>
      <c r="AU105">
        <v>0</v>
      </c>
      <c r="AV105">
        <v>0</v>
      </c>
      <c r="AW105">
        <v>1</v>
      </c>
      <c r="AX105" t="s">
        <v>74</v>
      </c>
      <c r="AY105">
        <v>0</v>
      </c>
      <c r="AZ105" t="s">
        <v>76</v>
      </c>
      <c r="BA105">
        <v>-1.5707963267949001</v>
      </c>
      <c r="BB105">
        <v>0.99199999999999999</v>
      </c>
      <c r="BC105">
        <v>0</v>
      </c>
      <c r="BD105">
        <v>5.8245346242475203E-2</v>
      </c>
      <c r="BE105">
        <v>0</v>
      </c>
      <c r="BF105">
        <v>1.6E-2</v>
      </c>
      <c r="BG105">
        <v>0</v>
      </c>
      <c r="BH105">
        <v>0</v>
      </c>
      <c r="BI105">
        <v>0</v>
      </c>
      <c r="BJ105">
        <v>0</v>
      </c>
      <c r="BK105">
        <v>1</v>
      </c>
      <c r="BL105" s="1">
        <v>9.1604647712031497E-5</v>
      </c>
      <c r="BM105">
        <v>3.1711098529039003E-4</v>
      </c>
      <c r="BN105" s="1">
        <v>3.4083779383365E-7</v>
      </c>
      <c r="BO105" s="1">
        <v>4.98116770880455E-6</v>
      </c>
      <c r="BP105">
        <v>0</v>
      </c>
      <c r="BQ105">
        <v>0</v>
      </c>
      <c r="BR105" s="1">
        <v>5.09851881617461E-5</v>
      </c>
      <c r="BS105">
        <v>1.81653155190957E-4</v>
      </c>
    </row>
    <row r="106" spans="1:71" x14ac:dyDescent="0.25">
      <c r="A106">
        <v>103</v>
      </c>
      <c r="B106" s="1">
        <v>1.0321708503698899E-5</v>
      </c>
      <c r="C106">
        <v>0.132830807861128</v>
      </c>
      <c r="D106">
        <v>-4.9229607601193603E-4</v>
      </c>
      <c r="E106">
        <v>6.1312499999999995E-4</v>
      </c>
      <c r="F106">
        <v>-1.3283080786112801E-3</v>
      </c>
      <c r="G106">
        <v>0</v>
      </c>
      <c r="H106" t="s">
        <v>74</v>
      </c>
      <c r="I106">
        <v>0</v>
      </c>
      <c r="J106" t="s">
        <v>75</v>
      </c>
      <c r="K106">
        <v>3.14159265358979</v>
      </c>
      <c r="L106">
        <v>0.56771629247829702</v>
      </c>
      <c r="M106">
        <v>0</v>
      </c>
      <c r="N106">
        <v>3.3333500023077403E-2</v>
      </c>
      <c r="O106">
        <v>0</v>
      </c>
      <c r="P106">
        <v>1.6E-2</v>
      </c>
      <c r="Q106">
        <v>0</v>
      </c>
      <c r="R106">
        <v>0</v>
      </c>
      <c r="S106">
        <v>0</v>
      </c>
      <c r="T106">
        <v>0</v>
      </c>
      <c r="U106">
        <v>0.57229464966857901</v>
      </c>
      <c r="V106" t="s">
        <v>78</v>
      </c>
      <c r="W106">
        <v>3890461.2509767599</v>
      </c>
      <c r="X106" t="s">
        <v>76</v>
      </c>
      <c r="Y106">
        <v>-1.5707963267949001</v>
      </c>
      <c r="Z106">
        <v>0.56706951118287596</v>
      </c>
      <c r="AA106">
        <v>0</v>
      </c>
      <c r="AB106">
        <v>3.2922035543793103E-2</v>
      </c>
      <c r="AC106">
        <v>0</v>
      </c>
      <c r="AD106">
        <v>9.5163677780583499E-4</v>
      </c>
      <c r="AE106">
        <v>1.7013607825324899E-2</v>
      </c>
      <c r="AF106">
        <v>0</v>
      </c>
      <c r="AG106">
        <v>0.10789996120688899</v>
      </c>
      <c r="AH106">
        <v>0.53228207374902403</v>
      </c>
      <c r="AI106">
        <v>0.27649822402769803</v>
      </c>
      <c r="AJ106" t="s">
        <v>74</v>
      </c>
      <c r="AK106">
        <v>0</v>
      </c>
      <c r="AL106" t="s">
        <v>77</v>
      </c>
      <c r="AM106">
        <v>0</v>
      </c>
      <c r="AN106">
        <v>0.99199999999999999</v>
      </c>
      <c r="AO106">
        <v>0</v>
      </c>
      <c r="AP106">
        <v>5.8245346242475203E-2</v>
      </c>
      <c r="AQ106">
        <v>0</v>
      </c>
      <c r="AR106">
        <v>1.6E-2</v>
      </c>
      <c r="AS106">
        <v>0</v>
      </c>
      <c r="AT106">
        <v>0</v>
      </c>
      <c r="AU106">
        <v>0</v>
      </c>
      <c r="AV106">
        <v>0</v>
      </c>
      <c r="AW106">
        <v>1</v>
      </c>
      <c r="AX106" t="s">
        <v>74</v>
      </c>
      <c r="AY106">
        <v>0</v>
      </c>
      <c r="AZ106" t="s">
        <v>76</v>
      </c>
      <c r="BA106">
        <v>-1.5707963267949001</v>
      </c>
      <c r="BB106">
        <v>0.99199999999999999</v>
      </c>
      <c r="BC106">
        <v>0</v>
      </c>
      <c r="BD106">
        <v>5.8245346242475203E-2</v>
      </c>
      <c r="BE106">
        <v>0</v>
      </c>
      <c r="BF106">
        <v>1.6E-2</v>
      </c>
      <c r="BG106">
        <v>0</v>
      </c>
      <c r="BH106">
        <v>0</v>
      </c>
      <c r="BI106">
        <v>0</v>
      </c>
      <c r="BJ106">
        <v>0</v>
      </c>
      <c r="BK106">
        <v>1</v>
      </c>
      <c r="BL106" s="1">
        <v>9.1373114025910398E-5</v>
      </c>
      <c r="BM106">
        <v>3.2009101747795701E-4</v>
      </c>
      <c r="BN106" s="1">
        <v>3.3997564867248899E-7</v>
      </c>
      <c r="BO106" s="1">
        <v>5.0279779449441499E-6</v>
      </c>
      <c r="BP106">
        <v>0</v>
      </c>
      <c r="BQ106">
        <v>0</v>
      </c>
      <c r="BR106" s="1">
        <v>5.08382898263453E-5</v>
      </c>
      <c r="BS106">
        <v>1.83362041298096E-4</v>
      </c>
    </row>
    <row r="107" spans="1:71" x14ac:dyDescent="0.25">
      <c r="A107">
        <v>104</v>
      </c>
      <c r="B107" s="1">
        <v>1.1209848410021199E-5</v>
      </c>
      <c r="C107">
        <v>0.13284201770953799</v>
      </c>
      <c r="D107">
        <v>-4.9234621648257899E-4</v>
      </c>
      <c r="E107">
        <v>6.1312499999999995E-4</v>
      </c>
      <c r="F107">
        <v>-1.3284201770953801E-3</v>
      </c>
      <c r="G107">
        <v>0</v>
      </c>
      <c r="H107" t="s">
        <v>74</v>
      </c>
      <c r="I107">
        <v>0</v>
      </c>
      <c r="J107" t="s">
        <v>75</v>
      </c>
      <c r="K107">
        <v>3.14159265358979</v>
      </c>
      <c r="L107">
        <v>0.56380090868385202</v>
      </c>
      <c r="M107">
        <v>0</v>
      </c>
      <c r="N107">
        <v>3.3103608002130101E-2</v>
      </c>
      <c r="O107">
        <v>0</v>
      </c>
      <c r="P107">
        <v>1.6E-2</v>
      </c>
      <c r="Q107">
        <v>0</v>
      </c>
      <c r="R107">
        <v>0</v>
      </c>
      <c r="S107">
        <v>0</v>
      </c>
      <c r="T107">
        <v>0</v>
      </c>
      <c r="U107">
        <v>0.56834769019395304</v>
      </c>
      <c r="V107" t="s">
        <v>78</v>
      </c>
      <c r="W107">
        <v>3890893.9389005601</v>
      </c>
      <c r="X107" t="s">
        <v>76</v>
      </c>
      <c r="Y107">
        <v>-1.5707963267949001</v>
      </c>
      <c r="Z107">
        <v>0.56315509464861502</v>
      </c>
      <c r="AA107">
        <v>0</v>
      </c>
      <c r="AB107">
        <v>3.26927588673065E-2</v>
      </c>
      <c r="AC107">
        <v>0</v>
      </c>
      <c r="AD107">
        <v>8.1497896436869899E-4</v>
      </c>
      <c r="AE107">
        <v>1.71534177489088E-2</v>
      </c>
      <c r="AF107">
        <v>0</v>
      </c>
      <c r="AG107">
        <v>9.7516866493181503E-2</v>
      </c>
      <c r="AH107">
        <v>0.54857290972341499</v>
      </c>
      <c r="AI107">
        <v>0.27112360895987497</v>
      </c>
      <c r="AJ107" t="s">
        <v>74</v>
      </c>
      <c r="AK107">
        <v>0</v>
      </c>
      <c r="AL107" t="s">
        <v>77</v>
      </c>
      <c r="AM107">
        <v>0</v>
      </c>
      <c r="AN107">
        <v>0.99199999999999999</v>
      </c>
      <c r="AO107">
        <v>0</v>
      </c>
      <c r="AP107">
        <v>5.8245346242475203E-2</v>
      </c>
      <c r="AQ107">
        <v>0</v>
      </c>
      <c r="AR107">
        <v>1.6E-2</v>
      </c>
      <c r="AS107">
        <v>0</v>
      </c>
      <c r="AT107">
        <v>0</v>
      </c>
      <c r="AU107">
        <v>0</v>
      </c>
      <c r="AV107">
        <v>0</v>
      </c>
      <c r="AW107">
        <v>1</v>
      </c>
      <c r="AX107" t="s">
        <v>74</v>
      </c>
      <c r="AY107">
        <v>0</v>
      </c>
      <c r="AZ107" t="s">
        <v>76</v>
      </c>
      <c r="BA107">
        <v>-1.5707963267949001</v>
      </c>
      <c r="BB107">
        <v>0.99199999999999999</v>
      </c>
      <c r="BC107">
        <v>0</v>
      </c>
      <c r="BD107">
        <v>5.8245346242475203E-2</v>
      </c>
      <c r="BE107">
        <v>0</v>
      </c>
      <c r="BF107">
        <v>1.6E-2</v>
      </c>
      <c r="BG107">
        <v>0</v>
      </c>
      <c r="BH107">
        <v>0</v>
      </c>
      <c r="BI107">
        <v>0</v>
      </c>
      <c r="BJ107">
        <v>0</v>
      </c>
      <c r="BK107">
        <v>1</v>
      </c>
      <c r="BL107" s="1">
        <v>9.1143529677193495E-5</v>
      </c>
      <c r="BM107">
        <v>3.2304488810829798E-4</v>
      </c>
      <c r="BN107" s="1">
        <v>3.3912032267187801E-7</v>
      </c>
      <c r="BO107" s="1">
        <v>5.0743772363038299E-6</v>
      </c>
      <c r="BP107">
        <v>0</v>
      </c>
      <c r="BQ107">
        <v>0</v>
      </c>
      <c r="BR107" s="1">
        <v>5.0692670507193003E-5</v>
      </c>
      <c r="BS107">
        <v>1.8505613174562901E-4</v>
      </c>
    </row>
    <row r="108" spans="1:71" x14ac:dyDescent="0.25">
      <c r="A108">
        <v>105</v>
      </c>
      <c r="B108" s="1">
        <v>1.2346014442136501E-5</v>
      </c>
      <c r="C108">
        <v>0.13285436372397999</v>
      </c>
      <c r="D108">
        <v>-4.9240143580898E-4</v>
      </c>
      <c r="E108">
        <v>6.1312499999999995E-4</v>
      </c>
      <c r="F108">
        <v>-1.3285436372397999E-3</v>
      </c>
      <c r="G108" s="1">
        <v>1.0842021724855E-19</v>
      </c>
      <c r="H108" t="s">
        <v>74</v>
      </c>
      <c r="I108">
        <v>0</v>
      </c>
      <c r="J108" t="s">
        <v>75</v>
      </c>
      <c r="K108">
        <v>3.14159265358979</v>
      </c>
      <c r="L108">
        <v>0.55993005700739895</v>
      </c>
      <c r="M108">
        <v>0</v>
      </c>
      <c r="N108">
        <v>3.2876330687464601E-2</v>
      </c>
      <c r="O108">
        <v>0</v>
      </c>
      <c r="P108">
        <v>1.6E-2</v>
      </c>
      <c r="Q108">
        <v>0</v>
      </c>
      <c r="R108">
        <v>0</v>
      </c>
      <c r="S108">
        <v>0</v>
      </c>
      <c r="T108">
        <v>0</v>
      </c>
      <c r="U108">
        <v>0.56444562196617099</v>
      </c>
      <c r="V108" t="s">
        <v>78</v>
      </c>
      <c r="W108">
        <v>3891370.4548843098</v>
      </c>
      <c r="X108" t="s">
        <v>76</v>
      </c>
      <c r="Y108">
        <v>-1.5707963267949001</v>
      </c>
      <c r="Z108">
        <v>0.55928485412875895</v>
      </c>
      <c r="AA108">
        <v>0</v>
      </c>
      <c r="AB108">
        <v>3.2465870353807498E-2</v>
      </c>
      <c r="AC108">
        <v>0</v>
      </c>
      <c r="AD108">
        <v>6.80714929825864E-4</v>
      </c>
      <c r="AE108">
        <v>1.7291047954988401E-2</v>
      </c>
      <c r="AF108">
        <v>0</v>
      </c>
      <c r="AG108">
        <v>8.6389629049324707E-2</v>
      </c>
      <c r="AH108">
        <v>0.56554069597768497</v>
      </c>
      <c r="AI108">
        <v>0.265842071033285</v>
      </c>
      <c r="AJ108" t="s">
        <v>74</v>
      </c>
      <c r="AK108">
        <v>0</v>
      </c>
      <c r="AL108" t="s">
        <v>77</v>
      </c>
      <c r="AM108">
        <v>0</v>
      </c>
      <c r="AN108">
        <v>0.99199999999999999</v>
      </c>
      <c r="AO108">
        <v>0</v>
      </c>
      <c r="AP108">
        <v>5.8245346242475203E-2</v>
      </c>
      <c r="AQ108">
        <v>0</v>
      </c>
      <c r="AR108">
        <v>1.6E-2</v>
      </c>
      <c r="AS108">
        <v>0</v>
      </c>
      <c r="AT108">
        <v>0</v>
      </c>
      <c r="AU108">
        <v>0</v>
      </c>
      <c r="AV108">
        <v>0</v>
      </c>
      <c r="AW108">
        <v>1</v>
      </c>
      <c r="AX108" t="s">
        <v>74</v>
      </c>
      <c r="AY108">
        <v>0</v>
      </c>
      <c r="AZ108" t="s">
        <v>76</v>
      </c>
      <c r="BA108">
        <v>-1.5707963267949001</v>
      </c>
      <c r="BB108">
        <v>0.99199999999999999</v>
      </c>
      <c r="BC108">
        <v>0</v>
      </c>
      <c r="BD108">
        <v>5.8245346242475203E-2</v>
      </c>
      <c r="BE108">
        <v>0</v>
      </c>
      <c r="BF108">
        <v>1.6E-2</v>
      </c>
      <c r="BG108">
        <v>0</v>
      </c>
      <c r="BH108">
        <v>0</v>
      </c>
      <c r="BI108">
        <v>0</v>
      </c>
      <c r="BJ108">
        <v>0</v>
      </c>
      <c r="BK108">
        <v>1</v>
      </c>
      <c r="BL108" s="1">
        <v>9.0916446763111296E-5</v>
      </c>
      <c r="BM108">
        <v>3.2596516251350499E-4</v>
      </c>
      <c r="BN108" s="1">
        <v>3.38273736880214E-7</v>
      </c>
      <c r="BO108" s="1">
        <v>5.1202487993931497E-6</v>
      </c>
      <c r="BP108">
        <v>0</v>
      </c>
      <c r="BQ108">
        <v>0</v>
      </c>
      <c r="BR108" s="1">
        <v>5.05486932687037E-5</v>
      </c>
      <c r="BS108">
        <v>1.8673121567848501E-4</v>
      </c>
    </row>
    <row r="109" spans="1:71" x14ac:dyDescent="0.25">
      <c r="A109">
        <v>106</v>
      </c>
      <c r="B109" s="1">
        <v>1.38503516529649E-5</v>
      </c>
      <c r="C109">
        <v>0.13286821407563301</v>
      </c>
      <c r="D109">
        <v>-4.9246337967602202E-4</v>
      </c>
      <c r="E109">
        <v>6.1312499999999995E-4</v>
      </c>
      <c r="F109">
        <v>-1.3286821407563301E-3</v>
      </c>
      <c r="G109">
        <v>0</v>
      </c>
      <c r="H109" t="s">
        <v>74</v>
      </c>
      <c r="I109">
        <v>0</v>
      </c>
      <c r="J109" t="s">
        <v>75</v>
      </c>
      <c r="K109">
        <v>3.14159265358979</v>
      </c>
      <c r="L109">
        <v>0.55611823857118003</v>
      </c>
      <c r="M109">
        <v>0</v>
      </c>
      <c r="N109">
        <v>3.2652519513441301E-2</v>
      </c>
      <c r="O109">
        <v>0</v>
      </c>
      <c r="P109">
        <v>1.6E-2</v>
      </c>
      <c r="Q109">
        <v>0</v>
      </c>
      <c r="R109">
        <v>0</v>
      </c>
      <c r="S109">
        <v>0</v>
      </c>
      <c r="T109">
        <v>0</v>
      </c>
      <c r="U109">
        <v>0.56060306305225505</v>
      </c>
      <c r="V109" t="s">
        <v>78</v>
      </c>
      <c r="W109">
        <v>3891905.0003897399</v>
      </c>
      <c r="X109" t="s">
        <v>76</v>
      </c>
      <c r="Y109">
        <v>-1.5707963267949001</v>
      </c>
      <c r="Z109">
        <v>0.55547316652243395</v>
      </c>
      <c r="AA109">
        <v>0</v>
      </c>
      <c r="AB109">
        <v>3.2242142410335503E-2</v>
      </c>
      <c r="AC109">
        <v>0</v>
      </c>
      <c r="AD109">
        <v>5.4946451023637404E-4</v>
      </c>
      <c r="AE109">
        <v>1.7425945305789399E-2</v>
      </c>
      <c r="AF109">
        <v>0</v>
      </c>
      <c r="AG109">
        <v>7.4442602182332396E-2</v>
      </c>
      <c r="AH109">
        <v>0.58323919913311495</v>
      </c>
      <c r="AI109">
        <v>0.26067220267955898</v>
      </c>
      <c r="AJ109" t="s">
        <v>74</v>
      </c>
      <c r="AK109">
        <v>0</v>
      </c>
      <c r="AL109" t="s">
        <v>77</v>
      </c>
      <c r="AM109">
        <v>0</v>
      </c>
      <c r="AN109">
        <v>0.99199999999999999</v>
      </c>
      <c r="AO109">
        <v>0</v>
      </c>
      <c r="AP109">
        <v>5.8245346242475203E-2</v>
      </c>
      <c r="AQ109">
        <v>0</v>
      </c>
      <c r="AR109">
        <v>1.6E-2</v>
      </c>
      <c r="AS109">
        <v>0</v>
      </c>
      <c r="AT109">
        <v>0</v>
      </c>
      <c r="AU109">
        <v>0</v>
      </c>
      <c r="AV109">
        <v>0</v>
      </c>
      <c r="AW109">
        <v>1</v>
      </c>
      <c r="AX109" t="s">
        <v>74</v>
      </c>
      <c r="AY109">
        <v>0</v>
      </c>
      <c r="AZ109" t="s">
        <v>76</v>
      </c>
      <c r="BA109">
        <v>-1.5707963267949001</v>
      </c>
      <c r="BB109">
        <v>0.99199999999999999</v>
      </c>
      <c r="BC109">
        <v>0</v>
      </c>
      <c r="BD109">
        <v>5.8245346242475203E-2</v>
      </c>
      <c r="BE109">
        <v>0</v>
      </c>
      <c r="BF109">
        <v>1.6E-2</v>
      </c>
      <c r="BG109">
        <v>0</v>
      </c>
      <c r="BH109">
        <v>0</v>
      </c>
      <c r="BI109">
        <v>0</v>
      </c>
      <c r="BJ109">
        <v>0</v>
      </c>
      <c r="BK109">
        <v>1</v>
      </c>
      <c r="BL109" s="1">
        <v>9.0692677204363595E-5</v>
      </c>
      <c r="BM109">
        <v>3.2884090065772402E-4</v>
      </c>
      <c r="BN109" s="1">
        <v>3.3743871373880699E-7</v>
      </c>
      <c r="BO109" s="1">
        <v>5.1654207885307798E-6</v>
      </c>
      <c r="BP109">
        <v>0</v>
      </c>
      <c r="BQ109">
        <v>0</v>
      </c>
      <c r="BR109" s="1">
        <v>5.0406892274346502E-5</v>
      </c>
      <c r="BS109">
        <v>1.8838109707324999E-4</v>
      </c>
    </row>
    <row r="110" spans="1:71" x14ac:dyDescent="0.25">
      <c r="A110">
        <v>107</v>
      </c>
      <c r="B110" s="1">
        <v>1.5935394347858298E-5</v>
      </c>
      <c r="C110">
        <v>0.13288414946998101</v>
      </c>
      <c r="D110">
        <v>-4.9253464368541799E-4</v>
      </c>
      <c r="E110">
        <v>6.1312499999999995E-4</v>
      </c>
      <c r="F110">
        <v>-1.3288414946998101E-3</v>
      </c>
      <c r="G110" s="1">
        <v>1.0842021724855E-19</v>
      </c>
      <c r="H110" t="s">
        <v>74</v>
      </c>
      <c r="I110">
        <v>0</v>
      </c>
      <c r="J110" t="s">
        <v>75</v>
      </c>
      <c r="K110">
        <v>3.14159265358979</v>
      </c>
      <c r="L110">
        <v>0.55238785018634995</v>
      </c>
      <c r="M110">
        <v>0</v>
      </c>
      <c r="N110">
        <v>3.2433489510323002E-2</v>
      </c>
      <c r="O110">
        <v>0</v>
      </c>
      <c r="P110">
        <v>1.6E-2</v>
      </c>
      <c r="Q110">
        <v>0</v>
      </c>
      <c r="R110">
        <v>0</v>
      </c>
      <c r="S110">
        <v>0</v>
      </c>
      <c r="T110">
        <v>0</v>
      </c>
      <c r="U110">
        <v>0.556842590883321</v>
      </c>
      <c r="V110" t="s">
        <v>78</v>
      </c>
      <c r="W110">
        <v>3892519.97419975</v>
      </c>
      <c r="X110" t="s">
        <v>76</v>
      </c>
      <c r="Y110">
        <v>-1.5707963267949001</v>
      </c>
      <c r="Z110">
        <v>0.55174223227969399</v>
      </c>
      <c r="AA110">
        <v>0</v>
      </c>
      <c r="AB110">
        <v>3.2022765147629098E-2</v>
      </c>
      <c r="AC110">
        <v>0</v>
      </c>
      <c r="AD110">
        <v>4.2219888387401297E-4</v>
      </c>
      <c r="AE110">
        <v>1.7557237529191201E-2</v>
      </c>
      <c r="AF110">
        <v>0</v>
      </c>
      <c r="AG110">
        <v>6.1598793365267697E-2</v>
      </c>
      <c r="AH110">
        <v>0.60171161820562902</v>
      </c>
      <c r="AI110">
        <v>0.25564259689873597</v>
      </c>
      <c r="AJ110" t="s">
        <v>74</v>
      </c>
      <c r="AK110">
        <v>0</v>
      </c>
      <c r="AL110" t="s">
        <v>77</v>
      </c>
      <c r="AM110">
        <v>0</v>
      </c>
      <c r="AN110">
        <v>0.99199999999999999</v>
      </c>
      <c r="AO110">
        <v>0</v>
      </c>
      <c r="AP110">
        <v>5.8245346242475203E-2</v>
      </c>
      <c r="AQ110">
        <v>0</v>
      </c>
      <c r="AR110">
        <v>1.6E-2</v>
      </c>
      <c r="AS110">
        <v>0</v>
      </c>
      <c r="AT110">
        <v>0</v>
      </c>
      <c r="AU110">
        <v>0</v>
      </c>
      <c r="AV110">
        <v>0</v>
      </c>
      <c r="AW110">
        <v>1</v>
      </c>
      <c r="AX110" t="s">
        <v>74</v>
      </c>
      <c r="AY110">
        <v>0</v>
      </c>
      <c r="AZ110" t="s">
        <v>76</v>
      </c>
      <c r="BA110">
        <v>-1.5707963267949001</v>
      </c>
      <c r="BB110">
        <v>0.99199999999999999</v>
      </c>
      <c r="BC110">
        <v>0</v>
      </c>
      <c r="BD110">
        <v>5.8245346242475203E-2</v>
      </c>
      <c r="BE110">
        <v>0</v>
      </c>
      <c r="BF110">
        <v>1.6E-2</v>
      </c>
      <c r="BG110">
        <v>0</v>
      </c>
      <c r="BH110">
        <v>0</v>
      </c>
      <c r="BI110">
        <v>0</v>
      </c>
      <c r="BJ110">
        <v>0</v>
      </c>
      <c r="BK110">
        <v>1</v>
      </c>
      <c r="BL110" s="1">
        <v>9.0473473571451299E-5</v>
      </c>
      <c r="BM110">
        <v>3.3165520578544802E-4</v>
      </c>
      <c r="BN110" s="1">
        <v>3.3661959959231599E-7</v>
      </c>
      <c r="BO110" s="1">
        <v>5.2096277901018797E-6</v>
      </c>
      <c r="BP110">
        <v>0</v>
      </c>
      <c r="BQ110">
        <v>0</v>
      </c>
      <c r="BR110" s="1">
        <v>5.0268092312149299E-5</v>
      </c>
      <c r="BS110">
        <v>1.8999620789671601E-4</v>
      </c>
    </row>
    <row r="111" spans="1:71" x14ac:dyDescent="0.25">
      <c r="A111">
        <v>108</v>
      </c>
      <c r="B111" s="1">
        <v>1.9014177825058699E-5</v>
      </c>
      <c r="C111">
        <v>0.13290316364780599</v>
      </c>
      <c r="D111">
        <v>-4.9261966941827301E-4</v>
      </c>
      <c r="E111">
        <v>6.1312499999999995E-4</v>
      </c>
      <c r="F111">
        <v>-1.32903163647806E-3</v>
      </c>
      <c r="G111">
        <v>0</v>
      </c>
      <c r="H111" t="s">
        <v>74</v>
      </c>
      <c r="I111">
        <v>0</v>
      </c>
      <c r="J111" t="s">
        <v>75</v>
      </c>
      <c r="K111">
        <v>3.14159265358979</v>
      </c>
      <c r="L111">
        <v>0.54877555442527404</v>
      </c>
      <c r="M111">
        <v>0</v>
      </c>
      <c r="N111">
        <v>3.2221393323494302E-2</v>
      </c>
      <c r="O111">
        <v>0</v>
      </c>
      <c r="P111">
        <v>1.6E-2</v>
      </c>
      <c r="Q111">
        <v>0</v>
      </c>
      <c r="R111">
        <v>0</v>
      </c>
      <c r="S111">
        <v>0</v>
      </c>
      <c r="T111">
        <v>0</v>
      </c>
      <c r="U111">
        <v>0.55320116369859795</v>
      </c>
      <c r="V111" t="s">
        <v>78</v>
      </c>
      <c r="W111">
        <v>3893253.7050033701</v>
      </c>
      <c r="X111" t="s">
        <v>76</v>
      </c>
      <c r="Y111">
        <v>-1.5707963267949001</v>
      </c>
      <c r="Z111">
        <v>0.54812837814381399</v>
      </c>
      <c r="AA111">
        <v>0</v>
      </c>
      <c r="AB111">
        <v>3.1809677565862997E-2</v>
      </c>
      <c r="AC111">
        <v>0</v>
      </c>
      <c r="AD111">
        <v>3.0055190115342502E-4</v>
      </c>
      <c r="AE111">
        <v>1.7683445836862498E-2</v>
      </c>
      <c r="AF111">
        <v>0</v>
      </c>
      <c r="AG111">
        <v>4.7804011103883902E-2</v>
      </c>
      <c r="AH111">
        <v>0.62095682623211201</v>
      </c>
      <c r="AI111">
        <v>0.25079996868872301</v>
      </c>
      <c r="AJ111" t="s">
        <v>74</v>
      </c>
      <c r="AK111">
        <v>0</v>
      </c>
      <c r="AL111" t="s">
        <v>77</v>
      </c>
      <c r="AM111">
        <v>0</v>
      </c>
      <c r="AN111">
        <v>0.99199999999999999</v>
      </c>
      <c r="AO111">
        <v>0</v>
      </c>
      <c r="AP111">
        <v>5.8245346242475203E-2</v>
      </c>
      <c r="AQ111">
        <v>0</v>
      </c>
      <c r="AR111">
        <v>1.6E-2</v>
      </c>
      <c r="AS111">
        <v>0</v>
      </c>
      <c r="AT111">
        <v>0</v>
      </c>
      <c r="AU111">
        <v>0</v>
      </c>
      <c r="AV111">
        <v>0</v>
      </c>
      <c r="AW111">
        <v>1</v>
      </c>
      <c r="AX111" t="s">
        <v>74</v>
      </c>
      <c r="AY111">
        <v>0</v>
      </c>
      <c r="AZ111" t="s">
        <v>76</v>
      </c>
      <c r="BA111">
        <v>-1.5707963267949001</v>
      </c>
      <c r="BB111">
        <v>0.99199999999999999</v>
      </c>
      <c r="BC111">
        <v>0</v>
      </c>
      <c r="BD111">
        <v>5.8245346242475203E-2</v>
      </c>
      <c r="BE111">
        <v>0</v>
      </c>
      <c r="BF111">
        <v>1.6E-2</v>
      </c>
      <c r="BG111">
        <v>0</v>
      </c>
      <c r="BH111">
        <v>0</v>
      </c>
      <c r="BI111">
        <v>0</v>
      </c>
      <c r="BJ111">
        <v>0</v>
      </c>
      <c r="BK111">
        <v>1</v>
      </c>
      <c r="BL111" s="1">
        <v>9.0260881687153794E-5</v>
      </c>
      <c r="BM111">
        <v>3.3438041866799801E-4</v>
      </c>
      <c r="BN111" s="1">
        <v>3.3582346800238099E-7</v>
      </c>
      <c r="BO111" s="1">
        <v>5.2524353339583103E-6</v>
      </c>
      <c r="BP111">
        <v>0</v>
      </c>
      <c r="BQ111">
        <v>0</v>
      </c>
      <c r="BR111" s="1">
        <v>5.0133642852695402E-5</v>
      </c>
      <c r="BS111">
        <v>1.9156089280967199E-4</v>
      </c>
    </row>
    <row r="112" spans="1:71" x14ac:dyDescent="0.25">
      <c r="A112">
        <v>109</v>
      </c>
      <c r="B112" s="1">
        <v>2.40008003574232E-5</v>
      </c>
      <c r="C112">
        <v>0.13292716444816299</v>
      </c>
      <c r="D112">
        <v>-4.9272698363656301E-4</v>
      </c>
      <c r="E112">
        <v>6.1312499999999995E-4</v>
      </c>
      <c r="F112">
        <v>-1.3292716444816301E-3</v>
      </c>
      <c r="G112">
        <v>0</v>
      </c>
      <c r="H112" t="s">
        <v>74</v>
      </c>
      <c r="I112">
        <v>0</v>
      </c>
      <c r="J112" t="s">
        <v>75</v>
      </c>
      <c r="K112">
        <v>3.14159265358979</v>
      </c>
      <c r="L112">
        <v>0.54534535902926395</v>
      </c>
      <c r="M112">
        <v>0</v>
      </c>
      <c r="N112">
        <v>3.20199891717605E-2</v>
      </c>
      <c r="O112">
        <v>0</v>
      </c>
      <c r="P112">
        <v>1.6E-2</v>
      </c>
      <c r="Q112">
        <v>0</v>
      </c>
      <c r="R112">
        <v>0</v>
      </c>
      <c r="S112">
        <v>0</v>
      </c>
      <c r="T112">
        <v>0</v>
      </c>
      <c r="U112">
        <v>0.54974330543263406</v>
      </c>
      <c r="V112" t="s">
        <v>78</v>
      </c>
      <c r="W112">
        <v>3894179.7746175998</v>
      </c>
      <c r="X112" t="s">
        <v>76</v>
      </c>
      <c r="Y112">
        <v>-1.5707963267949001</v>
      </c>
      <c r="Z112">
        <v>0.54469497113890997</v>
      </c>
      <c r="AA112">
        <v>0</v>
      </c>
      <c r="AB112">
        <v>3.1606230277223202E-2</v>
      </c>
      <c r="AC112">
        <v>0</v>
      </c>
      <c r="AD112">
        <v>1.8753424772643301E-4</v>
      </c>
      <c r="AE112">
        <v>1.78018207351246E-2</v>
      </c>
      <c r="AF112">
        <v>0</v>
      </c>
      <c r="AG112">
        <v>3.3112561662359603E-2</v>
      </c>
      <c r="AH112">
        <v>0.64082393863213405</v>
      </c>
      <c r="AI112">
        <v>0.246225881782352</v>
      </c>
      <c r="AJ112" t="s">
        <v>74</v>
      </c>
      <c r="AK112">
        <v>0</v>
      </c>
      <c r="AL112" t="s">
        <v>77</v>
      </c>
      <c r="AM112">
        <v>0</v>
      </c>
      <c r="AN112">
        <v>0.99199999999999999</v>
      </c>
      <c r="AO112">
        <v>0</v>
      </c>
      <c r="AP112">
        <v>5.8245346242475203E-2</v>
      </c>
      <c r="AQ112">
        <v>0</v>
      </c>
      <c r="AR112">
        <v>1.6E-2</v>
      </c>
      <c r="AS112">
        <v>0</v>
      </c>
      <c r="AT112">
        <v>0</v>
      </c>
      <c r="AU112">
        <v>0</v>
      </c>
      <c r="AV112">
        <v>0</v>
      </c>
      <c r="AW112">
        <v>1</v>
      </c>
      <c r="AX112" t="s">
        <v>74</v>
      </c>
      <c r="AY112">
        <v>0</v>
      </c>
      <c r="AZ112" t="s">
        <v>76</v>
      </c>
      <c r="BA112">
        <v>-1.5707963267949001</v>
      </c>
      <c r="BB112">
        <v>0.99199999999999999</v>
      </c>
      <c r="BC112">
        <v>0</v>
      </c>
      <c r="BD112">
        <v>5.8245346242475203E-2</v>
      </c>
      <c r="BE112">
        <v>0</v>
      </c>
      <c r="BF112">
        <v>1.6E-2</v>
      </c>
      <c r="BG112">
        <v>0</v>
      </c>
      <c r="BH112">
        <v>0</v>
      </c>
      <c r="BI112">
        <v>0</v>
      </c>
      <c r="BJ112">
        <v>0</v>
      </c>
      <c r="BK112">
        <v>1</v>
      </c>
      <c r="BL112" s="1">
        <v>9.0058455966967102E-5</v>
      </c>
      <c r="BM112">
        <v>3.3696825014724698E-4</v>
      </c>
      <c r="BN112" s="1">
        <v>3.3506251266835102E-7</v>
      </c>
      <c r="BO112" s="1">
        <v>5.2930848957779897E-6</v>
      </c>
      <c r="BP112">
        <v>0</v>
      </c>
      <c r="BQ112">
        <v>0</v>
      </c>
      <c r="BR112" s="1">
        <v>5.00058974306272E-5</v>
      </c>
      <c r="BS112">
        <v>1.9304785053005601E-4</v>
      </c>
    </row>
    <row r="113" spans="1:71" x14ac:dyDescent="0.25">
      <c r="A113">
        <v>110</v>
      </c>
      <c r="B113" s="1">
        <v>3.3343833598579997E-5</v>
      </c>
      <c r="C113">
        <v>0.13296050828176201</v>
      </c>
      <c r="D113">
        <v>-4.9287605524991299E-4</v>
      </c>
      <c r="E113">
        <v>6.1312499999999995E-4</v>
      </c>
      <c r="F113">
        <v>-1.3296050828176199E-3</v>
      </c>
      <c r="G113" s="1">
        <v>1.0842021724855E-19</v>
      </c>
      <c r="H113" t="s">
        <v>74</v>
      </c>
      <c r="I113">
        <v>0</v>
      </c>
      <c r="J113" t="s">
        <v>75</v>
      </c>
      <c r="K113">
        <v>3.14159265358979</v>
      </c>
      <c r="L113">
        <v>0.54221329526655904</v>
      </c>
      <c r="M113">
        <v>0</v>
      </c>
      <c r="N113">
        <v>3.1836089838784401E-2</v>
      </c>
      <c r="O113">
        <v>0</v>
      </c>
      <c r="P113">
        <v>1.6E-2</v>
      </c>
      <c r="Q113">
        <v>0</v>
      </c>
      <c r="R113">
        <v>0</v>
      </c>
      <c r="S113">
        <v>0</v>
      </c>
      <c r="T113">
        <v>0</v>
      </c>
      <c r="U113">
        <v>0.54658598309281003</v>
      </c>
      <c r="V113" t="s">
        <v>78</v>
      </c>
      <c r="W113">
        <v>3895466.1902824501</v>
      </c>
      <c r="X113" t="s">
        <v>76</v>
      </c>
      <c r="Y113">
        <v>-1.5707963267949001</v>
      </c>
      <c r="Z113">
        <v>0.54155660718788201</v>
      </c>
      <c r="AA113">
        <v>0</v>
      </c>
      <c r="AB113">
        <v>3.1418322938250601E-2</v>
      </c>
      <c r="AC113">
        <v>0</v>
      </c>
      <c r="AD113" s="1">
        <v>8.9352568898703097E-5</v>
      </c>
      <c r="AE113">
        <v>1.7906645412462101E-2</v>
      </c>
      <c r="AF113">
        <v>0</v>
      </c>
      <c r="AG113">
        <v>1.8013490366793401E-2</v>
      </c>
      <c r="AH113">
        <v>0.66064883587310796</v>
      </c>
      <c r="AI113">
        <v>0.24206839184176601</v>
      </c>
      <c r="AJ113" t="s">
        <v>74</v>
      </c>
      <c r="AK113">
        <v>0</v>
      </c>
      <c r="AL113" t="s">
        <v>77</v>
      </c>
      <c r="AM113">
        <v>0</v>
      </c>
      <c r="AN113">
        <v>0.99199999999999999</v>
      </c>
      <c r="AO113">
        <v>0</v>
      </c>
      <c r="AP113">
        <v>5.8245346242475203E-2</v>
      </c>
      <c r="AQ113">
        <v>0</v>
      </c>
      <c r="AR113">
        <v>1.6E-2</v>
      </c>
      <c r="AS113">
        <v>0</v>
      </c>
      <c r="AT113">
        <v>0</v>
      </c>
      <c r="AU113">
        <v>0</v>
      </c>
      <c r="AV113">
        <v>0</v>
      </c>
      <c r="AW113">
        <v>1</v>
      </c>
      <c r="AX113" t="s">
        <v>74</v>
      </c>
      <c r="AY113">
        <v>0</v>
      </c>
      <c r="AZ113" t="s">
        <v>76</v>
      </c>
      <c r="BA113">
        <v>-1.5707963267949001</v>
      </c>
      <c r="BB113">
        <v>0.99199999999999999</v>
      </c>
      <c r="BC113">
        <v>0</v>
      </c>
      <c r="BD113">
        <v>5.8245346242475203E-2</v>
      </c>
      <c r="BE113">
        <v>0</v>
      </c>
      <c r="BF113">
        <v>1.6E-2</v>
      </c>
      <c r="BG113">
        <v>0</v>
      </c>
      <c r="BH113">
        <v>0</v>
      </c>
      <c r="BI113">
        <v>0</v>
      </c>
      <c r="BJ113">
        <v>0</v>
      </c>
      <c r="BK113">
        <v>1</v>
      </c>
      <c r="BL113" s="1">
        <v>8.9872552630992694E-5</v>
      </c>
      <c r="BM113">
        <v>3.3933116311995099E-4</v>
      </c>
      <c r="BN113" s="1">
        <v>3.3435805391749001E-7</v>
      </c>
      <c r="BO113" s="1">
        <v>5.33020144595859E-6</v>
      </c>
      <c r="BP113">
        <v>0</v>
      </c>
      <c r="BQ113">
        <v>0</v>
      </c>
      <c r="BR113" s="1">
        <v>4.9889110342226299E-5</v>
      </c>
      <c r="BS113">
        <v>1.94407755965637E-4</v>
      </c>
    </row>
    <row r="114" spans="1:71" x14ac:dyDescent="0.25">
      <c r="A114">
        <v>111</v>
      </c>
      <c r="B114" s="1">
        <v>5.59476964719321E-5</v>
      </c>
      <c r="C114">
        <v>0.133016455978234</v>
      </c>
      <c r="D114">
        <v>-4.9312614115794903E-4</v>
      </c>
      <c r="E114">
        <v>6.1312499999999995E-4</v>
      </c>
      <c r="F114">
        <v>-1.3301645597823401E-3</v>
      </c>
      <c r="G114" s="1">
        <v>1.0842021724855E-19</v>
      </c>
      <c r="H114" t="s">
        <v>74</v>
      </c>
      <c r="I114">
        <v>0</v>
      </c>
      <c r="J114" t="s">
        <v>75</v>
      </c>
      <c r="K114">
        <v>3.14159265358979</v>
      </c>
      <c r="L114">
        <v>0.539531022882064</v>
      </c>
      <c r="M114">
        <v>0</v>
      </c>
      <c r="N114">
        <v>3.1678600036615601E-2</v>
      </c>
      <c r="O114">
        <v>0</v>
      </c>
      <c r="P114">
        <v>1.6E-2</v>
      </c>
      <c r="Q114">
        <v>0</v>
      </c>
      <c r="R114">
        <v>0</v>
      </c>
      <c r="S114">
        <v>0</v>
      </c>
      <c r="T114">
        <v>0</v>
      </c>
      <c r="U114">
        <v>0.54388207948870404</v>
      </c>
      <c r="V114" t="s">
        <v>78</v>
      </c>
      <c r="W114">
        <v>3897624.3102787598</v>
      </c>
      <c r="X114" t="s">
        <v>76</v>
      </c>
      <c r="Y114">
        <v>-1.5707963267949001</v>
      </c>
      <c r="Z114">
        <v>0.53886079709434598</v>
      </c>
      <c r="AA114">
        <v>0</v>
      </c>
      <c r="AB114">
        <v>3.1252220819061698E-2</v>
      </c>
      <c r="AC114">
        <v>0</v>
      </c>
      <c r="AD114" s="1">
        <v>2.0017249854489002E-5</v>
      </c>
      <c r="AE114">
        <v>1.7985161755202199E-2</v>
      </c>
      <c r="AF114">
        <v>0</v>
      </c>
      <c r="AG114">
        <v>4.7836865142382003E-3</v>
      </c>
      <c r="AH114">
        <v>0.67792579629323901</v>
      </c>
      <c r="AI114">
        <v>0.238520135246545</v>
      </c>
      <c r="AJ114" t="s">
        <v>74</v>
      </c>
      <c r="AK114">
        <v>0</v>
      </c>
      <c r="AL114" t="s">
        <v>77</v>
      </c>
      <c r="AM114">
        <v>0</v>
      </c>
      <c r="AN114">
        <v>0.99199999999999999</v>
      </c>
      <c r="AO114">
        <v>0</v>
      </c>
      <c r="AP114">
        <v>5.8245346242475203E-2</v>
      </c>
      <c r="AQ114">
        <v>0</v>
      </c>
      <c r="AR114">
        <v>1.6E-2</v>
      </c>
      <c r="AS114">
        <v>0</v>
      </c>
      <c r="AT114">
        <v>0</v>
      </c>
      <c r="AU114">
        <v>0</v>
      </c>
      <c r="AV114">
        <v>0</v>
      </c>
      <c r="AW114">
        <v>1</v>
      </c>
      <c r="AX114" t="s">
        <v>74</v>
      </c>
      <c r="AY114">
        <v>0</v>
      </c>
      <c r="AZ114" t="s">
        <v>76</v>
      </c>
      <c r="BA114">
        <v>-1.5707963267949001</v>
      </c>
      <c r="BB114">
        <v>0.99199999999999999</v>
      </c>
      <c r="BC114">
        <v>0</v>
      </c>
      <c r="BD114">
        <v>5.8245346242475203E-2</v>
      </c>
      <c r="BE114">
        <v>0</v>
      </c>
      <c r="BF114">
        <v>1.6E-2</v>
      </c>
      <c r="BG114">
        <v>0</v>
      </c>
      <c r="BH114">
        <v>0</v>
      </c>
      <c r="BI114">
        <v>0</v>
      </c>
      <c r="BJ114">
        <v>0</v>
      </c>
      <c r="BK114">
        <v>1</v>
      </c>
      <c r="BL114" s="1">
        <v>8.9710756670313802E-5</v>
      </c>
      <c r="BM114">
        <v>3.4135474140373901E-4</v>
      </c>
      <c r="BN114" s="1">
        <v>3.3373145199380399E-7</v>
      </c>
      <c r="BO114" s="1">
        <v>5.3619877393101498E-6</v>
      </c>
      <c r="BP114">
        <v>0</v>
      </c>
      <c r="BQ114">
        <v>0</v>
      </c>
      <c r="BR114" s="1">
        <v>4.9788742539844199E-5</v>
      </c>
      <c r="BS114">
        <v>1.9557756067910899E-4</v>
      </c>
    </row>
    <row r="115" spans="1:71" x14ac:dyDescent="0.25">
      <c r="A115">
        <v>112</v>
      </c>
      <c r="B115">
        <v>1.4764806844205899E-4</v>
      </c>
      <c r="C115">
        <v>0.133164104046676</v>
      </c>
      <c r="D115">
        <v>-4.9378594262134996E-4</v>
      </c>
      <c r="E115">
        <v>6.1312499999999995E-4</v>
      </c>
      <c r="F115">
        <v>-1.3316410404667601E-3</v>
      </c>
      <c r="G115">
        <v>0</v>
      </c>
      <c r="H115" t="s">
        <v>74</v>
      </c>
      <c r="I115">
        <v>0</v>
      </c>
      <c r="J115" t="s">
        <v>75</v>
      </c>
      <c r="K115">
        <v>3.14159265358979</v>
      </c>
      <c r="L115">
        <v>0.539531022882064</v>
      </c>
      <c r="M115">
        <v>0</v>
      </c>
      <c r="N115">
        <v>3.1678600036615601E-2</v>
      </c>
      <c r="O115">
        <v>0</v>
      </c>
      <c r="P115">
        <v>1.6E-2</v>
      </c>
      <c r="Q115">
        <v>0</v>
      </c>
      <c r="R115">
        <v>0</v>
      </c>
      <c r="S115">
        <v>0</v>
      </c>
      <c r="T115">
        <v>0</v>
      </c>
      <c r="U115">
        <v>0.54388207951820999</v>
      </c>
      <c r="V115" t="s">
        <v>79</v>
      </c>
      <c r="W115">
        <v>3903318.0766446898</v>
      </c>
      <c r="X115" t="s">
        <v>76</v>
      </c>
      <c r="Y115">
        <v>-1.5707963267949001</v>
      </c>
      <c r="Z115">
        <v>0.53881630347884002</v>
      </c>
      <c r="AA115" s="1">
        <v>2.49808873100392E-5</v>
      </c>
      <c r="AB115">
        <v>3.1223915210015201E-2</v>
      </c>
      <c r="AC115" s="1">
        <v>1.9619943013343401E-5</v>
      </c>
      <c r="AD115" s="1">
        <v>3.7475727969789599E-6</v>
      </c>
      <c r="AE115">
        <v>1.8024187211592799E-2</v>
      </c>
      <c r="AF115">
        <v>0</v>
      </c>
      <c r="AG115">
        <v>1.6138969096281199E-4</v>
      </c>
      <c r="AH115">
        <v>0.68254809311651499</v>
      </c>
      <c r="AI115">
        <v>0.238520135246545</v>
      </c>
      <c r="AJ115" t="s">
        <v>74</v>
      </c>
      <c r="AK115">
        <v>0</v>
      </c>
      <c r="AL115" t="s">
        <v>77</v>
      </c>
      <c r="AM115">
        <v>0</v>
      </c>
      <c r="AN115">
        <v>0.99199999999999999</v>
      </c>
      <c r="AO115">
        <v>0</v>
      </c>
      <c r="AP115">
        <v>5.8245346242475203E-2</v>
      </c>
      <c r="AQ115">
        <v>0</v>
      </c>
      <c r="AR115">
        <v>1.6E-2</v>
      </c>
      <c r="AS115">
        <v>0</v>
      </c>
      <c r="AT115">
        <v>0</v>
      </c>
      <c r="AU115">
        <v>0</v>
      </c>
      <c r="AV115">
        <v>0</v>
      </c>
      <c r="AW115">
        <v>1</v>
      </c>
      <c r="AX115" t="s">
        <v>74</v>
      </c>
      <c r="AY115">
        <v>0</v>
      </c>
      <c r="AZ115" t="s">
        <v>76</v>
      </c>
      <c r="BA115">
        <v>-1.5707963267949001</v>
      </c>
      <c r="BB115">
        <v>0.99199999999999999</v>
      </c>
      <c r="BC115">
        <v>0</v>
      </c>
      <c r="BD115">
        <v>5.8245346242475203E-2</v>
      </c>
      <c r="BE115">
        <v>0</v>
      </c>
      <c r="BF115">
        <v>1.6E-2</v>
      </c>
      <c r="BG115">
        <v>0</v>
      </c>
      <c r="BH115">
        <v>0</v>
      </c>
      <c r="BI115">
        <v>0</v>
      </c>
      <c r="BJ115">
        <v>0</v>
      </c>
      <c r="BK115">
        <v>1</v>
      </c>
      <c r="BL115" s="1">
        <v>8.9706413837297301E-5</v>
      </c>
      <c r="BM115">
        <v>3.4135474140373901E-4</v>
      </c>
      <c r="BN115" s="1">
        <v>3.3370217647966902E-7</v>
      </c>
      <c r="BO115" s="1">
        <v>5.3619877393101498E-6</v>
      </c>
      <c r="BP115">
        <v>0</v>
      </c>
      <c r="BQ115">
        <v>0</v>
      </c>
      <c r="BR115" s="1">
        <v>4.9792413611711897E-5</v>
      </c>
      <c r="BS115">
        <v>1.9560518617906301E-4</v>
      </c>
    </row>
    <row r="116" spans="1:71" x14ac:dyDescent="0.25">
      <c r="A116">
        <v>113</v>
      </c>
      <c r="B116">
        <v>2.6789252205989801E-4</v>
      </c>
      <c r="C116">
        <v>0.133431996568736</v>
      </c>
      <c r="D116">
        <v>-4.9498220202137699E-4</v>
      </c>
      <c r="E116">
        <v>6.1312499999999995E-4</v>
      </c>
      <c r="F116">
        <v>-1.33431996568736E-3</v>
      </c>
      <c r="G116" s="1">
        <v>1.0842021724855E-19</v>
      </c>
      <c r="H116" t="s">
        <v>74</v>
      </c>
      <c r="I116">
        <v>0</v>
      </c>
      <c r="J116" t="s">
        <v>75</v>
      </c>
      <c r="K116">
        <v>3.14159265358979</v>
      </c>
      <c r="L116">
        <v>0.537565898877153</v>
      </c>
      <c r="M116">
        <v>0</v>
      </c>
      <c r="N116">
        <v>3.1563217649442699E-2</v>
      </c>
      <c r="O116">
        <v>0</v>
      </c>
      <c r="P116">
        <v>1.6E-2</v>
      </c>
      <c r="Q116">
        <v>0</v>
      </c>
      <c r="R116">
        <v>0</v>
      </c>
      <c r="S116">
        <v>0</v>
      </c>
      <c r="T116">
        <v>0</v>
      </c>
      <c r="U116">
        <v>0.54190110772630096</v>
      </c>
      <c r="V116" t="s">
        <v>79</v>
      </c>
      <c r="W116">
        <v>3913641.2146105701</v>
      </c>
      <c r="X116" t="s">
        <v>76</v>
      </c>
      <c r="Y116">
        <v>-1.5707963267949001</v>
      </c>
      <c r="Z116">
        <v>0.53677259889741702</v>
      </c>
      <c r="AA116" s="1">
        <v>5.2097228816469298E-5</v>
      </c>
      <c r="AB116">
        <v>3.10585420523974E-2</v>
      </c>
      <c r="AC116" s="1">
        <v>4.6599813447646602E-5</v>
      </c>
      <c r="AD116" s="1">
        <v>1.00001832276116E-6</v>
      </c>
      <c r="AE116">
        <v>1.80956540062919E-2</v>
      </c>
      <c r="AF116">
        <v>0</v>
      </c>
      <c r="AG116" s="1">
        <v>4.3144322754554398E-5</v>
      </c>
      <c r="AH116">
        <v>0.68563142307812697</v>
      </c>
      <c r="AI116">
        <v>0.235924303235023</v>
      </c>
      <c r="AJ116" t="s">
        <v>74</v>
      </c>
      <c r="AK116">
        <v>0</v>
      </c>
      <c r="AL116" t="s">
        <v>77</v>
      </c>
      <c r="AM116">
        <v>0</v>
      </c>
      <c r="AN116">
        <v>0.99199999999999999</v>
      </c>
      <c r="AO116">
        <v>0</v>
      </c>
      <c r="AP116">
        <v>5.8245346242475203E-2</v>
      </c>
      <c r="AQ116">
        <v>0</v>
      </c>
      <c r="AR116">
        <v>1.6E-2</v>
      </c>
      <c r="AS116">
        <v>0</v>
      </c>
      <c r="AT116">
        <v>0</v>
      </c>
      <c r="AU116">
        <v>0</v>
      </c>
      <c r="AV116">
        <v>0</v>
      </c>
      <c r="AW116">
        <v>1</v>
      </c>
      <c r="AX116" t="s">
        <v>74</v>
      </c>
      <c r="AY116">
        <v>0</v>
      </c>
      <c r="AZ116" t="s">
        <v>76</v>
      </c>
      <c r="BA116">
        <v>-1.5707963267949001</v>
      </c>
      <c r="BB116">
        <v>0.99199999999999999</v>
      </c>
      <c r="BC116">
        <v>0</v>
      </c>
      <c r="BD116">
        <v>5.8245346242475203E-2</v>
      </c>
      <c r="BE116">
        <v>0</v>
      </c>
      <c r="BF116">
        <v>1.6E-2</v>
      </c>
      <c r="BG116">
        <v>0</v>
      </c>
      <c r="BH116">
        <v>0</v>
      </c>
      <c r="BI116">
        <v>0</v>
      </c>
      <c r="BJ116">
        <v>0</v>
      </c>
      <c r="BK116">
        <v>1</v>
      </c>
      <c r="BL116" s="1">
        <v>8.9579526000119103E-5</v>
      </c>
      <c r="BM116">
        <v>3.4283728370044099E-4</v>
      </c>
      <c r="BN116" s="1">
        <v>3.3319137963610799E-7</v>
      </c>
      <c r="BO116" s="1">
        <v>5.3852754592499204E-6</v>
      </c>
      <c r="BP116">
        <v>0</v>
      </c>
      <c r="BQ116">
        <v>0</v>
      </c>
      <c r="BR116" s="1">
        <v>4.9723508408696698E-5</v>
      </c>
      <c r="BS116">
        <v>1.9650506167974999E-4</v>
      </c>
    </row>
    <row r="117" spans="1:71" x14ac:dyDescent="0.25">
      <c r="A117">
        <v>114</v>
      </c>
      <c r="B117">
        <v>2.6844190608185198E-4</v>
      </c>
      <c r="C117">
        <v>0.133700438474817</v>
      </c>
      <c r="D117">
        <v>-4.9617930903492701E-4</v>
      </c>
      <c r="E117">
        <v>6.1312499999999995E-4</v>
      </c>
      <c r="F117">
        <v>-1.3370043847481701E-3</v>
      </c>
      <c r="G117">
        <v>0</v>
      </c>
      <c r="H117" t="s">
        <v>74</v>
      </c>
      <c r="I117">
        <v>0</v>
      </c>
      <c r="J117" t="s">
        <v>75</v>
      </c>
      <c r="K117">
        <v>3.14159265358979</v>
      </c>
      <c r="L117">
        <v>0.53555408941680105</v>
      </c>
      <c r="M117">
        <v>0</v>
      </c>
      <c r="N117">
        <v>3.14450941226362E-2</v>
      </c>
      <c r="O117">
        <v>0</v>
      </c>
      <c r="P117">
        <v>1.6E-2</v>
      </c>
      <c r="Q117">
        <v>0</v>
      </c>
      <c r="R117">
        <v>0</v>
      </c>
      <c r="S117">
        <v>0</v>
      </c>
      <c r="T117">
        <v>0</v>
      </c>
      <c r="U117">
        <v>0.53987307399415696</v>
      </c>
      <c r="V117" t="s">
        <v>79</v>
      </c>
      <c r="W117">
        <v>3923971.6670697499</v>
      </c>
      <c r="X117" t="s">
        <v>76</v>
      </c>
      <c r="Y117">
        <v>-1.5707963267949001</v>
      </c>
      <c r="Z117">
        <v>0.53468172803536596</v>
      </c>
      <c r="AA117" s="1">
        <v>7.9208636104249398E-5</v>
      </c>
      <c r="AB117">
        <v>3.08901219557676E-2</v>
      </c>
      <c r="AC117" s="1">
        <v>7.3756534807165204E-5</v>
      </c>
      <c r="AD117" s="1">
        <v>2.6569930251486301E-7</v>
      </c>
      <c r="AE117">
        <v>1.81673484021771E-2</v>
      </c>
      <c r="AF117">
        <v>0</v>
      </c>
      <c r="AG117" s="1">
        <v>1.1367419481601E-5</v>
      </c>
      <c r="AH117">
        <v>0.68869872609621297</v>
      </c>
      <c r="AI117">
        <v>0.233276813921036</v>
      </c>
      <c r="AJ117" t="s">
        <v>74</v>
      </c>
      <c r="AK117">
        <v>0</v>
      </c>
      <c r="AL117" t="s">
        <v>77</v>
      </c>
      <c r="AM117">
        <v>0</v>
      </c>
      <c r="AN117">
        <v>0.99199999999999999</v>
      </c>
      <c r="AO117">
        <v>0</v>
      </c>
      <c r="AP117">
        <v>5.8245346242475203E-2</v>
      </c>
      <c r="AQ117">
        <v>0</v>
      </c>
      <c r="AR117">
        <v>1.6E-2</v>
      </c>
      <c r="AS117">
        <v>0</v>
      </c>
      <c r="AT117">
        <v>0</v>
      </c>
      <c r="AU117">
        <v>0</v>
      </c>
      <c r="AV117">
        <v>0</v>
      </c>
      <c r="AW117">
        <v>1</v>
      </c>
      <c r="AX117" t="s">
        <v>74</v>
      </c>
      <c r="AY117">
        <v>0</v>
      </c>
      <c r="AZ117" t="s">
        <v>76</v>
      </c>
      <c r="BA117">
        <v>-1.5707963267949001</v>
      </c>
      <c r="BB117">
        <v>0.99199999999999999</v>
      </c>
      <c r="BC117">
        <v>0</v>
      </c>
      <c r="BD117">
        <v>5.8245346242475203E-2</v>
      </c>
      <c r="BE117">
        <v>0</v>
      </c>
      <c r="BF117">
        <v>1.6E-2</v>
      </c>
      <c r="BG117">
        <v>0</v>
      </c>
      <c r="BH117">
        <v>0</v>
      </c>
      <c r="BI117">
        <v>0</v>
      </c>
      <c r="BJ117">
        <v>0</v>
      </c>
      <c r="BK117">
        <v>1</v>
      </c>
      <c r="BL117" s="1">
        <v>8.9449832549080705E-5</v>
      </c>
      <c r="BM117">
        <v>3.4435504675784702E-4</v>
      </c>
      <c r="BN117" s="1">
        <v>3.32670193105969E-7</v>
      </c>
      <c r="BO117" s="1">
        <v>5.4091164256051104E-6</v>
      </c>
      <c r="BP117">
        <v>0</v>
      </c>
      <c r="BQ117">
        <v>0</v>
      </c>
      <c r="BR117" s="1">
        <v>4.9652777450652303E-5</v>
      </c>
      <c r="BS117">
        <v>1.9742564763437201E-4</v>
      </c>
    </row>
    <row r="118" spans="1:71" x14ac:dyDescent="0.25">
      <c r="A118">
        <v>115</v>
      </c>
      <c r="B118">
        <v>2.70013642123226E-4</v>
      </c>
      <c r="C118">
        <v>0.133970452116941</v>
      </c>
      <c r="D118">
        <v>-4.9738180897263202E-4</v>
      </c>
      <c r="E118">
        <v>6.1312499999999995E-4</v>
      </c>
      <c r="F118">
        <v>-1.3397045211694101E-3</v>
      </c>
      <c r="G118" s="1">
        <v>1.0842021724855E-19</v>
      </c>
      <c r="H118" t="s">
        <v>74</v>
      </c>
      <c r="I118">
        <v>0</v>
      </c>
      <c r="J118" t="s">
        <v>75</v>
      </c>
      <c r="K118">
        <v>3.14159265358979</v>
      </c>
      <c r="L118">
        <v>0.533531641484289</v>
      </c>
      <c r="M118">
        <v>0</v>
      </c>
      <c r="N118">
        <v>3.1326345957226401E-2</v>
      </c>
      <c r="O118">
        <v>0</v>
      </c>
      <c r="P118">
        <v>1.6E-2</v>
      </c>
      <c r="Q118">
        <v>0</v>
      </c>
      <c r="R118">
        <v>0</v>
      </c>
      <c r="S118">
        <v>0</v>
      </c>
      <c r="T118">
        <v>0</v>
      </c>
      <c r="U118">
        <v>0.53783431599641096</v>
      </c>
      <c r="V118" t="s">
        <v>79</v>
      </c>
      <c r="W118">
        <v>3934348.6578466902</v>
      </c>
      <c r="X118" t="s">
        <v>76</v>
      </c>
      <c r="Y118">
        <v>-1.5707963267949001</v>
      </c>
      <c r="Z118">
        <v>0.532579383865875</v>
      </c>
      <c r="AA118">
        <v>1.0683650702499501E-4</v>
      </c>
      <c r="AB118">
        <v>3.0720546453185799E-2</v>
      </c>
      <c r="AC118">
        <v>1.0139663217027999E-4</v>
      </c>
      <c r="AD118" s="1">
        <v>7.034817610344E-8</v>
      </c>
      <c r="AE118">
        <v>1.8239513512308601E-2</v>
      </c>
      <c r="AF118">
        <v>0</v>
      </c>
      <c r="AG118" s="1">
        <v>2.9829204342019302E-6</v>
      </c>
      <c r="AH118">
        <v>0.69175868860797696</v>
      </c>
      <c r="AI118">
        <v>0.230625220014227</v>
      </c>
      <c r="AJ118" t="s">
        <v>74</v>
      </c>
      <c r="AK118">
        <v>0</v>
      </c>
      <c r="AL118" t="s">
        <v>77</v>
      </c>
      <c r="AM118">
        <v>0</v>
      </c>
      <c r="AN118">
        <v>0.99199999999999999</v>
      </c>
      <c r="AO118">
        <v>0</v>
      </c>
      <c r="AP118">
        <v>5.8245346242475203E-2</v>
      </c>
      <c r="AQ118">
        <v>0</v>
      </c>
      <c r="AR118">
        <v>1.6E-2</v>
      </c>
      <c r="AS118">
        <v>0</v>
      </c>
      <c r="AT118">
        <v>0</v>
      </c>
      <c r="AU118">
        <v>0</v>
      </c>
      <c r="AV118">
        <v>0</v>
      </c>
      <c r="AW118">
        <v>1</v>
      </c>
      <c r="AX118" t="s">
        <v>74</v>
      </c>
      <c r="AY118">
        <v>0</v>
      </c>
      <c r="AZ118" t="s">
        <v>76</v>
      </c>
      <c r="BA118">
        <v>-1.5707963267949001</v>
      </c>
      <c r="BB118">
        <v>0.99199999999999999</v>
      </c>
      <c r="BC118">
        <v>0</v>
      </c>
      <c r="BD118">
        <v>5.8245346242475203E-2</v>
      </c>
      <c r="BE118">
        <v>0</v>
      </c>
      <c r="BF118">
        <v>1.6E-2</v>
      </c>
      <c r="BG118">
        <v>0</v>
      </c>
      <c r="BH118">
        <v>0</v>
      </c>
      <c r="BI118">
        <v>0</v>
      </c>
      <c r="BJ118">
        <v>0</v>
      </c>
      <c r="BK118">
        <v>1</v>
      </c>
      <c r="BL118" s="1">
        <v>8.9319490763766502E-5</v>
      </c>
      <c r="BM118">
        <v>3.4588083576420601E-4</v>
      </c>
      <c r="BN118" s="1">
        <v>3.3214685805019798E-7</v>
      </c>
      <c r="BO118" s="1">
        <v>5.4330834632716303E-6</v>
      </c>
      <c r="BP118">
        <v>0</v>
      </c>
      <c r="BQ118">
        <v>0</v>
      </c>
      <c r="BR118" s="1">
        <v>4.9581633173370002E-5</v>
      </c>
      <c r="BS118">
        <v>1.9835155893477201E-4</v>
      </c>
    </row>
    <row r="119" spans="1:71" x14ac:dyDescent="0.25">
      <c r="A119">
        <v>116</v>
      </c>
      <c r="B119">
        <v>2.7175306004969998E-4</v>
      </c>
      <c r="C119">
        <v>0.13424220517699001</v>
      </c>
      <c r="D119">
        <v>-4.9859042145540696E-4</v>
      </c>
      <c r="E119">
        <v>6.1312499999999995E-4</v>
      </c>
      <c r="F119">
        <v>-1.3424220517699E-3</v>
      </c>
      <c r="G119">
        <v>0</v>
      </c>
      <c r="H119" t="s">
        <v>74</v>
      </c>
      <c r="I119">
        <v>0</v>
      </c>
      <c r="J119" t="s">
        <v>75</v>
      </c>
      <c r="K119">
        <v>3.14159265358979</v>
      </c>
      <c r="L119">
        <v>0.533531641484289</v>
      </c>
      <c r="M119">
        <v>0</v>
      </c>
      <c r="N119">
        <v>3.1326345957226401E-2</v>
      </c>
      <c r="O119">
        <v>0</v>
      </c>
      <c r="P119">
        <v>1.6E-2</v>
      </c>
      <c r="Q119">
        <v>0</v>
      </c>
      <c r="R119">
        <v>0</v>
      </c>
      <c r="S119">
        <v>0</v>
      </c>
      <c r="T119">
        <v>0</v>
      </c>
      <c r="U119">
        <v>0.53783431601238896</v>
      </c>
      <c r="V119" t="s">
        <v>80</v>
      </c>
      <c r="W119">
        <v>3944778.3969206</v>
      </c>
      <c r="X119" t="s">
        <v>76</v>
      </c>
      <c r="Y119">
        <v>-1.5707963267949001</v>
      </c>
      <c r="Z119">
        <v>0.53249464721089401</v>
      </c>
      <c r="AA119">
        <v>1.5523779046736999E-4</v>
      </c>
      <c r="AB119">
        <v>3.0666641034175501E-2</v>
      </c>
      <c r="AC119">
        <v>1.39410911292E-4</v>
      </c>
      <c r="AD119">
        <v>0</v>
      </c>
      <c r="AE119">
        <v>1.8239513512308601E-2</v>
      </c>
      <c r="AF119">
        <v>0</v>
      </c>
      <c r="AG119">
        <v>0</v>
      </c>
      <c r="AH119">
        <v>0.69176167152841195</v>
      </c>
      <c r="AI119">
        <v>0.230625220014227</v>
      </c>
      <c r="AJ119" t="s">
        <v>74</v>
      </c>
      <c r="AK119">
        <v>0</v>
      </c>
      <c r="AL119" t="s">
        <v>77</v>
      </c>
      <c r="AM119">
        <v>0</v>
      </c>
      <c r="AN119">
        <v>0.99199999999999999</v>
      </c>
      <c r="AO119">
        <v>0</v>
      </c>
      <c r="AP119">
        <v>5.8245346242475203E-2</v>
      </c>
      <c r="AQ119">
        <v>0</v>
      </c>
      <c r="AR119">
        <v>1.6E-2</v>
      </c>
      <c r="AS119">
        <v>0</v>
      </c>
      <c r="AT119">
        <v>0</v>
      </c>
      <c r="AU119">
        <v>0</v>
      </c>
      <c r="AV119">
        <v>0</v>
      </c>
      <c r="AW119">
        <v>1</v>
      </c>
      <c r="AX119" t="s">
        <v>74</v>
      </c>
      <c r="AY119">
        <v>0</v>
      </c>
      <c r="AZ119" t="s">
        <v>76</v>
      </c>
      <c r="BA119">
        <v>-1.5707963267949001</v>
      </c>
      <c r="BB119">
        <v>0.99199999999999999</v>
      </c>
      <c r="BC119">
        <v>0</v>
      </c>
      <c r="BD119">
        <v>5.8245346242475203E-2</v>
      </c>
      <c r="BE119">
        <v>0</v>
      </c>
      <c r="BF119">
        <v>1.6E-2</v>
      </c>
      <c r="BG119">
        <v>0</v>
      </c>
      <c r="BH119">
        <v>0</v>
      </c>
      <c r="BI119">
        <v>0</v>
      </c>
      <c r="BJ119">
        <v>0</v>
      </c>
      <c r="BK119">
        <v>1</v>
      </c>
      <c r="BL119" s="1">
        <v>8.9311545193822202E-5</v>
      </c>
      <c r="BM119">
        <v>3.4588083576420601E-4</v>
      </c>
      <c r="BN119" s="1">
        <v>3.3209435828223999E-7</v>
      </c>
      <c r="BO119" s="1">
        <v>5.4330834632716303E-6</v>
      </c>
      <c r="BP119">
        <v>0</v>
      </c>
      <c r="BQ119">
        <v>0</v>
      </c>
      <c r="BR119" s="1">
        <v>4.95883324234813E-5</v>
      </c>
      <c r="BS119">
        <v>1.9840301248665301E-4</v>
      </c>
    </row>
    <row r="120" spans="1:71" x14ac:dyDescent="0.25">
      <c r="A120">
        <v>117</v>
      </c>
      <c r="B120">
        <v>9.48113000530839E-2</v>
      </c>
      <c r="C120">
        <v>0.22905350523007401</v>
      </c>
      <c r="D120">
        <v>-9.1968750000000004E-4</v>
      </c>
      <c r="E120">
        <v>6.1312499999999995E-4</v>
      </c>
      <c r="F120">
        <v>-2.2905350523007399E-3</v>
      </c>
      <c r="G120" s="1">
        <v>2.1684043449710098E-19</v>
      </c>
      <c r="H120" t="s">
        <v>74</v>
      </c>
      <c r="I120">
        <v>0</v>
      </c>
      <c r="J120" t="s">
        <v>75</v>
      </c>
      <c r="K120">
        <v>3.14159265358979</v>
      </c>
      <c r="L120">
        <v>0.533531641484289</v>
      </c>
      <c r="M120">
        <v>0</v>
      </c>
      <c r="N120">
        <v>3.1326345957226401E-2</v>
      </c>
      <c r="O120">
        <v>0</v>
      </c>
      <c r="P120">
        <v>1.6E-2</v>
      </c>
      <c r="Q120">
        <v>0</v>
      </c>
      <c r="R120">
        <v>0</v>
      </c>
      <c r="S120">
        <v>0</v>
      </c>
      <c r="T120">
        <v>0</v>
      </c>
      <c r="U120">
        <v>0.53783431601238896</v>
      </c>
      <c r="V120" t="s">
        <v>80</v>
      </c>
      <c r="W120">
        <v>7578641.7870455803</v>
      </c>
      <c r="X120" t="s">
        <v>76</v>
      </c>
      <c r="Y120">
        <v>-1.5707963267949001</v>
      </c>
      <c r="Z120">
        <v>0.53249464721089401</v>
      </c>
      <c r="AA120">
        <v>1.5523779046736999E-4</v>
      </c>
      <c r="AB120">
        <v>3.0666641034175501E-2</v>
      </c>
      <c r="AC120">
        <v>1.39410911292E-4</v>
      </c>
      <c r="AD120">
        <v>0</v>
      </c>
      <c r="AE120">
        <v>1.8239513512308601E-2</v>
      </c>
      <c r="AF120">
        <v>0</v>
      </c>
      <c r="AG120">
        <v>0</v>
      </c>
      <c r="AH120">
        <v>0.69176167152841195</v>
      </c>
      <c r="AI120">
        <v>0.230625220014227</v>
      </c>
      <c r="AJ120" t="s">
        <v>74</v>
      </c>
      <c r="AK120">
        <v>0</v>
      </c>
      <c r="AL120" t="s">
        <v>77</v>
      </c>
      <c r="AM120">
        <v>0</v>
      </c>
      <c r="AN120">
        <v>0.99199999999999999</v>
      </c>
      <c r="AO120">
        <v>0</v>
      </c>
      <c r="AP120">
        <v>5.8245346242475203E-2</v>
      </c>
      <c r="AQ120">
        <v>0</v>
      </c>
      <c r="AR120">
        <v>1.6E-2</v>
      </c>
      <c r="AS120">
        <v>0</v>
      </c>
      <c r="AT120">
        <v>0</v>
      </c>
      <c r="AU120">
        <v>0</v>
      </c>
      <c r="AV120">
        <v>0</v>
      </c>
      <c r="AW120">
        <v>1</v>
      </c>
      <c r="AX120" t="s">
        <v>74</v>
      </c>
      <c r="AY120">
        <v>0</v>
      </c>
      <c r="AZ120" t="s">
        <v>76</v>
      </c>
      <c r="BA120">
        <v>-1.5707963267949001</v>
      </c>
      <c r="BB120">
        <v>0.99199999999999999</v>
      </c>
      <c r="BC120">
        <v>0</v>
      </c>
      <c r="BD120">
        <v>5.8245346242475203E-2</v>
      </c>
      <c r="BE120">
        <v>0</v>
      </c>
      <c r="BF120">
        <v>1.6E-2</v>
      </c>
      <c r="BG120">
        <v>0</v>
      </c>
      <c r="BH120">
        <v>0</v>
      </c>
      <c r="BI120">
        <v>0</v>
      </c>
      <c r="BJ120">
        <v>0</v>
      </c>
      <c r="BK120">
        <v>1</v>
      </c>
      <c r="BL120" s="1">
        <v>8.9311545193822202E-5</v>
      </c>
      <c r="BM120">
        <v>3.4588083576420601E-4</v>
      </c>
      <c r="BN120" s="1">
        <v>3.3209435828223999E-7</v>
      </c>
      <c r="BO120" s="1">
        <v>5.4330834632716303E-6</v>
      </c>
      <c r="BP120">
        <v>0</v>
      </c>
      <c r="BQ120">
        <v>0</v>
      </c>
      <c r="BR120" s="1">
        <v>5.8995952079007097E-5</v>
      </c>
      <c r="BS120">
        <v>2.2007981766667201E-4</v>
      </c>
    </row>
    <row r="121" spans="1:71" x14ac:dyDescent="0.25">
      <c r="A121">
        <v>118</v>
      </c>
      <c r="B121">
        <v>0.15422764099275699</v>
      </c>
      <c r="C121">
        <v>0.38328114622283099</v>
      </c>
      <c r="D121">
        <v>-1.27995363013152E-3</v>
      </c>
      <c r="E121">
        <v>6.1312499999999995E-4</v>
      </c>
      <c r="F121">
        <v>-3.8328114622283101E-3</v>
      </c>
      <c r="G121" s="1">
        <v>2.1684043449710098E-19</v>
      </c>
      <c r="H121" t="s">
        <v>78</v>
      </c>
      <c r="I121">
        <v>3842838.7214028598</v>
      </c>
      <c r="J121" t="s">
        <v>75</v>
      </c>
      <c r="K121">
        <v>3.14159265358979</v>
      </c>
      <c r="L121">
        <v>0.53325109030538798</v>
      </c>
      <c r="M121">
        <v>0</v>
      </c>
      <c r="N121">
        <v>3.1147867008908599E-2</v>
      </c>
      <c r="O121">
        <v>0</v>
      </c>
      <c r="P121">
        <v>1.6561102357802698E-2</v>
      </c>
      <c r="Q121">
        <v>0</v>
      </c>
      <c r="R121">
        <v>0</v>
      </c>
      <c r="S121">
        <v>6.21846548772807E-3</v>
      </c>
      <c r="T121">
        <v>0</v>
      </c>
      <c r="U121">
        <v>0.53783431601069998</v>
      </c>
      <c r="V121" t="s">
        <v>80</v>
      </c>
      <c r="W121">
        <v>10687563.619302601</v>
      </c>
      <c r="X121" t="s">
        <v>76</v>
      </c>
      <c r="Y121">
        <v>-1.5707963267949001</v>
      </c>
      <c r="Z121">
        <v>0.53249464721089401</v>
      </c>
      <c r="AA121">
        <v>1.5523779046736999E-4</v>
      </c>
      <c r="AB121">
        <v>3.0666641034175501E-2</v>
      </c>
      <c r="AC121">
        <v>1.39410911292E-4</v>
      </c>
      <c r="AD121">
        <v>0</v>
      </c>
      <c r="AE121">
        <v>1.8239513512308601E-2</v>
      </c>
      <c r="AF121">
        <v>0</v>
      </c>
      <c r="AG121">
        <v>0</v>
      </c>
      <c r="AH121">
        <v>0.69176167152841195</v>
      </c>
      <c r="AI121">
        <v>0.22885858483730101</v>
      </c>
      <c r="AJ121" t="s">
        <v>74</v>
      </c>
      <c r="AK121">
        <v>0</v>
      </c>
      <c r="AL121" t="s">
        <v>77</v>
      </c>
      <c r="AM121">
        <v>0</v>
      </c>
      <c r="AN121">
        <v>0.99199999999999999</v>
      </c>
      <c r="AO121">
        <v>0</v>
      </c>
      <c r="AP121">
        <v>5.8245346242475203E-2</v>
      </c>
      <c r="AQ121">
        <v>0</v>
      </c>
      <c r="AR121">
        <v>1.6E-2</v>
      </c>
      <c r="AS121">
        <v>0</v>
      </c>
      <c r="AT121">
        <v>0</v>
      </c>
      <c r="AU121">
        <v>0</v>
      </c>
      <c r="AV121">
        <v>0</v>
      </c>
      <c r="AW121">
        <v>1</v>
      </c>
      <c r="AX121" t="s">
        <v>74</v>
      </c>
      <c r="AY121">
        <v>0</v>
      </c>
      <c r="AZ121" t="s">
        <v>76</v>
      </c>
      <c r="BA121">
        <v>-1.5707963267949001</v>
      </c>
      <c r="BB121">
        <v>0.99199999999999999</v>
      </c>
      <c r="BC121">
        <v>0</v>
      </c>
      <c r="BD121">
        <v>5.8245346242475203E-2</v>
      </c>
      <c r="BE121">
        <v>0</v>
      </c>
      <c r="BF121">
        <v>1.6E-2</v>
      </c>
      <c r="BG121">
        <v>0</v>
      </c>
      <c r="BH121">
        <v>0</v>
      </c>
      <c r="BI121">
        <v>0</v>
      </c>
      <c r="BJ121">
        <v>0</v>
      </c>
      <c r="BK121">
        <v>1</v>
      </c>
      <c r="BL121" s="1">
        <v>8.9222305719663297E-5</v>
      </c>
      <c r="BM121">
        <v>3.4899006850807002E-4</v>
      </c>
      <c r="BN121" s="1">
        <v>3.3129120301482299E-7</v>
      </c>
      <c r="BO121" s="1">
        <v>5.4819231770037596E-6</v>
      </c>
      <c r="BP121" s="1">
        <v>2.6449490407304201E-6</v>
      </c>
      <c r="BQ121" s="1">
        <v>3.5190589326004401E-6</v>
      </c>
      <c r="BR121" s="1">
        <v>6.0781981850752198E-5</v>
      </c>
      <c r="BS121">
        <v>2.5303136614576499E-4</v>
      </c>
    </row>
    <row r="122" spans="1:71" x14ac:dyDescent="0.25">
      <c r="A122">
        <v>119</v>
      </c>
      <c r="B122">
        <v>2.80378538856221E-4</v>
      </c>
      <c r="C122">
        <v>0.38356152476168698</v>
      </c>
      <c r="D122">
        <v>-1.2801035224187999E-3</v>
      </c>
      <c r="E122">
        <v>6.1312499999999995E-4</v>
      </c>
      <c r="F122">
        <v>-3.8356152476168698E-3</v>
      </c>
      <c r="G122" s="1">
        <v>2.1684043449710098E-19</v>
      </c>
      <c r="H122" t="s">
        <v>78</v>
      </c>
      <c r="I122">
        <v>3844437.5724671902</v>
      </c>
      <c r="J122" t="s">
        <v>75</v>
      </c>
      <c r="K122">
        <v>3.14159265358979</v>
      </c>
      <c r="L122">
        <v>0.51363507261560004</v>
      </c>
      <c r="M122">
        <v>0</v>
      </c>
      <c r="N122">
        <v>2.9980569829656498E-2</v>
      </c>
      <c r="O122">
        <v>0</v>
      </c>
      <c r="P122">
        <v>1.6638367574049899E-2</v>
      </c>
      <c r="Q122">
        <v>0</v>
      </c>
      <c r="R122">
        <v>0</v>
      </c>
      <c r="S122">
        <v>1.2571382118437001E-2</v>
      </c>
      <c r="T122">
        <v>0</v>
      </c>
      <c r="U122">
        <v>5.7851199778400399E-2</v>
      </c>
      <c r="V122" t="s">
        <v>80</v>
      </c>
      <c r="W122">
        <v>10688857.116985099</v>
      </c>
      <c r="X122" t="s">
        <v>76</v>
      </c>
      <c r="Y122">
        <v>-1.5707963267949001</v>
      </c>
      <c r="Z122">
        <v>0.51294361720046699</v>
      </c>
      <c r="AA122">
        <v>1.5523779046736999E-4</v>
      </c>
      <c r="AB122">
        <v>2.9540687144650898E-2</v>
      </c>
      <c r="AC122">
        <v>1.39410911292E-4</v>
      </c>
      <c r="AD122">
        <v>0</v>
      </c>
      <c r="AE122">
        <v>1.8239513512308601E-2</v>
      </c>
      <c r="AF122">
        <v>0</v>
      </c>
      <c r="AG122">
        <v>0</v>
      </c>
      <c r="AH122">
        <v>0.69176167152841195</v>
      </c>
      <c r="AI122">
        <v>0.13534496087173101</v>
      </c>
      <c r="AJ122" t="s">
        <v>74</v>
      </c>
      <c r="AK122">
        <v>0</v>
      </c>
      <c r="AL122" t="s">
        <v>77</v>
      </c>
      <c r="AM122">
        <v>0</v>
      </c>
      <c r="AN122">
        <v>0.99199999999999999</v>
      </c>
      <c r="AO122">
        <v>0</v>
      </c>
      <c r="AP122">
        <v>5.8245346242475203E-2</v>
      </c>
      <c r="AQ122">
        <v>0</v>
      </c>
      <c r="AR122">
        <v>1.6E-2</v>
      </c>
      <c r="AS122">
        <v>0</v>
      </c>
      <c r="AT122">
        <v>0</v>
      </c>
      <c r="AU122">
        <v>0</v>
      </c>
      <c r="AV122">
        <v>0</v>
      </c>
      <c r="AW122">
        <v>1</v>
      </c>
      <c r="AX122" t="s">
        <v>74</v>
      </c>
      <c r="AY122">
        <v>0</v>
      </c>
      <c r="AZ122" t="s">
        <v>76</v>
      </c>
      <c r="BA122">
        <v>-1.5707963267949001</v>
      </c>
      <c r="BB122">
        <v>0.99199999999999999</v>
      </c>
      <c r="BC122">
        <v>0</v>
      </c>
      <c r="BD122">
        <v>5.8245346242475203E-2</v>
      </c>
      <c r="BE122">
        <v>0</v>
      </c>
      <c r="BF122">
        <v>1.6E-2</v>
      </c>
      <c r="BG122">
        <v>0</v>
      </c>
      <c r="BH122">
        <v>0</v>
      </c>
      <c r="BI122">
        <v>0</v>
      </c>
      <c r="BJ122">
        <v>0</v>
      </c>
      <c r="BK122">
        <v>1</v>
      </c>
      <c r="BL122" s="1">
        <v>8.8075680185274898E-5</v>
      </c>
      <c r="BM122">
        <v>3.5216652682342403E-4</v>
      </c>
      <c r="BN122" s="1">
        <v>3.27030007329869E-7</v>
      </c>
      <c r="BO122" s="1">
        <v>5.5318188675435098E-6</v>
      </c>
      <c r="BP122" s="1">
        <v>2.5440084731252599E-6</v>
      </c>
      <c r="BQ122" s="1">
        <v>7.1171643359165601E-6</v>
      </c>
      <c r="BR122" s="1">
        <v>5.9676769189691903E-5</v>
      </c>
      <c r="BS122">
        <v>2.5685913362194003E-4</v>
      </c>
    </row>
    <row r="123" spans="1:71" x14ac:dyDescent="0.25">
      <c r="A123">
        <v>120</v>
      </c>
      <c r="B123">
        <v>2.31469032235074E-4</v>
      </c>
      <c r="C123">
        <v>0.38379299379392201</v>
      </c>
      <c r="D123">
        <v>-1.2802270938717299E-3</v>
      </c>
      <c r="E123">
        <v>6.1312499999999995E-4</v>
      </c>
      <c r="F123">
        <v>-3.8379299379392201E-3</v>
      </c>
      <c r="G123" s="1">
        <v>2.1684043449710098E-19</v>
      </c>
      <c r="H123" t="s">
        <v>78</v>
      </c>
      <c r="I123">
        <v>3845755.6679651099</v>
      </c>
      <c r="J123" t="s">
        <v>75</v>
      </c>
      <c r="K123">
        <v>3.14159265358979</v>
      </c>
      <c r="L123">
        <v>0.50437564598012896</v>
      </c>
      <c r="M123">
        <v>0</v>
      </c>
      <c r="N123">
        <v>2.9427722026552701E-2</v>
      </c>
      <c r="O123">
        <v>0</v>
      </c>
      <c r="P123">
        <v>1.44496676727957E-2</v>
      </c>
      <c r="Q123">
        <v>2.1932730496252101E-3</v>
      </c>
      <c r="R123">
        <v>0</v>
      </c>
      <c r="S123">
        <v>1.6428066316580101E-2</v>
      </c>
      <c r="T123">
        <v>2.07538597561557E-3</v>
      </c>
      <c r="U123">
        <v>5.1099781399245703E-2</v>
      </c>
      <c r="V123" t="s">
        <v>80</v>
      </c>
      <c r="W123">
        <v>10689923.478643101</v>
      </c>
      <c r="X123" t="s">
        <v>76</v>
      </c>
      <c r="Y123">
        <v>-1.5707963267949001</v>
      </c>
      <c r="Z123">
        <v>0.50371805386156998</v>
      </c>
      <c r="AA123">
        <v>1.5523779046736999E-4</v>
      </c>
      <c r="AB123">
        <v>2.9009382199645599E-2</v>
      </c>
      <c r="AC123">
        <v>1.39410911292E-4</v>
      </c>
      <c r="AD123">
        <v>0</v>
      </c>
      <c r="AE123">
        <v>1.8239513512308601E-2</v>
      </c>
      <c r="AF123">
        <v>0</v>
      </c>
      <c r="AG123">
        <v>0</v>
      </c>
      <c r="AH123">
        <v>0.69176167152841195</v>
      </c>
      <c r="AI123">
        <v>0.124279706196102</v>
      </c>
      <c r="AJ123" t="s">
        <v>74</v>
      </c>
      <c r="AK123">
        <v>0</v>
      </c>
      <c r="AL123" t="s">
        <v>77</v>
      </c>
      <c r="AM123">
        <v>0</v>
      </c>
      <c r="AN123">
        <v>0.99199999999999999</v>
      </c>
      <c r="AO123">
        <v>0</v>
      </c>
      <c r="AP123">
        <v>5.8245346242475203E-2</v>
      </c>
      <c r="AQ123">
        <v>0</v>
      </c>
      <c r="AR123">
        <v>1.6E-2</v>
      </c>
      <c r="AS123">
        <v>0</v>
      </c>
      <c r="AT123">
        <v>0</v>
      </c>
      <c r="AU123">
        <v>0</v>
      </c>
      <c r="AV123">
        <v>0</v>
      </c>
      <c r="AW123">
        <v>1</v>
      </c>
      <c r="AX123" t="s">
        <v>74</v>
      </c>
      <c r="AY123">
        <v>0</v>
      </c>
      <c r="AZ123" t="s">
        <v>76</v>
      </c>
      <c r="BA123">
        <v>-1.5707963267949001</v>
      </c>
      <c r="BB123">
        <v>0.99199999999999999</v>
      </c>
      <c r="BC123">
        <v>0</v>
      </c>
      <c r="BD123">
        <v>5.8245346242475203E-2</v>
      </c>
      <c r="BE123">
        <v>0</v>
      </c>
      <c r="BF123">
        <v>1.6E-2</v>
      </c>
      <c r="BG123">
        <v>0</v>
      </c>
      <c r="BH123">
        <v>0</v>
      </c>
      <c r="BI123">
        <v>0</v>
      </c>
      <c r="BJ123">
        <v>0</v>
      </c>
      <c r="BK123">
        <v>1</v>
      </c>
      <c r="BL123" s="1">
        <v>8.7533603811220401E-5</v>
      </c>
      <c r="BM123">
        <v>3.5513256191030401E-4</v>
      </c>
      <c r="BN123" s="1">
        <v>3.2501011910187898E-7</v>
      </c>
      <c r="BO123" s="1">
        <v>5.5784092377396598E-6</v>
      </c>
      <c r="BP123" s="1">
        <v>2.49629379656802E-6</v>
      </c>
      <c r="BQ123" s="1">
        <v>1.04791391411594E-5</v>
      </c>
      <c r="BR123" s="1">
        <v>5.9154340774935197E-5</v>
      </c>
      <c r="BS123">
        <v>2.60431584065444E-4</v>
      </c>
    </row>
    <row r="124" spans="1:71" x14ac:dyDescent="0.25">
      <c r="A124">
        <v>121</v>
      </c>
      <c r="B124">
        <v>2.2523261263439101E-4</v>
      </c>
      <c r="C124">
        <v>0.38401822640655697</v>
      </c>
      <c r="D124">
        <v>-1.2803471968043799E-3</v>
      </c>
      <c r="E124">
        <v>6.1312499999999995E-4</v>
      </c>
      <c r="F124">
        <v>-3.8401822640655699E-3</v>
      </c>
      <c r="G124" s="1">
        <v>2.1684043449710098E-19</v>
      </c>
      <c r="H124" t="s">
        <v>78</v>
      </c>
      <c r="I124">
        <v>3847036.7659133398</v>
      </c>
      <c r="J124" t="s">
        <v>75</v>
      </c>
      <c r="K124">
        <v>3.14159265358979</v>
      </c>
      <c r="L124">
        <v>0.49518070260367197</v>
      </c>
      <c r="M124">
        <v>0</v>
      </c>
      <c r="N124">
        <v>2.8881460195391E-2</v>
      </c>
      <c r="O124">
        <v>0</v>
      </c>
      <c r="P124">
        <v>1.23601970116547E-2</v>
      </c>
      <c r="Q124">
        <v>4.28597071036841E-3</v>
      </c>
      <c r="R124">
        <v>0</v>
      </c>
      <c r="S124">
        <v>1.9482915343112101E-2</v>
      </c>
      <c r="T124">
        <v>4.9143363235370696E-3</v>
      </c>
      <c r="U124">
        <v>4.4746379216354798E-2</v>
      </c>
      <c r="V124" t="s">
        <v>80</v>
      </c>
      <c r="W124">
        <v>10690959.908654699</v>
      </c>
      <c r="X124" t="s">
        <v>76</v>
      </c>
      <c r="Y124">
        <v>-1.5707963267949001</v>
      </c>
      <c r="Z124">
        <v>0.49455200932010401</v>
      </c>
      <c r="AA124">
        <v>1.5523779046736999E-4</v>
      </c>
      <c r="AB124">
        <v>2.8481504972844001E-2</v>
      </c>
      <c r="AC124">
        <v>1.39410911292E-4</v>
      </c>
      <c r="AD124">
        <v>0</v>
      </c>
      <c r="AE124">
        <v>1.8239513512308601E-2</v>
      </c>
      <c r="AF124">
        <v>0</v>
      </c>
      <c r="AG124">
        <v>0</v>
      </c>
      <c r="AH124">
        <v>0.69176167152841195</v>
      </c>
      <c r="AI124">
        <v>0.113486427324359</v>
      </c>
      <c r="AJ124" t="s">
        <v>74</v>
      </c>
      <c r="AK124">
        <v>0</v>
      </c>
      <c r="AL124" t="s">
        <v>77</v>
      </c>
      <c r="AM124">
        <v>0</v>
      </c>
      <c r="AN124">
        <v>0.99199999999999999</v>
      </c>
      <c r="AO124">
        <v>0</v>
      </c>
      <c r="AP124">
        <v>5.8245346242475203E-2</v>
      </c>
      <c r="AQ124">
        <v>0</v>
      </c>
      <c r="AR124">
        <v>1.6E-2</v>
      </c>
      <c r="AS124">
        <v>0</v>
      </c>
      <c r="AT124">
        <v>0</v>
      </c>
      <c r="AU124">
        <v>0</v>
      </c>
      <c r="AV124">
        <v>0</v>
      </c>
      <c r="AW124">
        <v>1</v>
      </c>
      <c r="AX124" t="s">
        <v>74</v>
      </c>
      <c r="AY124">
        <v>0</v>
      </c>
      <c r="AZ124" t="s">
        <v>76</v>
      </c>
      <c r="BA124">
        <v>-1.5707963267949001</v>
      </c>
      <c r="BB124">
        <v>0.99199999999999999</v>
      </c>
      <c r="BC124">
        <v>0</v>
      </c>
      <c r="BD124">
        <v>5.8245346242475203E-2</v>
      </c>
      <c r="BE124">
        <v>0</v>
      </c>
      <c r="BF124">
        <v>1.6E-2</v>
      </c>
      <c r="BG124">
        <v>0</v>
      </c>
      <c r="BH124">
        <v>0</v>
      </c>
      <c r="BI124">
        <v>0</v>
      </c>
      <c r="BJ124">
        <v>0</v>
      </c>
      <c r="BK124">
        <v>1</v>
      </c>
      <c r="BL124" s="1">
        <v>8.6996534282238696E-5</v>
      </c>
      <c r="BM124">
        <v>3.5807946159752997E-4</v>
      </c>
      <c r="BN124" s="1">
        <v>3.23016848913493E-7</v>
      </c>
      <c r="BO124" s="1">
        <v>5.6246990297809503E-6</v>
      </c>
      <c r="BP124" s="1">
        <v>2.4494597403943901E-6</v>
      </c>
      <c r="BQ124" s="1">
        <v>1.38216024240497E-5</v>
      </c>
      <c r="BR124" s="1">
        <v>5.86370580533741E-5</v>
      </c>
      <c r="BS124">
        <v>2.6398070430690298E-4</v>
      </c>
    </row>
    <row r="125" spans="1:71" x14ac:dyDescent="0.25">
      <c r="A125">
        <v>122</v>
      </c>
      <c r="B125">
        <v>2.2318175131321599E-4</v>
      </c>
      <c r="C125">
        <v>0.38424140815787</v>
      </c>
      <c r="D125">
        <v>-1.28046607211278E-3</v>
      </c>
      <c r="E125">
        <v>6.1312499999999995E-4</v>
      </c>
      <c r="F125">
        <v>-3.8424140815787001E-3</v>
      </c>
      <c r="G125" s="1">
        <v>2.1684043449710098E-19</v>
      </c>
      <c r="H125" t="s">
        <v>78</v>
      </c>
      <c r="I125">
        <v>3848304.7692029802</v>
      </c>
      <c r="J125" t="s">
        <v>75</v>
      </c>
      <c r="K125">
        <v>3.14159265358979</v>
      </c>
      <c r="L125">
        <v>0.486063746792609</v>
      </c>
      <c r="M125">
        <v>0</v>
      </c>
      <c r="N125">
        <v>2.83413788828406E-2</v>
      </c>
      <c r="O125">
        <v>0</v>
      </c>
      <c r="P125">
        <v>1.03784422475374E-2</v>
      </c>
      <c r="Q125">
        <v>6.2701563182472001E-3</v>
      </c>
      <c r="R125">
        <v>0</v>
      </c>
      <c r="S125">
        <v>2.1691136353262402E-2</v>
      </c>
      <c r="T125">
        <v>8.5516456589653303E-3</v>
      </c>
      <c r="U125">
        <v>3.8806763069396101E-2</v>
      </c>
      <c r="V125" t="s">
        <v>80</v>
      </c>
      <c r="W125">
        <v>10691985.744865</v>
      </c>
      <c r="X125" t="s">
        <v>76</v>
      </c>
      <c r="Y125">
        <v>-1.5707963267949001</v>
      </c>
      <c r="Z125">
        <v>0.48546103283585101</v>
      </c>
      <c r="AA125">
        <v>1.5523779046736999E-4</v>
      </c>
      <c r="AB125">
        <v>2.79579509541267E-2</v>
      </c>
      <c r="AC125">
        <v>1.39410911292E-4</v>
      </c>
      <c r="AD125">
        <v>0</v>
      </c>
      <c r="AE125">
        <v>1.8239513512308601E-2</v>
      </c>
      <c r="AF125">
        <v>0</v>
      </c>
      <c r="AG125">
        <v>0</v>
      </c>
      <c r="AH125">
        <v>0.69176167152841195</v>
      </c>
      <c r="AI125">
        <v>0.102998593929718</v>
      </c>
      <c r="AJ125" t="s">
        <v>74</v>
      </c>
      <c r="AK125">
        <v>0</v>
      </c>
      <c r="AL125" t="s">
        <v>77</v>
      </c>
      <c r="AM125">
        <v>0</v>
      </c>
      <c r="AN125">
        <v>0.99199999999999999</v>
      </c>
      <c r="AO125">
        <v>0</v>
      </c>
      <c r="AP125">
        <v>5.8245346242475203E-2</v>
      </c>
      <c r="AQ125">
        <v>0</v>
      </c>
      <c r="AR125">
        <v>1.6E-2</v>
      </c>
      <c r="AS125">
        <v>0</v>
      </c>
      <c r="AT125">
        <v>0</v>
      </c>
      <c r="AU125">
        <v>0</v>
      </c>
      <c r="AV125">
        <v>0</v>
      </c>
      <c r="AW125">
        <v>1</v>
      </c>
      <c r="AX125" t="s">
        <v>74</v>
      </c>
      <c r="AY125">
        <v>0</v>
      </c>
      <c r="AZ125" t="s">
        <v>76</v>
      </c>
      <c r="BA125">
        <v>-1.5707963267949001</v>
      </c>
      <c r="BB125">
        <v>0.99199999999999999</v>
      </c>
      <c r="BC125">
        <v>0</v>
      </c>
      <c r="BD125">
        <v>5.8245346242475203E-2</v>
      </c>
      <c r="BE125">
        <v>0</v>
      </c>
      <c r="BF125">
        <v>1.6E-2</v>
      </c>
      <c r="BG125">
        <v>0</v>
      </c>
      <c r="BH125">
        <v>0</v>
      </c>
      <c r="BI125">
        <v>0</v>
      </c>
      <c r="BJ125">
        <v>0</v>
      </c>
      <c r="BK125">
        <v>1</v>
      </c>
      <c r="BL125" s="1">
        <v>8.6464716616604901E-5</v>
      </c>
      <c r="BM125">
        <v>3.6100222677031999E-4</v>
      </c>
      <c r="BN125" s="1">
        <v>3.2104758355562598E-7</v>
      </c>
      <c r="BO125" s="1">
        <v>5.6706097177559701E-6</v>
      </c>
      <c r="BP125" s="1">
        <v>2.4033290659056999E-6</v>
      </c>
      <c r="BQ125" s="1">
        <v>1.7138876586430698E-5</v>
      </c>
      <c r="BR125" s="1">
        <v>5.81250151119918E-5</v>
      </c>
      <c r="BS125">
        <v>2.67500734816044E-4</v>
      </c>
    </row>
    <row r="126" spans="1:71" x14ac:dyDescent="0.25">
      <c r="A126">
        <v>123</v>
      </c>
      <c r="B126">
        <v>2.2530269330837101E-4</v>
      </c>
      <c r="C126">
        <v>0.38446671085117801</v>
      </c>
      <c r="D126">
        <v>-1.280585943203E-3</v>
      </c>
      <c r="E126">
        <v>6.1312499999999995E-4</v>
      </c>
      <c r="F126">
        <v>-3.8446671085117798E-3</v>
      </c>
      <c r="G126" s="1">
        <v>2.1684043449710098E-19</v>
      </c>
      <c r="H126" t="s">
        <v>78</v>
      </c>
      <c r="I126">
        <v>3849583.3941653799</v>
      </c>
      <c r="J126" t="s">
        <v>75</v>
      </c>
      <c r="K126">
        <v>3.14159265358979</v>
      </c>
      <c r="L126">
        <v>0.477043178520072</v>
      </c>
      <c r="M126">
        <v>0</v>
      </c>
      <c r="N126">
        <v>2.78079316423991E-2</v>
      </c>
      <c r="O126">
        <v>0</v>
      </c>
      <c r="P126">
        <v>8.5128309294919807E-3</v>
      </c>
      <c r="Q126">
        <v>8.1376744412022008E-3</v>
      </c>
      <c r="R126">
        <v>0</v>
      </c>
      <c r="S126">
        <v>2.30013209492579E-2</v>
      </c>
      <c r="T126">
        <v>1.3026217534201801E-2</v>
      </c>
      <c r="U126">
        <v>3.3296306342964502E-2</v>
      </c>
      <c r="V126" t="s">
        <v>80</v>
      </c>
      <c r="W126">
        <v>10693020.174188999</v>
      </c>
      <c r="X126" t="s">
        <v>76</v>
      </c>
      <c r="Y126">
        <v>-1.5707963267949001</v>
      </c>
      <c r="Z126">
        <v>0.476464571960941</v>
      </c>
      <c r="AA126">
        <v>1.5523779046736999E-4</v>
      </c>
      <c r="AB126">
        <v>2.7439840138038699E-2</v>
      </c>
      <c r="AC126">
        <v>1.39410911292E-4</v>
      </c>
      <c r="AD126">
        <v>0</v>
      </c>
      <c r="AE126">
        <v>1.8239513512308601E-2</v>
      </c>
      <c r="AF126">
        <v>0</v>
      </c>
      <c r="AG126">
        <v>0</v>
      </c>
      <c r="AH126">
        <v>0.69176167152841195</v>
      </c>
      <c r="AI126">
        <v>9.2853456337673404E-2</v>
      </c>
      <c r="AJ126" t="s">
        <v>74</v>
      </c>
      <c r="AK126">
        <v>0</v>
      </c>
      <c r="AL126" t="s">
        <v>77</v>
      </c>
      <c r="AM126">
        <v>0</v>
      </c>
      <c r="AN126">
        <v>0.99199999999999999</v>
      </c>
      <c r="AO126">
        <v>0</v>
      </c>
      <c r="AP126">
        <v>5.8245346242475203E-2</v>
      </c>
      <c r="AQ126">
        <v>0</v>
      </c>
      <c r="AR126">
        <v>1.6E-2</v>
      </c>
      <c r="AS126">
        <v>0</v>
      </c>
      <c r="AT126">
        <v>0</v>
      </c>
      <c r="AU126">
        <v>0</v>
      </c>
      <c r="AV126">
        <v>0</v>
      </c>
      <c r="AW126">
        <v>1</v>
      </c>
      <c r="AX126" t="s">
        <v>74</v>
      </c>
      <c r="AY126">
        <v>0</v>
      </c>
      <c r="AZ126" t="s">
        <v>76</v>
      </c>
      <c r="BA126">
        <v>-1.5707963267949001</v>
      </c>
      <c r="BB126">
        <v>0.99199999999999999</v>
      </c>
      <c r="BC126">
        <v>0</v>
      </c>
      <c r="BD126">
        <v>5.8245346242475203E-2</v>
      </c>
      <c r="BE126">
        <v>0</v>
      </c>
      <c r="BF126">
        <v>1.6E-2</v>
      </c>
      <c r="BG126">
        <v>0</v>
      </c>
      <c r="BH126">
        <v>0</v>
      </c>
      <c r="BI126">
        <v>0</v>
      </c>
      <c r="BJ126">
        <v>0</v>
      </c>
      <c r="BK126">
        <v>1</v>
      </c>
      <c r="BL126" s="1">
        <v>8.5938937588340099E-5</v>
      </c>
      <c r="BM126">
        <v>3.63894605005936E-4</v>
      </c>
      <c r="BN126" s="1">
        <v>3.1910337762586398E-7</v>
      </c>
      <c r="BO126" s="1">
        <v>5.7160430888380396E-6</v>
      </c>
      <c r="BP126" s="1">
        <v>2.3578728402589101E-6</v>
      </c>
      <c r="BQ126" s="1">
        <v>2.0423937671243901E-5</v>
      </c>
      <c r="BR126" s="1">
        <v>5.7618901610962501E-5</v>
      </c>
      <c r="BS126">
        <v>2.7098441044521503E-4</v>
      </c>
    </row>
    <row r="127" spans="1:71" x14ac:dyDescent="0.25">
      <c r="A127">
        <v>124</v>
      </c>
      <c r="B127">
        <v>2.3209316434541301E-4</v>
      </c>
      <c r="C127">
        <v>0.38469880401552398</v>
      </c>
      <c r="D127">
        <v>-1.28070928802064E-3</v>
      </c>
      <c r="E127">
        <v>6.1312499999999995E-4</v>
      </c>
      <c r="F127">
        <v>-3.8469880401552402E-3</v>
      </c>
      <c r="G127" s="1">
        <v>2.1684043449710098E-19</v>
      </c>
      <c r="H127" t="s">
        <v>78</v>
      </c>
      <c r="I127">
        <v>3850899.0722201699</v>
      </c>
      <c r="J127" t="s">
        <v>75</v>
      </c>
      <c r="K127">
        <v>3.14159265358979</v>
      </c>
      <c r="L127">
        <v>0.46814515143035801</v>
      </c>
      <c r="M127">
        <v>0</v>
      </c>
      <c r="N127">
        <v>2.72822534166875E-2</v>
      </c>
      <c r="O127">
        <v>0</v>
      </c>
      <c r="P127">
        <v>6.7723463489810102E-3</v>
      </c>
      <c r="Q127">
        <v>9.8796975158238504E-3</v>
      </c>
      <c r="R127">
        <v>0</v>
      </c>
      <c r="S127">
        <v>2.3351330713380899E-2</v>
      </c>
      <c r="T127">
        <v>1.83829608837341E-2</v>
      </c>
      <c r="U127">
        <v>2.8230702107810701E-2</v>
      </c>
      <c r="V127" t="s">
        <v>80</v>
      </c>
      <c r="W127">
        <v>10694084.580094401</v>
      </c>
      <c r="X127" t="s">
        <v>76</v>
      </c>
      <c r="Y127">
        <v>-1.5707963267949001</v>
      </c>
      <c r="Z127">
        <v>0.46758942201036002</v>
      </c>
      <c r="AA127">
        <v>1.5523779046736999E-4</v>
      </c>
      <c r="AB127">
        <v>2.6928715680573301E-2</v>
      </c>
      <c r="AC127">
        <v>1.39410911292E-4</v>
      </c>
      <c r="AD127">
        <v>0</v>
      </c>
      <c r="AE127">
        <v>1.8239513512308601E-2</v>
      </c>
      <c r="AF127">
        <v>0</v>
      </c>
      <c r="AG127">
        <v>0</v>
      </c>
      <c r="AH127">
        <v>0.69176167152841195</v>
      </c>
      <c r="AI127">
        <v>8.3094736701816302E-2</v>
      </c>
      <c r="AJ127" t="s">
        <v>74</v>
      </c>
      <c r="AK127">
        <v>0</v>
      </c>
      <c r="AL127" t="s">
        <v>77</v>
      </c>
      <c r="AM127">
        <v>0</v>
      </c>
      <c r="AN127">
        <v>0.99199999999999999</v>
      </c>
      <c r="AO127">
        <v>0</v>
      </c>
      <c r="AP127">
        <v>5.8245346242475203E-2</v>
      </c>
      <c r="AQ127">
        <v>0</v>
      </c>
      <c r="AR127">
        <v>1.6E-2</v>
      </c>
      <c r="AS127">
        <v>0</v>
      </c>
      <c r="AT127">
        <v>0</v>
      </c>
      <c r="AU127">
        <v>0</v>
      </c>
      <c r="AV127">
        <v>0</v>
      </c>
      <c r="AW127">
        <v>1</v>
      </c>
      <c r="AX127" t="s">
        <v>74</v>
      </c>
      <c r="AY127">
        <v>0</v>
      </c>
      <c r="AZ127" t="s">
        <v>76</v>
      </c>
      <c r="BA127">
        <v>-1.5707963267949001</v>
      </c>
      <c r="BB127">
        <v>0.99199999999999999</v>
      </c>
      <c r="BC127">
        <v>0</v>
      </c>
      <c r="BD127">
        <v>5.8245346242475203E-2</v>
      </c>
      <c r="BE127">
        <v>0</v>
      </c>
      <c r="BF127">
        <v>1.6E-2</v>
      </c>
      <c r="BG127">
        <v>0</v>
      </c>
      <c r="BH127">
        <v>0</v>
      </c>
      <c r="BI127">
        <v>0</v>
      </c>
      <c r="BJ127">
        <v>0</v>
      </c>
      <c r="BK127">
        <v>1</v>
      </c>
      <c r="BL127" s="1">
        <v>8.5420536246751599E-5</v>
      </c>
      <c r="BM127">
        <v>3.6674798156276299E-4</v>
      </c>
      <c r="BN127" s="1">
        <v>3.17187979289292E-7</v>
      </c>
      <c r="BO127" s="1">
        <v>5.7608638229823096E-6</v>
      </c>
      <c r="BP127" s="1">
        <v>2.3131511793508501E-6</v>
      </c>
      <c r="BQ127" s="1">
        <v>2.3667170308159501E-5</v>
      </c>
      <c r="BR127" s="1">
        <v>5.7119969474476297E-5</v>
      </c>
      <c r="BS127">
        <v>2.74421658721155E-4</v>
      </c>
    </row>
    <row r="128" spans="1:71" x14ac:dyDescent="0.25">
      <c r="A128">
        <v>125</v>
      </c>
      <c r="B128">
        <v>2.4478070929097198E-4</v>
      </c>
      <c r="C128">
        <v>0.38494358472481499</v>
      </c>
      <c r="D128">
        <v>-1.2808392246120401E-3</v>
      </c>
      <c r="E128">
        <v>6.1312499999999995E-4</v>
      </c>
      <c r="F128">
        <v>-3.8494358472481501E-3</v>
      </c>
      <c r="G128" s="1">
        <v>2.1684043449710098E-19</v>
      </c>
      <c r="H128" t="s">
        <v>78</v>
      </c>
      <c r="I128">
        <v>3852285.0625284798</v>
      </c>
      <c r="J128" t="s">
        <v>75</v>
      </c>
      <c r="K128">
        <v>3.14159265358979</v>
      </c>
      <c r="L128">
        <v>0.459408672045445</v>
      </c>
      <c r="M128">
        <v>0</v>
      </c>
      <c r="N128">
        <v>2.6766321366781601E-2</v>
      </c>
      <c r="O128">
        <v>0</v>
      </c>
      <c r="P128">
        <v>5.1671509808340699E-3</v>
      </c>
      <c r="Q128">
        <v>1.1486161805047201E-2</v>
      </c>
      <c r="R128">
        <v>0</v>
      </c>
      <c r="S128">
        <v>2.26622544035322E-2</v>
      </c>
      <c r="T128">
        <v>2.4675406393555602E-2</v>
      </c>
      <c r="U128">
        <v>2.3626672985357901E-2</v>
      </c>
      <c r="V128" t="s">
        <v>80</v>
      </c>
      <c r="W128">
        <v>10695205.869807901</v>
      </c>
      <c r="X128" t="s">
        <v>76</v>
      </c>
      <c r="Y128">
        <v>-1.5707963267949001</v>
      </c>
      <c r="Z128">
        <v>0.458875054858358</v>
      </c>
      <c r="AA128">
        <v>1.5523779046736999E-4</v>
      </c>
      <c r="AB128">
        <v>2.6426850787301202E-2</v>
      </c>
      <c r="AC128">
        <v>1.39410911292E-4</v>
      </c>
      <c r="AD128">
        <v>0</v>
      </c>
      <c r="AE128">
        <v>1.8239513512308601E-2</v>
      </c>
      <c r="AF128">
        <v>0</v>
      </c>
      <c r="AG128">
        <v>0</v>
      </c>
      <c r="AH128">
        <v>0.69176167152841195</v>
      </c>
      <c r="AI128">
        <v>7.3776389146558194E-2</v>
      </c>
      <c r="AJ128" t="s">
        <v>74</v>
      </c>
      <c r="AK128">
        <v>0</v>
      </c>
      <c r="AL128" t="s">
        <v>77</v>
      </c>
      <c r="AM128">
        <v>0</v>
      </c>
      <c r="AN128">
        <v>0.99199999999999999</v>
      </c>
      <c r="AO128">
        <v>0</v>
      </c>
      <c r="AP128">
        <v>5.8245346242475203E-2</v>
      </c>
      <c r="AQ128">
        <v>0</v>
      </c>
      <c r="AR128">
        <v>1.6E-2</v>
      </c>
      <c r="AS128">
        <v>0</v>
      </c>
      <c r="AT128">
        <v>0</v>
      </c>
      <c r="AU128">
        <v>0</v>
      </c>
      <c r="AV128">
        <v>0</v>
      </c>
      <c r="AW128">
        <v>1</v>
      </c>
      <c r="AX128" t="s">
        <v>74</v>
      </c>
      <c r="AY128">
        <v>0</v>
      </c>
      <c r="AZ128" t="s">
        <v>76</v>
      </c>
      <c r="BA128">
        <v>-1.5707963267949001</v>
      </c>
      <c r="BB128">
        <v>0.99199999999999999</v>
      </c>
      <c r="BC128">
        <v>0</v>
      </c>
      <c r="BD128">
        <v>5.8245346242475203E-2</v>
      </c>
      <c r="BE128">
        <v>0</v>
      </c>
      <c r="BF128">
        <v>1.6E-2</v>
      </c>
      <c r="BG128">
        <v>0</v>
      </c>
      <c r="BH128">
        <v>0</v>
      </c>
      <c r="BI128">
        <v>0</v>
      </c>
      <c r="BJ128">
        <v>0</v>
      </c>
      <c r="BK128">
        <v>1</v>
      </c>
      <c r="BL128" s="1">
        <v>8.4911637775162598E-5</v>
      </c>
      <c r="BM128">
        <v>3.6954966616275001E-4</v>
      </c>
      <c r="BN128" s="1">
        <v>3.1530828373027602E-7</v>
      </c>
      <c r="BO128" s="1">
        <v>5.8048725817672802E-6</v>
      </c>
      <c r="BP128" s="1">
        <v>2.26931102392842E-6</v>
      </c>
      <c r="BQ128" s="1">
        <v>2.6854456267338501E-5</v>
      </c>
      <c r="BR128" s="1">
        <v>5.6630242237159298E-5</v>
      </c>
      <c r="BS128">
        <v>2.7779758529352901E-4</v>
      </c>
    </row>
    <row r="129" spans="1:71" x14ac:dyDescent="0.25">
      <c r="A129">
        <v>126</v>
      </c>
      <c r="B129">
        <v>2.6588973439240301E-4</v>
      </c>
      <c r="C129">
        <v>0.385209474459207</v>
      </c>
      <c r="D129">
        <v>-1.2809801937328101E-3</v>
      </c>
      <c r="E129">
        <v>6.1312499999999995E-4</v>
      </c>
      <c r="F129">
        <v>-3.8520947445920702E-3</v>
      </c>
      <c r="G129" s="1">
        <v>2.1684043449710098E-19</v>
      </c>
      <c r="H129" t="s">
        <v>78</v>
      </c>
      <c r="I129">
        <v>3853788.7331500198</v>
      </c>
      <c r="J129" t="s">
        <v>75</v>
      </c>
      <c r="K129">
        <v>3.14159265358979</v>
      </c>
      <c r="L129">
        <v>0.450895514304473</v>
      </c>
      <c r="M129">
        <v>0</v>
      </c>
      <c r="N129">
        <v>2.6263453563892199E-2</v>
      </c>
      <c r="O129">
        <v>0</v>
      </c>
      <c r="P129">
        <v>3.7096800519749698E-3</v>
      </c>
      <c r="Q129">
        <v>1.29447003188231E-2</v>
      </c>
      <c r="R129">
        <v>0</v>
      </c>
      <c r="S129">
        <v>2.0829071275611101E-2</v>
      </c>
      <c r="T129">
        <v>3.1968587753536899E-2</v>
      </c>
      <c r="U129">
        <v>1.9503402578054201E-2</v>
      </c>
      <c r="V129" t="s">
        <v>80</v>
      </c>
      <c r="W129">
        <v>10696422.364894699</v>
      </c>
      <c r="X129" t="s">
        <v>76</v>
      </c>
      <c r="Y129">
        <v>-1.5707963267949001</v>
      </c>
      <c r="Z129">
        <v>0.45038365842428302</v>
      </c>
      <c r="AA129">
        <v>1.5523779046736999E-4</v>
      </c>
      <c r="AB129">
        <v>2.5937826892532299E-2</v>
      </c>
      <c r="AC129">
        <v>1.39410911292E-4</v>
      </c>
      <c r="AD129">
        <v>0</v>
      </c>
      <c r="AE129">
        <v>1.8239513512308601E-2</v>
      </c>
      <c r="AF129">
        <v>0</v>
      </c>
      <c r="AG129">
        <v>0</v>
      </c>
      <c r="AH129">
        <v>0.69176167152841195</v>
      </c>
      <c r="AI129">
        <v>6.4969684086808296E-2</v>
      </c>
      <c r="AJ129" t="s">
        <v>74</v>
      </c>
      <c r="AK129">
        <v>0</v>
      </c>
      <c r="AL129" t="s">
        <v>77</v>
      </c>
      <c r="AM129">
        <v>0</v>
      </c>
      <c r="AN129">
        <v>0.99199999999999999</v>
      </c>
      <c r="AO129">
        <v>0</v>
      </c>
      <c r="AP129">
        <v>5.8245346242475203E-2</v>
      </c>
      <c r="AQ129">
        <v>0</v>
      </c>
      <c r="AR129">
        <v>1.6E-2</v>
      </c>
      <c r="AS129">
        <v>0</v>
      </c>
      <c r="AT129">
        <v>0</v>
      </c>
      <c r="AU129">
        <v>0</v>
      </c>
      <c r="AV129">
        <v>0</v>
      </c>
      <c r="AW129">
        <v>1</v>
      </c>
      <c r="AX129" t="s">
        <v>74</v>
      </c>
      <c r="AY129">
        <v>0</v>
      </c>
      <c r="AZ129" t="s">
        <v>76</v>
      </c>
      <c r="BA129">
        <v>-1.5707963267949001</v>
      </c>
      <c r="BB129">
        <v>0.99199999999999999</v>
      </c>
      <c r="BC129">
        <v>0</v>
      </c>
      <c r="BD129">
        <v>5.8245346242475203E-2</v>
      </c>
      <c r="BE129">
        <v>0</v>
      </c>
      <c r="BF129">
        <v>1.6E-2</v>
      </c>
      <c r="BG129">
        <v>0</v>
      </c>
      <c r="BH129">
        <v>0</v>
      </c>
      <c r="BI129">
        <v>0</v>
      </c>
      <c r="BJ129">
        <v>0</v>
      </c>
      <c r="BK129">
        <v>1</v>
      </c>
      <c r="BL129" s="1">
        <v>8.4415691926333406E-5</v>
      </c>
      <c r="BM129">
        <v>3.7227966527877997E-4</v>
      </c>
      <c r="BN129" s="1">
        <v>3.1347606805544101E-7</v>
      </c>
      <c r="BO129" s="1">
        <v>5.8477553076034101E-6</v>
      </c>
      <c r="BP129" s="1">
        <v>2.22662185509173E-6</v>
      </c>
      <c r="BQ129" s="1">
        <v>2.99635815307563E-5</v>
      </c>
      <c r="BR129" s="1">
        <v>5.61530265136433E-5</v>
      </c>
      <c r="BS129">
        <v>2.81088673874203E-4</v>
      </c>
    </row>
    <row r="130" spans="1:71" x14ac:dyDescent="0.25">
      <c r="A130">
        <v>127</v>
      </c>
      <c r="B130">
        <v>3.0071996649362902E-4</v>
      </c>
      <c r="C130">
        <v>0.385510194425701</v>
      </c>
      <c r="D130">
        <v>-1.2811394171457801E-3</v>
      </c>
      <c r="E130">
        <v>6.1312499999999995E-4</v>
      </c>
      <c r="F130">
        <v>-3.8551019442570099E-3</v>
      </c>
      <c r="G130" s="1">
        <v>2.1684043449710098E-19</v>
      </c>
      <c r="H130" t="s">
        <v>78</v>
      </c>
      <c r="I130">
        <v>3855487.1162216198</v>
      </c>
      <c r="J130" t="s">
        <v>75</v>
      </c>
      <c r="K130">
        <v>3.14159265358979</v>
      </c>
      <c r="L130">
        <v>0.44271116303018898</v>
      </c>
      <c r="M130">
        <v>0</v>
      </c>
      <c r="N130">
        <v>2.57794473304284E-2</v>
      </c>
      <c r="O130">
        <v>0</v>
      </c>
      <c r="P130">
        <v>2.4171439440718598E-3</v>
      </c>
      <c r="Q130">
        <v>1.4238154370380399E-2</v>
      </c>
      <c r="R130">
        <v>0</v>
      </c>
      <c r="S130">
        <v>1.7708275043382099E-2</v>
      </c>
      <c r="T130">
        <v>4.0337875620429897E-2</v>
      </c>
      <c r="U130">
        <v>1.58860159438131E-2</v>
      </c>
      <c r="V130" t="s">
        <v>80</v>
      </c>
      <c r="W130">
        <v>10697796.3856625</v>
      </c>
      <c r="X130" t="s">
        <v>76</v>
      </c>
      <c r="Y130">
        <v>-1.5707963267949001</v>
      </c>
      <c r="Z130">
        <v>0.44222119732875198</v>
      </c>
      <c r="AA130">
        <v>1.5523779046736999E-4</v>
      </c>
      <c r="AB130">
        <v>2.5467746553352998E-2</v>
      </c>
      <c r="AC130">
        <v>1.39410911292E-4</v>
      </c>
      <c r="AD130">
        <v>0</v>
      </c>
      <c r="AE130">
        <v>1.8239513512308601E-2</v>
      </c>
      <c r="AF130">
        <v>0</v>
      </c>
      <c r="AG130">
        <v>0</v>
      </c>
      <c r="AH130">
        <v>0.69176167152841195</v>
      </c>
      <c r="AI130">
        <v>5.6778510342793402E-2</v>
      </c>
      <c r="AJ130" t="s">
        <v>74</v>
      </c>
      <c r="AK130">
        <v>0</v>
      </c>
      <c r="AL130" t="s">
        <v>77</v>
      </c>
      <c r="AM130">
        <v>0</v>
      </c>
      <c r="AN130">
        <v>0.99199999999999999</v>
      </c>
      <c r="AO130">
        <v>0</v>
      </c>
      <c r="AP130">
        <v>5.8245346242475203E-2</v>
      </c>
      <c r="AQ130">
        <v>0</v>
      </c>
      <c r="AR130">
        <v>1.6E-2</v>
      </c>
      <c r="AS130">
        <v>0</v>
      </c>
      <c r="AT130">
        <v>0</v>
      </c>
      <c r="AU130">
        <v>0</v>
      </c>
      <c r="AV130">
        <v>0</v>
      </c>
      <c r="AW130">
        <v>1</v>
      </c>
      <c r="AX130" t="s">
        <v>74</v>
      </c>
      <c r="AY130">
        <v>0</v>
      </c>
      <c r="AZ130" t="s">
        <v>76</v>
      </c>
      <c r="BA130">
        <v>-1.5707963267949001</v>
      </c>
      <c r="BB130">
        <v>0.99199999999999999</v>
      </c>
      <c r="BC130">
        <v>0</v>
      </c>
      <c r="BD130">
        <v>5.8245346242475203E-2</v>
      </c>
      <c r="BE130">
        <v>0</v>
      </c>
      <c r="BF130">
        <v>1.6E-2</v>
      </c>
      <c r="BG130">
        <v>0</v>
      </c>
      <c r="BH130">
        <v>0</v>
      </c>
      <c r="BI130">
        <v>0</v>
      </c>
      <c r="BJ130">
        <v>0</v>
      </c>
      <c r="BK130">
        <v>1</v>
      </c>
      <c r="BL130" s="1">
        <v>8.3938648640011896E-5</v>
      </c>
      <c r="BM130">
        <v>3.7490391109611202E-4</v>
      </c>
      <c r="BN130" s="1">
        <v>3.1171204561756001E-7</v>
      </c>
      <c r="BO130" s="1">
        <v>5.8889768645081298E-6</v>
      </c>
      <c r="BP130" s="1">
        <v>2.1855696679413298E-6</v>
      </c>
      <c r="BQ130" s="1">
        <v>3.2956708778208001E-5</v>
      </c>
      <c r="BR130" s="1">
        <v>5.56940403552283E-5</v>
      </c>
      <c r="BS130">
        <v>2.8425481742518202E-4</v>
      </c>
    </row>
    <row r="131" spans="1:71" x14ac:dyDescent="0.25">
      <c r="A131">
        <v>128</v>
      </c>
      <c r="B131">
        <v>3.61759072071325E-4</v>
      </c>
      <c r="C131">
        <v>0.38587195349777198</v>
      </c>
      <c r="D131">
        <v>-1.28133067117747E-3</v>
      </c>
      <c r="E131">
        <v>6.1312499999999995E-4</v>
      </c>
      <c r="F131">
        <v>-3.8587195349777201E-3</v>
      </c>
      <c r="G131" s="1">
        <v>2.1684043449710098E-19</v>
      </c>
      <c r="H131" t="s">
        <v>78</v>
      </c>
      <c r="I131">
        <v>3857527.15922633</v>
      </c>
      <c r="J131" t="s">
        <v>75</v>
      </c>
      <c r="K131">
        <v>3.14159265358979</v>
      </c>
      <c r="L131">
        <v>0.43505255559521699</v>
      </c>
      <c r="M131">
        <v>0</v>
      </c>
      <c r="N131">
        <v>2.53252015750134E-2</v>
      </c>
      <c r="O131">
        <v>0</v>
      </c>
      <c r="P131">
        <v>1.3182862086674599E-3</v>
      </c>
      <c r="Q131">
        <v>1.5337825002946601E-2</v>
      </c>
      <c r="R131">
        <v>0</v>
      </c>
      <c r="S131">
        <v>1.31184060534983E-2</v>
      </c>
      <c r="T131">
        <v>4.9837606093640199E-2</v>
      </c>
      <c r="U131">
        <v>1.2814390791277301E-2</v>
      </c>
      <c r="V131" t="s">
        <v>80</v>
      </c>
      <c r="W131">
        <v>10699446.815122601</v>
      </c>
      <c r="X131" t="s">
        <v>76</v>
      </c>
      <c r="Y131">
        <v>-1.5707963267949001</v>
      </c>
      <c r="Z131">
        <v>0.43458537429010802</v>
      </c>
      <c r="AA131">
        <v>1.5523779046736999E-4</v>
      </c>
      <c r="AB131">
        <v>2.5027995571154201E-2</v>
      </c>
      <c r="AC131">
        <v>1.39410911292E-4</v>
      </c>
      <c r="AD131">
        <v>0</v>
      </c>
      <c r="AE131">
        <v>1.8239513512308601E-2</v>
      </c>
      <c r="AF131">
        <v>0</v>
      </c>
      <c r="AG131">
        <v>0</v>
      </c>
      <c r="AH131">
        <v>0.69176167152841195</v>
      </c>
      <c r="AI131">
        <v>4.9375305236804598E-2</v>
      </c>
      <c r="AJ131" t="s">
        <v>74</v>
      </c>
      <c r="AK131">
        <v>0</v>
      </c>
      <c r="AL131" t="s">
        <v>77</v>
      </c>
      <c r="AM131">
        <v>0</v>
      </c>
      <c r="AN131">
        <v>0.99199999999999999</v>
      </c>
      <c r="AO131">
        <v>0</v>
      </c>
      <c r="AP131">
        <v>5.8245346242475203E-2</v>
      </c>
      <c r="AQ131">
        <v>0</v>
      </c>
      <c r="AR131">
        <v>1.6E-2</v>
      </c>
      <c r="AS131">
        <v>0</v>
      </c>
      <c r="AT131">
        <v>0</v>
      </c>
      <c r="AU131">
        <v>0</v>
      </c>
      <c r="AV131">
        <v>0</v>
      </c>
      <c r="AW131">
        <v>1</v>
      </c>
      <c r="AX131" t="s">
        <v>74</v>
      </c>
      <c r="AY131">
        <v>0</v>
      </c>
      <c r="AZ131" t="s">
        <v>76</v>
      </c>
      <c r="BA131">
        <v>-1.5707963267949001</v>
      </c>
      <c r="BB131">
        <v>0.99199999999999999</v>
      </c>
      <c r="BC131">
        <v>0</v>
      </c>
      <c r="BD131">
        <v>5.8245346242475203E-2</v>
      </c>
      <c r="BE131">
        <v>0</v>
      </c>
      <c r="BF131">
        <v>1.6E-2</v>
      </c>
      <c r="BG131">
        <v>0</v>
      </c>
      <c r="BH131">
        <v>0</v>
      </c>
      <c r="BI131">
        <v>0</v>
      </c>
      <c r="BJ131">
        <v>0</v>
      </c>
      <c r="BK131">
        <v>1</v>
      </c>
      <c r="BL131" s="1">
        <v>8.3491650271204997E-5</v>
      </c>
      <c r="BM131">
        <v>3.77358841837775E-4</v>
      </c>
      <c r="BN131" s="1">
        <v>3.1005523388827999E-7</v>
      </c>
      <c r="BO131" s="1">
        <v>5.9275388264235398E-6</v>
      </c>
      <c r="BP131" s="1">
        <v>2.1470797669282598E-6</v>
      </c>
      <c r="BQ131" s="1">
        <v>3.5763281107191997E-5</v>
      </c>
      <c r="BR131" s="1">
        <v>5.5264003379007697E-5</v>
      </c>
      <c r="BS131">
        <v>2.8722121945375703E-4</v>
      </c>
    </row>
    <row r="132" spans="1:71" x14ac:dyDescent="0.25">
      <c r="A132">
        <v>129</v>
      </c>
      <c r="B132">
        <v>4.8543738374901701E-4</v>
      </c>
      <c r="C132">
        <v>0.38635739088152099</v>
      </c>
      <c r="D132">
        <v>-1.2815868469917299E-3</v>
      </c>
      <c r="E132">
        <v>6.1312499999999995E-4</v>
      </c>
      <c r="F132">
        <v>-3.8635739088152101E-3</v>
      </c>
      <c r="G132" s="1">
        <v>2.1684043449710098E-19</v>
      </c>
      <c r="H132" t="s">
        <v>78</v>
      </c>
      <c r="I132">
        <v>3860259.7012451701</v>
      </c>
      <c r="J132" t="s">
        <v>75</v>
      </c>
      <c r="K132">
        <v>3.14159265358979</v>
      </c>
      <c r="L132">
        <v>0.42831157212483401</v>
      </c>
      <c r="M132">
        <v>0</v>
      </c>
      <c r="N132">
        <v>2.4922255870557498E-2</v>
      </c>
      <c r="O132">
        <v>0</v>
      </c>
      <c r="P132">
        <v>4.7431972309852698E-4</v>
      </c>
      <c r="Q132">
        <v>1.61825491199598E-2</v>
      </c>
      <c r="R132">
        <v>0</v>
      </c>
      <c r="S132">
        <v>7.0000291490250896E-3</v>
      </c>
      <c r="T132">
        <v>6.0274090433097602E-2</v>
      </c>
      <c r="U132">
        <v>1.03624623041292E-2</v>
      </c>
      <c r="V132" t="s">
        <v>80</v>
      </c>
      <c r="W132">
        <v>10701657.4880537</v>
      </c>
      <c r="X132" t="s">
        <v>76</v>
      </c>
      <c r="Y132">
        <v>-1.5707963267949001</v>
      </c>
      <c r="Z132">
        <v>0.42786984792600202</v>
      </c>
      <c r="AA132">
        <v>1.5523779046736999E-4</v>
      </c>
      <c r="AB132">
        <v>2.4641244948509802E-2</v>
      </c>
      <c r="AC132">
        <v>1.39410911292E-4</v>
      </c>
      <c r="AD132">
        <v>0</v>
      </c>
      <c r="AE132">
        <v>1.8239513512308601E-2</v>
      </c>
      <c r="AF132">
        <v>0</v>
      </c>
      <c r="AG132">
        <v>0</v>
      </c>
      <c r="AH132">
        <v>0.69176167152841195</v>
      </c>
      <c r="AI132">
        <v>4.3079848301518398E-2</v>
      </c>
      <c r="AJ132" t="s">
        <v>74</v>
      </c>
      <c r="AK132">
        <v>0</v>
      </c>
      <c r="AL132" t="s">
        <v>77</v>
      </c>
      <c r="AM132">
        <v>0</v>
      </c>
      <c r="AN132">
        <v>0.99199999999999999</v>
      </c>
      <c r="AO132">
        <v>0</v>
      </c>
      <c r="AP132">
        <v>5.8245346242475203E-2</v>
      </c>
      <c r="AQ132">
        <v>0</v>
      </c>
      <c r="AR132">
        <v>1.6E-2</v>
      </c>
      <c r="AS132">
        <v>0</v>
      </c>
      <c r="AT132">
        <v>0</v>
      </c>
      <c r="AU132">
        <v>0</v>
      </c>
      <c r="AV132">
        <v>0</v>
      </c>
      <c r="AW132">
        <v>1</v>
      </c>
      <c r="AX132" t="s">
        <v>74</v>
      </c>
      <c r="AY132">
        <v>0</v>
      </c>
      <c r="AZ132" t="s">
        <v>76</v>
      </c>
      <c r="BA132">
        <v>-1.5707963267949001</v>
      </c>
      <c r="BB132">
        <v>0.99199999999999999</v>
      </c>
      <c r="BC132">
        <v>0</v>
      </c>
      <c r="BD132">
        <v>5.8245346242475203E-2</v>
      </c>
      <c r="BE132">
        <v>0</v>
      </c>
      <c r="BF132">
        <v>1.6E-2</v>
      </c>
      <c r="BG132">
        <v>0</v>
      </c>
      <c r="BH132">
        <v>0</v>
      </c>
      <c r="BI132">
        <v>0</v>
      </c>
      <c r="BJ132">
        <v>0</v>
      </c>
      <c r="BK132">
        <v>1</v>
      </c>
      <c r="BL132" s="1">
        <v>8.3096802107654905E-5</v>
      </c>
      <c r="BM132">
        <v>3.7951789555526699E-4</v>
      </c>
      <c r="BN132" s="1">
        <v>3.0858259431124899E-7</v>
      </c>
      <c r="BO132" s="1">
        <v>5.96145316291143E-6</v>
      </c>
      <c r="BP132" s="1">
        <v>2.1129931582495599E-6</v>
      </c>
      <c r="BQ132" s="1">
        <v>3.8243329853972098E-5</v>
      </c>
      <c r="BR132" s="1">
        <v>5.48841937417353E-5</v>
      </c>
      <c r="BS132">
        <v>2.8983953468417201E-4</v>
      </c>
    </row>
    <row r="133" spans="1:71" x14ac:dyDescent="0.25">
      <c r="A133">
        <v>130</v>
      </c>
      <c r="B133">
        <v>8.2715910814495995E-4</v>
      </c>
      <c r="C133">
        <v>0.387184549989666</v>
      </c>
      <c r="D133">
        <v>-1.28202229726544E-3</v>
      </c>
      <c r="E133">
        <v>6.1312499999999995E-4</v>
      </c>
      <c r="F133">
        <v>-3.8718454998966602E-3</v>
      </c>
      <c r="G133" s="1">
        <v>2.1684043449710098E-19</v>
      </c>
      <c r="H133" t="s">
        <v>78</v>
      </c>
      <c r="I133">
        <v>3864904.5041646599</v>
      </c>
      <c r="J133" t="s">
        <v>75</v>
      </c>
      <c r="K133">
        <v>3.14159265358979</v>
      </c>
      <c r="L133">
        <v>0.42298950668436902</v>
      </c>
      <c r="M133">
        <v>0</v>
      </c>
      <c r="N133">
        <v>2.4595468537298999E-2</v>
      </c>
      <c r="O133" s="1">
        <v>4.16974019789543E-7</v>
      </c>
      <c r="P133" s="1">
        <v>3.39068042946169E-5</v>
      </c>
      <c r="Q133">
        <v>1.6623802310902401E-2</v>
      </c>
      <c r="R133">
        <v>0</v>
      </c>
      <c r="S133">
        <v>9.5141155129202005E-4</v>
      </c>
      <c r="T133">
        <v>6.9722269430422701E-2</v>
      </c>
      <c r="U133">
        <v>8.5925427537150295E-3</v>
      </c>
      <c r="V133" t="s">
        <v>80</v>
      </c>
      <c r="W133">
        <v>10705415.2125511</v>
      </c>
      <c r="X133" t="s">
        <v>76</v>
      </c>
      <c r="Y133">
        <v>-1.5707963267949001</v>
      </c>
      <c r="Z133">
        <v>0.42258284556464298</v>
      </c>
      <c r="AA133">
        <v>1.5523779046736999E-4</v>
      </c>
      <c r="AB133">
        <v>2.43367637590522E-2</v>
      </c>
      <c r="AC133">
        <v>1.39410911292E-4</v>
      </c>
      <c r="AD133">
        <v>0</v>
      </c>
      <c r="AE133">
        <v>1.8239513512308601E-2</v>
      </c>
      <c r="AF133">
        <v>0</v>
      </c>
      <c r="AG133">
        <v>0</v>
      </c>
      <c r="AH133">
        <v>0.69176167152841195</v>
      </c>
      <c r="AI133">
        <v>3.8266387850900203E-2</v>
      </c>
      <c r="AJ133" t="s">
        <v>74</v>
      </c>
      <c r="AK133">
        <v>0</v>
      </c>
      <c r="AL133" t="s">
        <v>77</v>
      </c>
      <c r="AM133">
        <v>0</v>
      </c>
      <c r="AN133">
        <v>0.99199999999999999</v>
      </c>
      <c r="AO133">
        <v>0</v>
      </c>
      <c r="AP133">
        <v>5.8245346242475203E-2</v>
      </c>
      <c r="AQ133">
        <v>0</v>
      </c>
      <c r="AR133">
        <v>1.6E-2</v>
      </c>
      <c r="AS133">
        <v>0</v>
      </c>
      <c r="AT133">
        <v>0</v>
      </c>
      <c r="AU133">
        <v>0</v>
      </c>
      <c r="AV133">
        <v>0</v>
      </c>
      <c r="AW133">
        <v>1</v>
      </c>
      <c r="AX133" t="s">
        <v>74</v>
      </c>
      <c r="AY133">
        <v>0</v>
      </c>
      <c r="AZ133" t="s">
        <v>76</v>
      </c>
      <c r="BA133">
        <v>-1.5707963267949001</v>
      </c>
      <c r="BB133">
        <v>0.99199999999999999</v>
      </c>
      <c r="BC133">
        <v>0</v>
      </c>
      <c r="BD133">
        <v>5.8245346242475203E-2</v>
      </c>
      <c r="BE133">
        <v>0</v>
      </c>
      <c r="BF133">
        <v>1.6E-2</v>
      </c>
      <c r="BG133">
        <v>0</v>
      </c>
      <c r="BH133">
        <v>0</v>
      </c>
      <c r="BI133">
        <v>0</v>
      </c>
      <c r="BJ133">
        <v>0</v>
      </c>
      <c r="BK133">
        <v>1</v>
      </c>
      <c r="BL133" s="1">
        <v>8.27813763333067E-5</v>
      </c>
      <c r="BM133">
        <v>3.8121767625506301E-4</v>
      </c>
      <c r="BN133" s="1">
        <v>3.0740830512606398E-7</v>
      </c>
      <c r="BO133" s="1">
        <v>5.9881532557073903E-6</v>
      </c>
      <c r="BP133" s="1">
        <v>2.0867809426931599E-6</v>
      </c>
      <c r="BQ133" s="1">
        <v>4.0224220142075799E-5</v>
      </c>
      <c r="BR133" s="1">
        <v>5.45809571381193E-5</v>
      </c>
      <c r="BS133">
        <v>2.9192596388975898E-4</v>
      </c>
    </row>
    <row r="134" spans="1:71" x14ac:dyDescent="0.25">
      <c r="A134">
        <v>131</v>
      </c>
      <c r="B134">
        <v>2.7344871125061202E-3</v>
      </c>
      <c r="C134">
        <v>0.38991903710217202</v>
      </c>
      <c r="D134">
        <v>-1.2834558890871301E-3</v>
      </c>
      <c r="E134">
        <v>6.1312499999999995E-4</v>
      </c>
      <c r="F134">
        <v>-3.8991903710217202E-3</v>
      </c>
      <c r="G134" s="1">
        <v>2.1684043449710098E-19</v>
      </c>
      <c r="H134" t="s">
        <v>79</v>
      </c>
      <c r="I134">
        <v>3880196.1502627502</v>
      </c>
      <c r="J134" t="s">
        <v>75</v>
      </c>
      <c r="K134">
        <v>3.14159265358979</v>
      </c>
      <c r="L134">
        <v>0.42289497061011899</v>
      </c>
      <c r="M134" s="1">
        <v>9.2632919338252203E-5</v>
      </c>
      <c r="N134">
        <v>2.45353272882366E-2</v>
      </c>
      <c r="O134" s="1">
        <v>7.3170698738196798E-5</v>
      </c>
      <c r="P134" s="1">
        <v>4.5690235048519099E-8</v>
      </c>
      <c r="Q134">
        <v>1.6627608620725501E-2</v>
      </c>
      <c r="R134">
        <v>0</v>
      </c>
      <c r="S134" s="1">
        <v>2.34307385610224E-7</v>
      </c>
      <c r="T134">
        <v>7.0673446674329093E-2</v>
      </c>
      <c r="U134">
        <v>8.5925427537150295E-3</v>
      </c>
      <c r="V134" t="s">
        <v>80</v>
      </c>
      <c r="W134">
        <v>10717786.414116399</v>
      </c>
      <c r="X134" t="s">
        <v>76</v>
      </c>
      <c r="Y134">
        <v>-1.5707963267949001</v>
      </c>
      <c r="Z134">
        <v>0.42258284556464298</v>
      </c>
      <c r="AA134">
        <v>1.5523779046736999E-4</v>
      </c>
      <c r="AB134">
        <v>2.43367637590522E-2</v>
      </c>
      <c r="AC134">
        <v>1.39410911292E-4</v>
      </c>
      <c r="AD134">
        <v>0</v>
      </c>
      <c r="AE134">
        <v>1.8239513512308601E-2</v>
      </c>
      <c r="AF134">
        <v>0</v>
      </c>
      <c r="AG134">
        <v>0</v>
      </c>
      <c r="AH134">
        <v>0.69176167152841195</v>
      </c>
      <c r="AI134">
        <v>3.8266387850900203E-2</v>
      </c>
      <c r="AJ134" t="s">
        <v>74</v>
      </c>
      <c r="AK134">
        <v>0</v>
      </c>
      <c r="AL134" t="s">
        <v>77</v>
      </c>
      <c r="AM134">
        <v>0</v>
      </c>
      <c r="AN134">
        <v>0.99199999999999999</v>
      </c>
      <c r="AO134">
        <v>0</v>
      </c>
      <c r="AP134">
        <v>5.8245346242475203E-2</v>
      </c>
      <c r="AQ134">
        <v>0</v>
      </c>
      <c r="AR134">
        <v>1.6E-2</v>
      </c>
      <c r="AS134">
        <v>0</v>
      </c>
      <c r="AT134">
        <v>0</v>
      </c>
      <c r="AU134">
        <v>0</v>
      </c>
      <c r="AV134">
        <v>0</v>
      </c>
      <c r="AW134">
        <v>1</v>
      </c>
      <c r="AX134" t="s">
        <v>74</v>
      </c>
      <c r="AY134">
        <v>0</v>
      </c>
      <c r="AZ134" t="s">
        <v>76</v>
      </c>
      <c r="BA134">
        <v>-1.5707963267949001</v>
      </c>
      <c r="BB134">
        <v>0.99199999999999999</v>
      </c>
      <c r="BC134">
        <v>0</v>
      </c>
      <c r="BD134">
        <v>5.8245346242475203E-2</v>
      </c>
      <c r="BE134">
        <v>0</v>
      </c>
      <c r="BF134">
        <v>1.6E-2</v>
      </c>
      <c r="BG134">
        <v>0</v>
      </c>
      <c r="BH134">
        <v>0</v>
      </c>
      <c r="BI134">
        <v>0</v>
      </c>
      <c r="BJ134">
        <v>0</v>
      </c>
      <c r="BK134">
        <v>1</v>
      </c>
      <c r="BL134" s="1">
        <v>8.2787682571134697E-5</v>
      </c>
      <c r="BM134">
        <v>3.8121767625506301E-4</v>
      </c>
      <c r="BN134" s="1">
        <v>3.0750143813414799E-7</v>
      </c>
      <c r="BO134" s="1">
        <v>5.9881532557073903E-6</v>
      </c>
      <c r="BP134" s="1">
        <v>2.09935096168519E-6</v>
      </c>
      <c r="BQ134" s="1">
        <v>4.0383368845056998E-5</v>
      </c>
      <c r="BR134" s="1">
        <v>5.4596412819730599E-5</v>
      </c>
      <c r="BS134">
        <v>2.9207996369688298E-4</v>
      </c>
    </row>
    <row r="135" spans="1:71" x14ac:dyDescent="0.25">
      <c r="A135">
        <v>132</v>
      </c>
      <c r="B135">
        <v>9.0429916744614609E-3</v>
      </c>
      <c r="C135">
        <v>0.398962028776634</v>
      </c>
      <c r="D135">
        <v>-1.2881319798819599E-3</v>
      </c>
      <c r="E135">
        <v>6.1312499999999995E-4</v>
      </c>
      <c r="F135">
        <v>-3.9896202877663404E-3</v>
      </c>
      <c r="G135">
        <v>0</v>
      </c>
      <c r="H135" t="s">
        <v>80</v>
      </c>
      <c r="I135">
        <v>3930074.4520742302</v>
      </c>
      <c r="J135" t="s">
        <v>75</v>
      </c>
      <c r="K135">
        <v>3.14159265358979</v>
      </c>
      <c r="L135">
        <v>0.422579298885919</v>
      </c>
      <c r="M135">
        <v>4.0194969176895199E-4</v>
      </c>
      <c r="N135">
        <v>2.4334507592433201E-2</v>
      </c>
      <c r="O135">
        <v>3.1610752371329499E-4</v>
      </c>
      <c r="P135">
        <v>0</v>
      </c>
      <c r="Q135">
        <v>1.6627608620725501E-2</v>
      </c>
      <c r="R135">
        <v>0</v>
      </c>
      <c r="S135">
        <v>0</v>
      </c>
      <c r="T135">
        <v>7.0673680981714698E-2</v>
      </c>
      <c r="U135">
        <v>8.5925427537150295E-3</v>
      </c>
      <c r="V135" t="s">
        <v>80</v>
      </c>
      <c r="W135">
        <v>10758138.807932399</v>
      </c>
      <c r="X135" t="s">
        <v>76</v>
      </c>
      <c r="Y135">
        <v>-1.5707963267949001</v>
      </c>
      <c r="Z135">
        <v>0.42258284556464298</v>
      </c>
      <c r="AA135">
        <v>1.5523779046736999E-4</v>
      </c>
      <c r="AB135">
        <v>2.43367637590522E-2</v>
      </c>
      <c r="AC135">
        <v>1.39410911292E-4</v>
      </c>
      <c r="AD135">
        <v>0</v>
      </c>
      <c r="AE135">
        <v>1.8239513512308601E-2</v>
      </c>
      <c r="AF135">
        <v>0</v>
      </c>
      <c r="AG135">
        <v>0</v>
      </c>
      <c r="AH135">
        <v>0.69176167152841195</v>
      </c>
      <c r="AI135">
        <v>3.8266387850900203E-2</v>
      </c>
      <c r="AJ135" t="s">
        <v>74</v>
      </c>
      <c r="AK135">
        <v>0</v>
      </c>
      <c r="AL135" t="s">
        <v>77</v>
      </c>
      <c r="AM135">
        <v>0</v>
      </c>
      <c r="AN135">
        <v>0.99199999999999999</v>
      </c>
      <c r="AO135">
        <v>0</v>
      </c>
      <c r="AP135">
        <v>5.8245346242475203E-2</v>
      </c>
      <c r="AQ135">
        <v>0</v>
      </c>
      <c r="AR135">
        <v>1.6E-2</v>
      </c>
      <c r="AS135">
        <v>0</v>
      </c>
      <c r="AT135">
        <v>0</v>
      </c>
      <c r="AU135">
        <v>0</v>
      </c>
      <c r="AV135">
        <v>0</v>
      </c>
      <c r="AW135">
        <v>1</v>
      </c>
      <c r="AX135" t="s">
        <v>74</v>
      </c>
      <c r="AY135">
        <v>0</v>
      </c>
      <c r="AZ135" t="s">
        <v>76</v>
      </c>
      <c r="BA135">
        <v>-1.5707963267949001</v>
      </c>
      <c r="BB135">
        <v>0.99199999999999999</v>
      </c>
      <c r="BC135">
        <v>0</v>
      </c>
      <c r="BD135">
        <v>5.8245346242475203E-2</v>
      </c>
      <c r="BE135">
        <v>0</v>
      </c>
      <c r="BF135">
        <v>1.6E-2</v>
      </c>
      <c r="BG135">
        <v>0</v>
      </c>
      <c r="BH135">
        <v>0</v>
      </c>
      <c r="BI135">
        <v>0</v>
      </c>
      <c r="BJ135">
        <v>0</v>
      </c>
      <c r="BK135">
        <v>1</v>
      </c>
      <c r="BL135" s="1">
        <v>8.28087411357205E-5</v>
      </c>
      <c r="BM135">
        <v>3.8121767625506301E-4</v>
      </c>
      <c r="BN135" s="1">
        <v>3.0781243735131401E-7</v>
      </c>
      <c r="BO135" s="1">
        <v>5.9881532557073903E-6</v>
      </c>
      <c r="BP135" s="1">
        <v>2.1409267775917001E-6</v>
      </c>
      <c r="BQ135" s="1">
        <v>4.0902480194436002E-5</v>
      </c>
      <c r="BR135" s="1">
        <v>5.46475237757962E-5</v>
      </c>
      <c r="BS135">
        <v>2.9258527994024502E-4</v>
      </c>
    </row>
    <row r="136" spans="1:71" x14ac:dyDescent="0.25">
      <c r="A136">
        <v>133</v>
      </c>
      <c r="B136">
        <v>0.2</v>
      </c>
      <c r="C136">
        <v>0.59896202877663396</v>
      </c>
      <c r="D136">
        <v>-1.3868750000000001E-3</v>
      </c>
      <c r="E136">
        <v>6.1312499999999995E-4</v>
      </c>
      <c r="F136">
        <v>-5.9896202877663396E-3</v>
      </c>
      <c r="G136" s="1">
        <v>4.3368086899420197E-19</v>
      </c>
      <c r="H136" t="s">
        <v>80</v>
      </c>
      <c r="I136">
        <v>4983333.3333333302</v>
      </c>
      <c r="J136" t="s">
        <v>75</v>
      </c>
      <c r="K136">
        <v>3.14159265358979</v>
      </c>
      <c r="L136">
        <v>0.422579298885919</v>
      </c>
      <c r="M136">
        <v>4.0194969176895199E-4</v>
      </c>
      <c r="N136">
        <v>2.4334507592433201E-2</v>
      </c>
      <c r="O136">
        <v>3.1610752371329499E-4</v>
      </c>
      <c r="P136">
        <v>0</v>
      </c>
      <c r="Q136">
        <v>1.6627608620725501E-2</v>
      </c>
      <c r="R136">
        <v>0</v>
      </c>
      <c r="S136">
        <v>0</v>
      </c>
      <c r="T136">
        <v>7.0673680981714698E-2</v>
      </c>
      <c r="U136">
        <v>8.5925427537150295E-3</v>
      </c>
      <c r="V136" t="s">
        <v>80</v>
      </c>
      <c r="W136">
        <v>11610243.142347399</v>
      </c>
      <c r="X136" t="s">
        <v>76</v>
      </c>
      <c r="Y136">
        <v>-1.5707963267949001</v>
      </c>
      <c r="Z136">
        <v>0.42258284556464298</v>
      </c>
      <c r="AA136">
        <v>1.5523779046736999E-4</v>
      </c>
      <c r="AB136">
        <v>2.43367637590522E-2</v>
      </c>
      <c r="AC136">
        <v>1.39410911292E-4</v>
      </c>
      <c r="AD136">
        <v>0</v>
      </c>
      <c r="AE136">
        <v>1.8239513512308601E-2</v>
      </c>
      <c r="AF136">
        <v>0</v>
      </c>
      <c r="AG136">
        <v>0</v>
      </c>
      <c r="AH136">
        <v>0.69176167152841195</v>
      </c>
      <c r="AI136">
        <v>3.8266387850900203E-2</v>
      </c>
      <c r="AJ136" t="s">
        <v>74</v>
      </c>
      <c r="AK136">
        <v>0</v>
      </c>
      <c r="AL136" t="s">
        <v>77</v>
      </c>
      <c r="AM136">
        <v>0</v>
      </c>
      <c r="AN136">
        <v>0.99199999999999999</v>
      </c>
      <c r="AO136">
        <v>0</v>
      </c>
      <c r="AP136">
        <v>5.8245346242475203E-2</v>
      </c>
      <c r="AQ136">
        <v>0</v>
      </c>
      <c r="AR136">
        <v>1.6E-2</v>
      </c>
      <c r="AS136">
        <v>0</v>
      </c>
      <c r="AT136">
        <v>0</v>
      </c>
      <c r="AU136">
        <v>0</v>
      </c>
      <c r="AV136">
        <v>0</v>
      </c>
      <c r="AW136">
        <v>1</v>
      </c>
      <c r="AX136" t="s">
        <v>74</v>
      </c>
      <c r="AY136">
        <v>0</v>
      </c>
      <c r="AZ136" t="s">
        <v>76</v>
      </c>
      <c r="BA136">
        <v>-1.5707963267949001</v>
      </c>
      <c r="BB136">
        <v>0.99199999999999999</v>
      </c>
      <c r="BC136">
        <v>0</v>
      </c>
      <c r="BD136">
        <v>5.8245346242475203E-2</v>
      </c>
      <c r="BE136">
        <v>0</v>
      </c>
      <c r="BF136">
        <v>1.6E-2</v>
      </c>
      <c r="BG136">
        <v>0</v>
      </c>
      <c r="BH136">
        <v>0</v>
      </c>
      <c r="BI136">
        <v>0</v>
      </c>
      <c r="BJ136">
        <v>0</v>
      </c>
      <c r="BK136">
        <v>1</v>
      </c>
      <c r="BL136" s="1">
        <v>8.28087411357205E-5</v>
      </c>
      <c r="BM136">
        <v>3.8121767625506301E-4</v>
      </c>
      <c r="BN136" s="1">
        <v>3.0781243735131401E-7</v>
      </c>
      <c r="BO136" s="1">
        <v>5.9881532557073903E-6</v>
      </c>
      <c r="BP136" s="1">
        <v>2.7146945700653901E-6</v>
      </c>
      <c r="BQ136" s="1">
        <v>5.1864333730716202E-5</v>
      </c>
      <c r="BR136" s="1">
        <v>5.5238961769557199E-5</v>
      </c>
      <c r="BS136">
        <v>3.0449999348999802E-4</v>
      </c>
    </row>
    <row r="137" spans="1:71" x14ac:dyDescent="0.25">
      <c r="A137">
        <v>134</v>
      </c>
      <c r="B137">
        <v>0</v>
      </c>
      <c r="C137">
        <v>0.59896202877663396</v>
      </c>
      <c r="D137">
        <v>-1.3868750000000001E-3</v>
      </c>
      <c r="E137">
        <v>6.1312499999999995E-4</v>
      </c>
      <c r="F137">
        <v>-5.9896202877663396E-3</v>
      </c>
      <c r="G137" s="1">
        <v>4.3368086899420197E-19</v>
      </c>
      <c r="H137" t="s">
        <v>80</v>
      </c>
      <c r="I137">
        <v>4983333.3333333302</v>
      </c>
      <c r="J137" t="s">
        <v>75</v>
      </c>
      <c r="K137">
        <v>3.14159265358979</v>
      </c>
      <c r="L137">
        <v>0.422579298885919</v>
      </c>
      <c r="M137">
        <v>4.0194969176895199E-4</v>
      </c>
      <c r="N137">
        <v>2.4334507592433201E-2</v>
      </c>
      <c r="O137">
        <v>3.1610752371329499E-4</v>
      </c>
      <c r="P137">
        <v>0</v>
      </c>
      <c r="Q137">
        <v>1.6627608620725501E-2</v>
      </c>
      <c r="R137">
        <v>0</v>
      </c>
      <c r="S137">
        <v>0</v>
      </c>
      <c r="T137">
        <v>7.0673680981714698E-2</v>
      </c>
      <c r="U137">
        <v>8.5925427537150295E-3</v>
      </c>
      <c r="V137" t="s">
        <v>80</v>
      </c>
      <c r="W137">
        <v>11610243.142347399</v>
      </c>
      <c r="X137" t="s">
        <v>76</v>
      </c>
      <c r="Y137">
        <v>-1.5707963267949001</v>
      </c>
      <c r="Z137">
        <v>0.42258284556464298</v>
      </c>
      <c r="AA137">
        <v>1.5523779046736999E-4</v>
      </c>
      <c r="AB137">
        <v>2.43367637590522E-2</v>
      </c>
      <c r="AC137">
        <v>1.39410911292E-4</v>
      </c>
      <c r="AD137">
        <v>0</v>
      </c>
      <c r="AE137">
        <v>1.8239513512308601E-2</v>
      </c>
      <c r="AF137">
        <v>0</v>
      </c>
      <c r="AG137">
        <v>0</v>
      </c>
      <c r="AH137">
        <v>0.69176167152841195</v>
      </c>
      <c r="AI137">
        <v>3.8266387850900203E-2</v>
      </c>
      <c r="AJ137" t="s">
        <v>74</v>
      </c>
      <c r="AK137">
        <v>0</v>
      </c>
      <c r="AL137" t="s">
        <v>77</v>
      </c>
      <c r="AM137">
        <v>0</v>
      </c>
      <c r="AN137">
        <v>0.99199999999999999</v>
      </c>
      <c r="AO137">
        <v>0</v>
      </c>
      <c r="AP137">
        <v>5.8245346242475203E-2</v>
      </c>
      <c r="AQ137">
        <v>0</v>
      </c>
      <c r="AR137">
        <v>1.6E-2</v>
      </c>
      <c r="AS137">
        <v>0</v>
      </c>
      <c r="AT137">
        <v>0</v>
      </c>
      <c r="AU137">
        <v>0</v>
      </c>
      <c r="AV137">
        <v>0</v>
      </c>
      <c r="AW137">
        <v>1</v>
      </c>
      <c r="AX137" t="s">
        <v>74</v>
      </c>
      <c r="AY137">
        <v>0</v>
      </c>
      <c r="AZ137" t="s">
        <v>76</v>
      </c>
      <c r="BA137">
        <v>-1.5707963267949001</v>
      </c>
      <c r="BB137">
        <v>0.99199999999999999</v>
      </c>
      <c r="BC137">
        <v>0</v>
      </c>
      <c r="BD137">
        <v>5.8245346242475203E-2</v>
      </c>
      <c r="BE137">
        <v>0</v>
      </c>
      <c r="BF137">
        <v>1.6E-2</v>
      </c>
      <c r="BG137">
        <v>0</v>
      </c>
      <c r="BH137">
        <v>0</v>
      </c>
      <c r="BI137">
        <v>0</v>
      </c>
      <c r="BJ137">
        <v>0</v>
      </c>
      <c r="BK137">
        <v>1</v>
      </c>
      <c r="BL137" s="1">
        <v>8.28087411357205E-5</v>
      </c>
      <c r="BM137">
        <v>3.8121767625506301E-4</v>
      </c>
      <c r="BN137" s="1">
        <v>3.0781243735131401E-7</v>
      </c>
      <c r="BO137" s="1">
        <v>5.9881532557073903E-6</v>
      </c>
      <c r="BP137" s="1">
        <v>2.7146945700653901E-6</v>
      </c>
      <c r="BQ137" s="1">
        <v>5.1864333730716202E-5</v>
      </c>
      <c r="BR137" s="1">
        <v>5.5238961769557199E-5</v>
      </c>
      <c r="BS137">
        <v>3.0449999348999802E-4</v>
      </c>
    </row>
    <row r="138" spans="1:71" x14ac:dyDescent="0.25">
      <c r="A138" t="s">
        <v>68</v>
      </c>
    </row>
    <row r="139" spans="1:71" x14ac:dyDescent="0.25">
      <c r="A139" t="s">
        <v>9</v>
      </c>
      <c r="B139">
        <v>0</v>
      </c>
      <c r="C139">
        <v>0.28513528355999002</v>
      </c>
      <c r="D139">
        <v>0.651572697050816</v>
      </c>
      <c r="E139">
        <v>1.12249434634434</v>
      </c>
      <c r="F139">
        <v>1.72769237364371</v>
      </c>
      <c r="G139">
        <v>2.5054537120670299</v>
      </c>
      <c r="H139">
        <v>3.50498225026368</v>
      </c>
      <c r="I139">
        <v>4.7895116416253396</v>
      </c>
      <c r="J139">
        <v>6.4403056852340397</v>
      </c>
      <c r="K139">
        <v>8.5617993565662598</v>
      </c>
      <c r="L139">
        <v>11.288205727444501</v>
      </c>
      <c r="M139">
        <v>14.7920067519829</v>
      </c>
      <c r="N139">
        <v>19.294865075190799</v>
      </c>
      <c r="O139">
        <v>25.0816471832171</v>
      </c>
      <c r="P139">
        <v>32.518445048515296</v>
      </c>
      <c r="Q139">
        <v>42.0757363819137</v>
      </c>
      <c r="R139">
        <v>54.358148689726001</v>
      </c>
      <c r="S139">
        <v>70.142710113727105</v>
      </c>
      <c r="T139">
        <v>90.428006935230897</v>
      </c>
      <c r="U139">
        <v>116.49735761803301</v>
      </c>
      <c r="V139">
        <v>150</v>
      </c>
    </row>
    <row r="140" spans="1:71" x14ac:dyDescent="0.25">
      <c r="A140" t="s">
        <v>6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</row>
    <row r="141" spans="1:71" x14ac:dyDescent="0.25">
      <c r="A141" t="s">
        <v>7</v>
      </c>
      <c r="B141">
        <v>1.6627608620725501E-2</v>
      </c>
      <c r="C141">
        <v>1.6623408077742499E-2</v>
      </c>
      <c r="D141">
        <v>1.66073150905405E-2</v>
      </c>
      <c r="E141">
        <v>1.45176537938461E-2</v>
      </c>
      <c r="F141">
        <v>1.17530968640523E-2</v>
      </c>
      <c r="G141">
        <v>9.0873126082689094E-3</v>
      </c>
      <c r="H141">
        <v>6.6462839871412101E-3</v>
      </c>
      <c r="I141">
        <v>4.6588001648364998E-3</v>
      </c>
      <c r="J141">
        <v>3.0557704004949299E-3</v>
      </c>
      <c r="K141">
        <v>1.8686123543042699E-3</v>
      </c>
      <c r="L141">
        <v>1.0511974089430899E-3</v>
      </c>
      <c r="M141">
        <v>4.3961333674588199E-4</v>
      </c>
      <c r="N141">
        <v>2.9115355101673099E-4</v>
      </c>
      <c r="O141">
        <v>1.0063404897474499E-4</v>
      </c>
      <c r="P141" s="1">
        <v>6.7078450366739398E-9</v>
      </c>
      <c r="Q141" s="1">
        <v>1.0403881923973199E-9</v>
      </c>
      <c r="R141" s="1">
        <v>9.4846835070332404E-11</v>
      </c>
      <c r="S141" s="1">
        <v>4.3677761393249402E-12</v>
      </c>
      <c r="T141" s="1">
        <v>8.3625697445017696E-14</v>
      </c>
      <c r="U141" s="1">
        <v>5.1829778338988802E-16</v>
      </c>
      <c r="V141" s="1">
        <v>7.5389100583594295E-19</v>
      </c>
    </row>
    <row r="142" spans="1:71" x14ac:dyDescent="0.25">
      <c r="A142" t="s">
        <v>8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</row>
    <row r="143" spans="1:71" x14ac:dyDescent="0.25">
      <c r="A143" t="s">
        <v>41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</row>
    <row r="144" spans="1:71" x14ac:dyDescent="0.25">
      <c r="A144" t="s">
        <v>42</v>
      </c>
      <c r="B144">
        <v>7.0673680981714698E-2</v>
      </c>
      <c r="C144">
        <v>7.06725744444964E-2</v>
      </c>
      <c r="D144">
        <v>7.0664616570425998E-2</v>
      </c>
      <c r="E144">
        <v>6.8700354544802805E-2</v>
      </c>
      <c r="F144">
        <v>6.4796946379943904E-2</v>
      </c>
      <c r="G144">
        <v>5.9216319305779898E-2</v>
      </c>
      <c r="H144">
        <v>5.1954364128964897E-2</v>
      </c>
      <c r="I144">
        <v>4.3806161204063401E-2</v>
      </c>
      <c r="J144">
        <v>3.49538173566106E-2</v>
      </c>
      <c r="K144">
        <v>2.62357051464241E-2</v>
      </c>
      <c r="L144">
        <v>1.83507960303417E-2</v>
      </c>
      <c r="M144">
        <v>1.03817046610215E-2</v>
      </c>
      <c r="N144">
        <v>7.8532320492420305E-3</v>
      </c>
      <c r="O144">
        <v>3.6265563690765701E-3</v>
      </c>
      <c r="P144" s="1">
        <v>2.5555896876250701E-7</v>
      </c>
      <c r="Q144" s="1">
        <v>4.9699900924321702E-8</v>
      </c>
      <c r="R144" s="1">
        <v>5.7098158404371597E-9</v>
      </c>
      <c r="S144" s="1">
        <v>3.32712813294707E-10</v>
      </c>
      <c r="T144" s="1">
        <v>8.0868740141295807E-12</v>
      </c>
      <c r="U144" s="1">
        <v>6.3794941757730699E-14</v>
      </c>
      <c r="V144" s="1">
        <v>1.1835357649551699E-16</v>
      </c>
    </row>
    <row r="145" spans="1:24" x14ac:dyDescent="0.25">
      <c r="A145" t="s">
        <v>10</v>
      </c>
      <c r="B145">
        <v>0</v>
      </c>
      <c r="C145">
        <v>0.05</v>
      </c>
      <c r="D145">
        <v>0.1</v>
      </c>
      <c r="E145">
        <v>0.15</v>
      </c>
      <c r="F145">
        <v>0.2</v>
      </c>
      <c r="G145">
        <v>0.25</v>
      </c>
      <c r="H145">
        <v>0.3</v>
      </c>
      <c r="I145">
        <v>0.35</v>
      </c>
      <c r="J145">
        <v>0.4</v>
      </c>
      <c r="K145">
        <v>0.45</v>
      </c>
      <c r="L145">
        <v>0.5</v>
      </c>
    </row>
    <row r="146" spans="1:24" x14ac:dyDescent="0.25">
      <c r="A146" t="s">
        <v>2</v>
      </c>
      <c r="B146">
        <v>0.422579298885919</v>
      </c>
      <c r="C146">
        <v>0.422579298885919</v>
      </c>
      <c r="D146">
        <v>0.422579298885919</v>
      </c>
      <c r="E146">
        <v>0.122224232479271</v>
      </c>
      <c r="F146">
        <v>4.9111486051336799E-2</v>
      </c>
      <c r="G146">
        <v>2.3075444242297401E-2</v>
      </c>
      <c r="H146">
        <v>1.1567102750505801E-2</v>
      </c>
      <c r="I146">
        <v>5.71393512220376E-3</v>
      </c>
      <c r="J146">
        <v>2.4280094470140201E-3</v>
      </c>
      <c r="K146">
        <v>4.42855870877286E-4</v>
      </c>
      <c r="L146">
        <v>0</v>
      </c>
    </row>
    <row r="147" spans="1:24" x14ac:dyDescent="0.25">
      <c r="A147" t="s">
        <v>3</v>
      </c>
      <c r="B147">
        <v>4.0194969176895199E-4</v>
      </c>
      <c r="C147">
        <v>-3.9803976259205302E-4</v>
      </c>
      <c r="D147">
        <v>-3.9803976259205302E-4</v>
      </c>
      <c r="E147">
        <v>-3.9803976259205302E-4</v>
      </c>
      <c r="F147">
        <v>-3.9803976259205302E-4</v>
      </c>
      <c r="G147">
        <v>-3.9803976259205302E-4</v>
      </c>
      <c r="H147">
        <v>-3.9803976259205302E-4</v>
      </c>
      <c r="I147">
        <v>-3.9803976259205302E-4</v>
      </c>
      <c r="J147">
        <v>-3.9803976259205302E-4</v>
      </c>
      <c r="K147">
        <v>8.2022038747649596E-4</v>
      </c>
      <c r="L147">
        <v>5.7018763429980495E-4</v>
      </c>
    </row>
    <row r="148" spans="1:24" x14ac:dyDescent="0.25">
      <c r="A148" t="s">
        <v>11</v>
      </c>
      <c r="B148">
        <v>2.4334507592433201E-2</v>
      </c>
      <c r="C148">
        <v>2.4334507592433201E-2</v>
      </c>
      <c r="D148">
        <v>2.4334507592433201E-2</v>
      </c>
      <c r="E148">
        <v>1.48985748915172E-2</v>
      </c>
      <c r="F148">
        <v>9.7305393826273498E-3</v>
      </c>
      <c r="G148">
        <v>6.45875387559395E-3</v>
      </c>
      <c r="H148">
        <v>4.1990963077430101E-3</v>
      </c>
      <c r="I148">
        <v>2.54415214982572E-3</v>
      </c>
      <c r="J148">
        <v>1.279579754552E-3</v>
      </c>
      <c r="K148">
        <v>2.8173273198580599E-4</v>
      </c>
      <c r="L148">
        <v>0</v>
      </c>
    </row>
    <row r="149" spans="1:24" x14ac:dyDescent="0.25">
      <c r="A149" t="s">
        <v>12</v>
      </c>
      <c r="B149">
        <v>3.1610752371329499E-4</v>
      </c>
      <c r="C149" s="1">
        <v>-5.4760564889595897E-6</v>
      </c>
      <c r="D149" s="1">
        <v>-5.4760564889595897E-6</v>
      </c>
      <c r="E149" s="1">
        <v>-5.4760564889595897E-6</v>
      </c>
      <c r="F149" s="1">
        <v>-5.4760564889595897E-6</v>
      </c>
      <c r="G149" s="1">
        <v>-5.4760564889595897E-6</v>
      </c>
      <c r="H149" s="1">
        <v>-5.4760564889595897E-6</v>
      </c>
      <c r="I149" s="1">
        <v>-5.4760564889595897E-6</v>
      </c>
      <c r="J149" s="1">
        <v>-5.4760564889595897E-6</v>
      </c>
      <c r="K149">
        <v>6.0688828552968896E-4</v>
      </c>
      <c r="L149">
        <v>4.4782432077100301E-4</v>
      </c>
    </row>
    <row r="150" spans="1:24" x14ac:dyDescent="0.25">
      <c r="A150" t="s">
        <v>4</v>
      </c>
      <c r="B150">
        <v>4.4030722139355698E-3</v>
      </c>
      <c r="C150">
        <v>4.4030722139355698E-3</v>
      </c>
      <c r="D150">
        <v>4.4030722139355698E-3</v>
      </c>
      <c r="E150">
        <v>3.4594789438439702E-3</v>
      </c>
      <c r="F150">
        <v>2.6842736175104898E-3</v>
      </c>
      <c r="G150">
        <v>2.02991651610381E-3</v>
      </c>
      <c r="H150">
        <v>1.46500212414108E-3</v>
      </c>
      <c r="I150">
        <v>9.6851887676589201E-4</v>
      </c>
      <c r="J150">
        <v>5.2591853842008901E-4</v>
      </c>
      <c r="K150">
        <v>1.2677972939361301E-4</v>
      </c>
      <c r="L150">
        <v>0</v>
      </c>
    </row>
    <row r="151" spans="1:24" x14ac:dyDescent="0.25">
      <c r="A151" t="s">
        <v>5</v>
      </c>
      <c r="B151">
        <v>1.60654618469795E-4</v>
      </c>
      <c r="C151" s="1">
        <v>5.0545207719450803E-5</v>
      </c>
      <c r="D151" s="1">
        <v>5.0545207719450803E-5</v>
      </c>
      <c r="E151" s="1">
        <v>5.0545207719450803E-5</v>
      </c>
      <c r="F151" s="1">
        <v>5.0545207719450803E-5</v>
      </c>
      <c r="G151" s="1">
        <v>5.0545207719450803E-5</v>
      </c>
      <c r="H151" s="1">
        <v>5.0545207719450803E-5</v>
      </c>
      <c r="I151" s="1">
        <v>5.0545207719450803E-5</v>
      </c>
      <c r="J151" s="1">
        <v>5.0545207719450803E-5</v>
      </c>
      <c r="K151">
        <v>2.9549094452691E-4</v>
      </c>
      <c r="L151">
        <v>2.2391216038550099E-4</v>
      </c>
    </row>
    <row r="152" spans="1:24" x14ac:dyDescent="0.25">
      <c r="A152" t="s">
        <v>69</v>
      </c>
    </row>
    <row r="153" spans="1:24" x14ac:dyDescent="0.25">
      <c r="A153" t="s">
        <v>9</v>
      </c>
      <c r="B153">
        <v>0</v>
      </c>
      <c r="C153">
        <v>0.28513528355999002</v>
      </c>
      <c r="D153">
        <v>0.651572697050816</v>
      </c>
      <c r="E153">
        <v>1.12249434634434</v>
      </c>
      <c r="F153">
        <v>1.72769237364371</v>
      </c>
      <c r="G153">
        <v>2.5054537120670299</v>
      </c>
      <c r="H153">
        <v>3.50498225026368</v>
      </c>
      <c r="I153">
        <v>4.7895116416253396</v>
      </c>
      <c r="J153">
        <v>6.4403056852340397</v>
      </c>
      <c r="K153">
        <v>8.5617993565662598</v>
      </c>
      <c r="L153">
        <v>11.288205727444501</v>
      </c>
      <c r="M153">
        <v>14.7920067519829</v>
      </c>
      <c r="N153">
        <v>19.294865075190799</v>
      </c>
      <c r="O153">
        <v>25.0816471832171</v>
      </c>
      <c r="P153">
        <v>32.518445048515296</v>
      </c>
      <c r="Q153">
        <v>42.0757363819137</v>
      </c>
      <c r="R153">
        <v>54.358148689726001</v>
      </c>
      <c r="S153">
        <v>70.142710113727105</v>
      </c>
      <c r="T153">
        <v>90.428006935230897</v>
      </c>
      <c r="U153">
        <v>116.49735761803301</v>
      </c>
      <c r="V153">
        <v>150</v>
      </c>
    </row>
    <row r="154" spans="1:24" x14ac:dyDescent="0.25">
      <c r="A154" t="s">
        <v>6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 s="1"/>
    </row>
    <row r="155" spans="1:24" x14ac:dyDescent="0.25">
      <c r="A155" t="s">
        <v>7</v>
      </c>
      <c r="B155">
        <v>1.8239513512308601E-2</v>
      </c>
      <c r="C155">
        <v>1.8229384142025799E-2</v>
      </c>
      <c r="D155">
        <v>1.8085646444533698E-2</v>
      </c>
      <c r="E155">
        <v>1.7846579998749799E-2</v>
      </c>
      <c r="F155">
        <v>1.75428458696834E-2</v>
      </c>
      <c r="G155">
        <v>1.71587102157146E-2</v>
      </c>
      <c r="H155">
        <v>1.66765718433E-2</v>
      </c>
      <c r="I155">
        <v>1.6076963601926599E-2</v>
      </c>
      <c r="J155">
        <v>1.5339050306304501E-2</v>
      </c>
      <c r="K155">
        <v>1.44433492970576E-2</v>
      </c>
      <c r="L155">
        <v>1.3374796359686299E-2</v>
      </c>
      <c r="M155">
        <v>1.2127090374313899E-2</v>
      </c>
      <c r="N155">
        <v>1.0707194151304901E-2</v>
      </c>
      <c r="O155">
        <v>9.1430666753573604E-3</v>
      </c>
      <c r="P155">
        <v>7.4881102194059397E-3</v>
      </c>
      <c r="Q155">
        <v>5.8215669616727399E-3</v>
      </c>
      <c r="R155">
        <v>4.2414614963610401E-3</v>
      </c>
      <c r="S155">
        <v>2.8500697557338802E-3</v>
      </c>
      <c r="T155">
        <v>1.7298043310120001E-3</v>
      </c>
      <c r="U155">
        <v>9.1849787451413504E-4</v>
      </c>
      <c r="V155">
        <v>4.1058518336510997E-4</v>
      </c>
      <c r="W155" s="1"/>
    </row>
    <row r="156" spans="1:24" x14ac:dyDescent="0.25">
      <c r="A156" t="s">
        <v>8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</row>
    <row r="157" spans="1:24" x14ac:dyDescent="0.25">
      <c r="A157" t="s">
        <v>41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 s="1"/>
      <c r="X157" s="1"/>
    </row>
    <row r="158" spans="1:24" x14ac:dyDescent="0.25">
      <c r="A158" t="s">
        <v>42</v>
      </c>
      <c r="B158">
        <v>0.69176167152841195</v>
      </c>
      <c r="C158">
        <v>0.69170287901572203</v>
      </c>
      <c r="D158">
        <v>0.69162981882615004</v>
      </c>
      <c r="E158">
        <v>0.69141820892056305</v>
      </c>
      <c r="F158">
        <v>0.690986358315414</v>
      </c>
      <c r="G158">
        <v>0.69017536732769502</v>
      </c>
      <c r="H158">
        <v>0.68873031072673196</v>
      </c>
      <c r="I158">
        <v>0.68625073864627895</v>
      </c>
      <c r="J158">
        <v>0.682120481571034</v>
      </c>
      <c r="K158">
        <v>0.67542509543263596</v>
      </c>
      <c r="L158">
        <v>0.66486067234049195</v>
      </c>
      <c r="M158">
        <v>0.648661666107612</v>
      </c>
      <c r="N158">
        <v>0.62458381036301402</v>
      </c>
      <c r="O158">
        <v>0.59008214262548497</v>
      </c>
      <c r="P158">
        <v>0.54274743030020001</v>
      </c>
      <c r="Q158">
        <v>0.48109429488724298</v>
      </c>
      <c r="R158">
        <v>0.405632712228301</v>
      </c>
      <c r="S158">
        <v>0.31998906948095701</v>
      </c>
      <c r="T158">
        <v>0.23123048591404799</v>
      </c>
      <c r="U158">
        <v>0.14859759990956001</v>
      </c>
      <c r="V158">
        <v>8.2156164691007699E-2</v>
      </c>
      <c r="W158" s="1"/>
    </row>
    <row r="159" spans="1:24" x14ac:dyDescent="0.25">
      <c r="A159" t="s">
        <v>10</v>
      </c>
      <c r="B159">
        <v>0</v>
      </c>
      <c r="C159">
        <v>0.05</v>
      </c>
      <c r="D159">
        <v>0.1</v>
      </c>
      <c r="E159">
        <v>0.15</v>
      </c>
      <c r="F159">
        <v>0.2</v>
      </c>
      <c r="G159">
        <v>0.25</v>
      </c>
      <c r="H159">
        <v>0.3</v>
      </c>
      <c r="I159">
        <v>0.35</v>
      </c>
      <c r="J159">
        <v>0.4</v>
      </c>
      <c r="K159">
        <v>0.45</v>
      </c>
      <c r="L159">
        <v>0.5</v>
      </c>
    </row>
    <row r="160" spans="1:24" x14ac:dyDescent="0.25">
      <c r="A160" t="s">
        <v>2</v>
      </c>
      <c r="B160">
        <v>0.42258284556464298</v>
      </c>
      <c r="C160">
        <v>0.42258284556464298</v>
      </c>
      <c r="D160">
        <v>0.42258284556464298</v>
      </c>
      <c r="E160">
        <v>0.122227779157995</v>
      </c>
      <c r="F160">
        <v>4.9115032730061202E-2</v>
      </c>
      <c r="G160">
        <v>2.30789909210217E-2</v>
      </c>
      <c r="H160">
        <v>1.1570649429230201E-2</v>
      </c>
      <c r="I160">
        <v>5.7174818009281501E-3</v>
      </c>
      <c r="J160">
        <v>2.4315561257384202E-3</v>
      </c>
      <c r="K160">
        <v>4.4640155426053902E-4</v>
      </c>
      <c r="L160">
        <v>0</v>
      </c>
    </row>
    <row r="161" spans="1:22" x14ac:dyDescent="0.25">
      <c r="A161" t="s">
        <v>3</v>
      </c>
      <c r="B161">
        <v>1.5523779046736999E-4</v>
      </c>
      <c r="C161">
        <v>-3.8338233200030298E-3</v>
      </c>
      <c r="D161">
        <v>-3.8338233200030298E-3</v>
      </c>
      <c r="E161">
        <v>-3.8338233200030298E-3</v>
      </c>
      <c r="F161">
        <v>-3.8338233200030298E-3</v>
      </c>
      <c r="G161">
        <v>-3.8338233200030298E-3</v>
      </c>
      <c r="H161">
        <v>-3.8338233200030298E-3</v>
      </c>
      <c r="I161">
        <v>-3.8338233200030298E-3</v>
      </c>
      <c r="J161">
        <v>-3.8338233200030298E-3</v>
      </c>
      <c r="K161">
        <v>1.2379537512892599E-3</v>
      </c>
      <c r="L161">
        <v>3.0718335557941697E-4</v>
      </c>
    </row>
    <row r="162" spans="1:22" x14ac:dyDescent="0.25">
      <c r="A162" t="s">
        <v>11</v>
      </c>
      <c r="B162">
        <v>2.43367637590522E-2</v>
      </c>
      <c r="C162">
        <v>2.43367637590522E-2</v>
      </c>
      <c r="D162">
        <v>2.43367637590522E-2</v>
      </c>
      <c r="E162">
        <v>1.4900831058136201E-2</v>
      </c>
      <c r="F162">
        <v>9.7327955492463002E-3</v>
      </c>
      <c r="G162">
        <v>6.4610100422129004E-3</v>
      </c>
      <c r="H162">
        <v>4.2013524743619701E-3</v>
      </c>
      <c r="I162">
        <v>2.54640831644467E-3</v>
      </c>
      <c r="J162">
        <v>1.2818359211709499E-3</v>
      </c>
      <c r="K162">
        <v>2.8398839829173498E-4</v>
      </c>
      <c r="L162">
        <v>0</v>
      </c>
    </row>
    <row r="163" spans="1:22" x14ac:dyDescent="0.25">
      <c r="A163" t="s">
        <v>12</v>
      </c>
      <c r="B163">
        <v>1.39410911292E-4</v>
      </c>
      <c r="C163">
        <v>-1.71596142969085E-3</v>
      </c>
      <c r="D163">
        <v>-1.71596142969085E-3</v>
      </c>
      <c r="E163">
        <v>-1.71596142969085E-3</v>
      </c>
      <c r="F163">
        <v>-1.71596142969085E-3</v>
      </c>
      <c r="G163">
        <v>-1.71596142969085E-3</v>
      </c>
      <c r="H163">
        <v>-1.71596142969085E-3</v>
      </c>
      <c r="I163">
        <v>-1.71596142969085E-3</v>
      </c>
      <c r="J163">
        <v>-1.71596142969085E-3</v>
      </c>
      <c r="K163">
        <v>8.3339178435987095E-4</v>
      </c>
      <c r="L163">
        <v>2.4126124329833999E-4</v>
      </c>
    </row>
    <row r="164" spans="1:22" x14ac:dyDescent="0.25">
      <c r="A164" t="s">
        <v>4</v>
      </c>
      <c r="B164">
        <v>4.4040874638984501E-3</v>
      </c>
      <c r="C164">
        <v>4.4040874638984501E-3</v>
      </c>
      <c r="D164">
        <v>4.4040874638984501E-3</v>
      </c>
      <c r="E164">
        <v>3.4604941938068501E-3</v>
      </c>
      <c r="F164">
        <v>2.6852888674733701E-3</v>
      </c>
      <c r="G164">
        <v>2.0309317660666898E-3</v>
      </c>
      <c r="H164">
        <v>1.4660173741039601E-3</v>
      </c>
      <c r="I164">
        <v>9.6953412672877003E-4</v>
      </c>
      <c r="J164">
        <v>5.2693378838296703E-4</v>
      </c>
      <c r="K164">
        <v>1.2779477923128101E-4</v>
      </c>
      <c r="L164">
        <v>0</v>
      </c>
    </row>
    <row r="165" spans="1:22" x14ac:dyDescent="0.25">
      <c r="A165" t="s">
        <v>5</v>
      </c>
      <c r="B165" s="1">
        <v>7.2769130957241098E-5</v>
      </c>
      <c r="C165">
        <v>-6.3265192049342901E-4</v>
      </c>
      <c r="D165">
        <v>-6.3265192049342901E-4</v>
      </c>
      <c r="E165">
        <v>-6.3265192049342901E-4</v>
      </c>
      <c r="F165">
        <v>-6.3265192049342901E-4</v>
      </c>
      <c r="G165">
        <v>-6.3265192049342901E-4</v>
      </c>
      <c r="H165">
        <v>-6.3265192049342901E-4</v>
      </c>
      <c r="I165">
        <v>-6.3265192049342901E-4</v>
      </c>
      <c r="J165">
        <v>-6.3265192049342901E-4</v>
      </c>
      <c r="K165">
        <v>3.87089365126859E-4</v>
      </c>
      <c r="L165">
        <v>1.2063062164917E-4</v>
      </c>
    </row>
    <row r="166" spans="1:22" x14ac:dyDescent="0.25">
      <c r="A166" t="s">
        <v>70</v>
      </c>
    </row>
    <row r="167" spans="1:22" x14ac:dyDescent="0.25">
      <c r="A167" t="s">
        <v>9</v>
      </c>
      <c r="B167">
        <v>0</v>
      </c>
      <c r="C167">
        <v>0.28513528355999002</v>
      </c>
      <c r="D167">
        <v>0.651572697050816</v>
      </c>
      <c r="E167">
        <v>1.12249434634434</v>
      </c>
      <c r="F167">
        <v>1.72769237364371</v>
      </c>
      <c r="G167">
        <v>2.5054537120670299</v>
      </c>
      <c r="H167">
        <v>3.50498225026368</v>
      </c>
      <c r="I167">
        <v>4.7895116416253396</v>
      </c>
      <c r="J167">
        <v>6.4403056852340397</v>
      </c>
      <c r="K167">
        <v>8.5617993565662598</v>
      </c>
      <c r="L167">
        <v>11.288205727444501</v>
      </c>
      <c r="M167">
        <v>14.7920067519829</v>
      </c>
      <c r="N167">
        <v>19.294865075190799</v>
      </c>
      <c r="O167">
        <v>25.0816471832171</v>
      </c>
      <c r="P167">
        <v>32.518445048515296</v>
      </c>
      <c r="Q167">
        <v>42.0757363819137</v>
      </c>
      <c r="R167">
        <v>54.358148689726001</v>
      </c>
      <c r="S167">
        <v>70.142710113727105</v>
      </c>
      <c r="T167">
        <v>90.428006935230897</v>
      </c>
      <c r="U167">
        <v>116.49735761803301</v>
      </c>
      <c r="V167">
        <v>150</v>
      </c>
    </row>
    <row r="168" spans="1:22" x14ac:dyDescent="0.25">
      <c r="A168" t="s">
        <v>6</v>
      </c>
      <c r="B168">
        <v>1.6E-2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</row>
    <row r="169" spans="1:22" x14ac:dyDescent="0.25">
      <c r="A169" t="s">
        <v>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</row>
    <row r="170" spans="1:22" x14ac:dyDescent="0.25">
      <c r="A170" t="s">
        <v>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</row>
    <row r="171" spans="1:22" x14ac:dyDescent="0.25">
      <c r="A171" t="s">
        <v>41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</row>
    <row r="172" spans="1:22" x14ac:dyDescent="0.25">
      <c r="A172" t="s">
        <v>42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</row>
    <row r="173" spans="1:22" x14ac:dyDescent="0.25">
      <c r="A173" t="s">
        <v>10</v>
      </c>
      <c r="B173">
        <v>0</v>
      </c>
      <c r="C173">
        <v>0.05</v>
      </c>
      <c r="D173">
        <v>0.1</v>
      </c>
      <c r="E173">
        <v>0.15</v>
      </c>
      <c r="F173">
        <v>0.2</v>
      </c>
      <c r="G173">
        <v>0.25</v>
      </c>
      <c r="H173">
        <v>0.3</v>
      </c>
      <c r="I173">
        <v>0.35</v>
      </c>
      <c r="J173">
        <v>0.4</v>
      </c>
      <c r="K173">
        <v>0.45</v>
      </c>
      <c r="L173">
        <v>0.5</v>
      </c>
    </row>
    <row r="174" spans="1:22" x14ac:dyDescent="0.25">
      <c r="A174" t="s">
        <v>2</v>
      </c>
      <c r="B174">
        <v>0.99199999999999999</v>
      </c>
      <c r="C174">
        <v>0.99199999999999999</v>
      </c>
      <c r="D174">
        <v>0.99199999999999999</v>
      </c>
      <c r="E174">
        <v>0.288296296296296</v>
      </c>
      <c r="F174">
        <v>0.11700000000000001</v>
      </c>
      <c r="G174">
        <v>5.6000000000000001E-2</v>
      </c>
      <c r="H174">
        <v>2.9037037037037E-2</v>
      </c>
      <c r="I174">
        <v>1.5323615160349901E-2</v>
      </c>
      <c r="J174">
        <v>7.6249999999999998E-3</v>
      </c>
      <c r="K174">
        <v>2.97393689986283E-3</v>
      </c>
      <c r="L174">
        <v>0</v>
      </c>
    </row>
    <row r="175" spans="1:22" x14ac:dyDescent="0.25">
      <c r="A175" t="s">
        <v>3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</row>
    <row r="176" spans="1:22" x14ac:dyDescent="0.25">
      <c r="A176" t="s">
        <v>11</v>
      </c>
      <c r="B176">
        <v>5.8245346242475203E-2</v>
      </c>
      <c r="C176">
        <v>5.8245346242475203E-2</v>
      </c>
      <c r="D176">
        <v>5.8245346242475203E-2</v>
      </c>
      <c r="E176">
        <v>3.6137842383880403E-2</v>
      </c>
      <c r="F176">
        <v>2.4029620698169701E-2</v>
      </c>
      <c r="G176">
        <v>1.63641346234106E-2</v>
      </c>
      <c r="H176">
        <v>1.10699692256945E-2</v>
      </c>
      <c r="I176">
        <v>7.1925905375904596E-3</v>
      </c>
      <c r="J176">
        <v>4.22981621584562E-3</v>
      </c>
      <c r="K176">
        <v>1.8919369091618501E-3</v>
      </c>
      <c r="L176">
        <v>0</v>
      </c>
    </row>
    <row r="177" spans="1:22" x14ac:dyDescent="0.25">
      <c r="A177" t="s">
        <v>12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</row>
    <row r="178" spans="1:22" x14ac:dyDescent="0.25">
      <c r="A178" t="s">
        <v>4</v>
      </c>
      <c r="B178">
        <v>1.0870330153935201E-2</v>
      </c>
      <c r="C178">
        <v>1.0870330153935201E-2</v>
      </c>
      <c r="D178">
        <v>1.0870330153935201E-2</v>
      </c>
      <c r="E178">
        <v>8.6595797680756904E-3</v>
      </c>
      <c r="F178">
        <v>6.8433465152190898E-3</v>
      </c>
      <c r="G178">
        <v>5.3102493002672698E-3</v>
      </c>
      <c r="H178">
        <v>3.9867079508382397E-3</v>
      </c>
      <c r="I178">
        <v>2.82349434440703E-3</v>
      </c>
      <c r="J178">
        <v>1.7865233317963399E-3</v>
      </c>
      <c r="K178">
        <v>8.5137160912283395E-4</v>
      </c>
      <c r="L178">
        <v>0</v>
      </c>
    </row>
    <row r="179" spans="1:22" x14ac:dyDescent="0.25">
      <c r="A179" t="s">
        <v>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</row>
    <row r="180" spans="1:22" x14ac:dyDescent="0.25">
      <c r="A180" t="s">
        <v>71</v>
      </c>
    </row>
    <row r="181" spans="1:22" x14ac:dyDescent="0.25">
      <c r="A181" t="s">
        <v>9</v>
      </c>
      <c r="B181">
        <v>0</v>
      </c>
      <c r="C181">
        <v>0.28513528355999002</v>
      </c>
      <c r="D181">
        <v>0.651572697050816</v>
      </c>
      <c r="E181">
        <v>1.12249434634434</v>
      </c>
      <c r="F181">
        <v>1.72769237364371</v>
      </c>
      <c r="G181">
        <v>2.5054537120670299</v>
      </c>
      <c r="H181">
        <v>3.50498225026368</v>
      </c>
      <c r="I181">
        <v>4.7895116416253396</v>
      </c>
      <c r="J181">
        <v>6.4403056852340397</v>
      </c>
      <c r="K181">
        <v>8.5617993565662598</v>
      </c>
      <c r="L181">
        <v>11.288205727444501</v>
      </c>
      <c r="M181">
        <v>14.7920067519829</v>
      </c>
      <c r="N181">
        <v>19.294865075190799</v>
      </c>
      <c r="O181">
        <v>25.0816471832171</v>
      </c>
      <c r="P181">
        <v>32.518445048515296</v>
      </c>
      <c r="Q181">
        <v>42.0757363819137</v>
      </c>
      <c r="R181">
        <v>54.358148689726001</v>
      </c>
      <c r="S181">
        <v>70.142710113727105</v>
      </c>
      <c r="T181">
        <v>90.428006935230897</v>
      </c>
      <c r="U181">
        <v>116.49735761803301</v>
      </c>
      <c r="V181">
        <v>150</v>
      </c>
    </row>
    <row r="182" spans="1:22" x14ac:dyDescent="0.25">
      <c r="A182" t="s">
        <v>6</v>
      </c>
      <c r="B182">
        <v>1.6E-2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</row>
    <row r="183" spans="1:22" x14ac:dyDescent="0.25">
      <c r="A183" t="s">
        <v>7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</row>
    <row r="184" spans="1:22" x14ac:dyDescent="0.25">
      <c r="A184" t="s">
        <v>8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</row>
    <row r="185" spans="1:22" x14ac:dyDescent="0.25">
      <c r="A185" t="s">
        <v>41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</row>
    <row r="186" spans="1:22" x14ac:dyDescent="0.25">
      <c r="A186" t="s">
        <v>42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</row>
    <row r="187" spans="1:22" x14ac:dyDescent="0.25">
      <c r="A187" t="s">
        <v>10</v>
      </c>
      <c r="B187">
        <v>0</v>
      </c>
      <c r="C187">
        <v>0.05</v>
      </c>
      <c r="D187">
        <v>0.1</v>
      </c>
      <c r="E187">
        <v>0.15</v>
      </c>
      <c r="F187">
        <v>0.2</v>
      </c>
      <c r="G187">
        <v>0.25</v>
      </c>
      <c r="H187">
        <v>0.3</v>
      </c>
      <c r="I187">
        <v>0.35</v>
      </c>
      <c r="J187">
        <v>0.4</v>
      </c>
      <c r="K187">
        <v>0.45</v>
      </c>
      <c r="L187">
        <v>0.5</v>
      </c>
    </row>
    <row r="188" spans="1:22" x14ac:dyDescent="0.25">
      <c r="A188" t="s">
        <v>2</v>
      </c>
      <c r="B188">
        <v>0.99199999999999999</v>
      </c>
      <c r="C188">
        <v>0.99199999999999999</v>
      </c>
      <c r="D188">
        <v>0.99199999999999999</v>
      </c>
      <c r="E188">
        <v>0.288296296296296</v>
      </c>
      <c r="F188">
        <v>0.11700000000000001</v>
      </c>
      <c r="G188">
        <v>5.6000000000000001E-2</v>
      </c>
      <c r="H188">
        <v>2.9037037037037E-2</v>
      </c>
      <c r="I188">
        <v>1.5323615160349901E-2</v>
      </c>
      <c r="J188">
        <v>7.6249999999999998E-3</v>
      </c>
      <c r="K188">
        <v>2.97393689986283E-3</v>
      </c>
      <c r="L188">
        <v>0</v>
      </c>
    </row>
    <row r="189" spans="1:22" x14ac:dyDescent="0.25">
      <c r="A189" t="s">
        <v>3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</row>
    <row r="190" spans="1:22" x14ac:dyDescent="0.25">
      <c r="A190" t="s">
        <v>11</v>
      </c>
      <c r="B190">
        <v>5.8245346242475203E-2</v>
      </c>
      <c r="C190">
        <v>5.8245346242475203E-2</v>
      </c>
      <c r="D190">
        <v>5.8245346242475203E-2</v>
      </c>
      <c r="E190">
        <v>3.6137842383880403E-2</v>
      </c>
      <c r="F190">
        <v>2.4029620698169701E-2</v>
      </c>
      <c r="G190">
        <v>1.63641346234106E-2</v>
      </c>
      <c r="H190">
        <v>1.10699692256945E-2</v>
      </c>
      <c r="I190">
        <v>7.1925905375904596E-3</v>
      </c>
      <c r="J190">
        <v>4.22981621584562E-3</v>
      </c>
      <c r="K190">
        <v>1.8919369091618501E-3</v>
      </c>
      <c r="L190">
        <v>0</v>
      </c>
    </row>
    <row r="191" spans="1:22" x14ac:dyDescent="0.25">
      <c r="A191" t="s">
        <v>12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</row>
    <row r="192" spans="1:22" x14ac:dyDescent="0.25">
      <c r="A192" t="s">
        <v>4</v>
      </c>
      <c r="B192">
        <v>1.0870330153935201E-2</v>
      </c>
      <c r="C192">
        <v>1.0870330153935201E-2</v>
      </c>
      <c r="D192">
        <v>1.0870330153935201E-2</v>
      </c>
      <c r="E192">
        <v>8.6595797680756904E-3</v>
      </c>
      <c r="F192">
        <v>6.8433465152190898E-3</v>
      </c>
      <c r="G192">
        <v>5.3102493002672698E-3</v>
      </c>
      <c r="H192">
        <v>3.9867079508382397E-3</v>
      </c>
      <c r="I192">
        <v>2.82349434440703E-3</v>
      </c>
      <c r="J192">
        <v>1.7865233317963399E-3</v>
      </c>
      <c r="K192">
        <v>8.5137160912283395E-4</v>
      </c>
      <c r="L192">
        <v>0</v>
      </c>
    </row>
    <row r="193" spans="1:22" x14ac:dyDescent="0.25">
      <c r="A193" t="s">
        <v>5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</row>
    <row r="195" spans="1:22" x14ac:dyDescent="0.25">
      <c r="A195" t="s">
        <v>28</v>
      </c>
    </row>
    <row r="196" spans="1:22" x14ac:dyDescent="0.25">
      <c r="A196" t="str">
        <f>A139</f>
        <v>Half-length</v>
      </c>
      <c r="B196">
        <f>MAX(B139,B153)</f>
        <v>0</v>
      </c>
      <c r="C196">
        <f t="shared" ref="C196:V196" si="0">MAX(C139,C153)</f>
        <v>0.28513528355999002</v>
      </c>
      <c r="D196">
        <f t="shared" si="0"/>
        <v>0.651572697050816</v>
      </c>
      <c r="E196">
        <f t="shared" si="0"/>
        <v>1.12249434634434</v>
      </c>
      <c r="F196">
        <f t="shared" si="0"/>
        <v>1.72769237364371</v>
      </c>
      <c r="G196">
        <f t="shared" si="0"/>
        <v>2.5054537120670299</v>
      </c>
      <c r="H196">
        <f t="shared" si="0"/>
        <v>3.50498225026368</v>
      </c>
      <c r="I196">
        <f t="shared" si="0"/>
        <v>4.7895116416253396</v>
      </c>
      <c r="J196">
        <f t="shared" si="0"/>
        <v>6.4403056852340397</v>
      </c>
      <c r="K196">
        <f t="shared" si="0"/>
        <v>8.5617993565662598</v>
      </c>
      <c r="L196">
        <f t="shared" si="0"/>
        <v>11.288205727444501</v>
      </c>
      <c r="M196">
        <f t="shared" si="0"/>
        <v>14.7920067519829</v>
      </c>
      <c r="N196">
        <f t="shared" si="0"/>
        <v>19.294865075190799</v>
      </c>
      <c r="O196">
        <f t="shared" si="0"/>
        <v>25.0816471832171</v>
      </c>
      <c r="P196">
        <f t="shared" si="0"/>
        <v>32.518445048515296</v>
      </c>
      <c r="Q196">
        <f t="shared" si="0"/>
        <v>42.0757363819137</v>
      </c>
      <c r="R196">
        <f t="shared" si="0"/>
        <v>54.358148689726001</v>
      </c>
      <c r="S196">
        <f t="shared" si="0"/>
        <v>70.142710113727105</v>
      </c>
      <c r="T196">
        <f t="shared" si="0"/>
        <v>90.428006935230897</v>
      </c>
      <c r="U196">
        <f t="shared" si="0"/>
        <v>116.49735761803301</v>
      </c>
      <c r="V196">
        <f t="shared" si="0"/>
        <v>150</v>
      </c>
    </row>
    <row r="197" spans="1:22" x14ac:dyDescent="0.25">
      <c r="A197" t="s">
        <v>57</v>
      </c>
      <c r="B197">
        <f>SUM(B140,B154)</f>
        <v>0</v>
      </c>
      <c r="C197">
        <f t="shared" ref="C197:V197" si="1">SUM(C140,C154)</f>
        <v>0</v>
      </c>
      <c r="D197">
        <f t="shared" si="1"/>
        <v>0</v>
      </c>
      <c r="E197">
        <f t="shared" si="1"/>
        <v>0</v>
      </c>
      <c r="F197">
        <f t="shared" si="1"/>
        <v>0</v>
      </c>
      <c r="G197">
        <f t="shared" si="1"/>
        <v>0</v>
      </c>
      <c r="H197">
        <f t="shared" si="1"/>
        <v>0</v>
      </c>
      <c r="I197">
        <f t="shared" si="1"/>
        <v>0</v>
      </c>
      <c r="J197">
        <f t="shared" si="1"/>
        <v>0</v>
      </c>
      <c r="K197">
        <f t="shared" si="1"/>
        <v>0</v>
      </c>
      <c r="L197">
        <f t="shared" si="1"/>
        <v>0</v>
      </c>
      <c r="M197">
        <f t="shared" si="1"/>
        <v>0</v>
      </c>
      <c r="N197">
        <f t="shared" si="1"/>
        <v>0</v>
      </c>
      <c r="O197">
        <f t="shared" si="1"/>
        <v>0</v>
      </c>
      <c r="P197">
        <f t="shared" si="1"/>
        <v>0</v>
      </c>
      <c r="Q197">
        <f t="shared" si="1"/>
        <v>0</v>
      </c>
      <c r="R197">
        <f t="shared" si="1"/>
        <v>0</v>
      </c>
      <c r="S197">
        <f t="shared" si="1"/>
        <v>0</v>
      </c>
      <c r="T197">
        <f t="shared" si="1"/>
        <v>0</v>
      </c>
      <c r="U197">
        <f t="shared" si="1"/>
        <v>0</v>
      </c>
      <c r="V197">
        <f t="shared" si="1"/>
        <v>0</v>
      </c>
    </row>
    <row r="198" spans="1:22" x14ac:dyDescent="0.25">
      <c r="A198" t="s">
        <v>56</v>
      </c>
      <c r="B198">
        <f>SUM(B140:B142,B154:B156)</f>
        <v>3.4867122133034098E-2</v>
      </c>
      <c r="C198">
        <f t="shared" ref="C198:V198" si="2">SUM(C140:C142,C154:C156)</f>
        <v>3.4852792219768294E-2</v>
      </c>
      <c r="D198">
        <f t="shared" si="2"/>
        <v>3.4692961535074202E-2</v>
      </c>
      <c r="E198">
        <f t="shared" si="2"/>
        <v>3.2364233792595898E-2</v>
      </c>
      <c r="F198">
        <f t="shared" si="2"/>
        <v>2.9295942733735699E-2</v>
      </c>
      <c r="G198">
        <f t="shared" si="2"/>
        <v>2.6246022823983507E-2</v>
      </c>
      <c r="H198">
        <f t="shared" si="2"/>
        <v>2.3322855830441212E-2</v>
      </c>
      <c r="I198">
        <f t="shared" si="2"/>
        <v>2.0735763766763098E-2</v>
      </c>
      <c r="J198">
        <f t="shared" si="2"/>
        <v>1.8394820706799431E-2</v>
      </c>
      <c r="K198">
        <f t="shared" si="2"/>
        <v>1.6311961651361871E-2</v>
      </c>
      <c r="L198">
        <f t="shared" si="2"/>
        <v>1.4425993768629389E-2</v>
      </c>
      <c r="M198">
        <f t="shared" si="2"/>
        <v>1.2566703711059781E-2</v>
      </c>
      <c r="N198">
        <f t="shared" si="2"/>
        <v>1.0998347702321632E-2</v>
      </c>
      <c r="O198">
        <f t="shared" si="2"/>
        <v>9.2437007243321052E-3</v>
      </c>
      <c r="P198">
        <f t="shared" si="2"/>
        <v>7.488116927250976E-3</v>
      </c>
      <c r="Q198">
        <f t="shared" si="2"/>
        <v>5.8215680020609322E-3</v>
      </c>
      <c r="R198">
        <f t="shared" si="2"/>
        <v>4.2414615912078754E-3</v>
      </c>
      <c r="S198">
        <f t="shared" si="2"/>
        <v>2.8500697601016563E-3</v>
      </c>
      <c r="T198">
        <f t="shared" si="2"/>
        <v>1.7298043310956257E-3</v>
      </c>
      <c r="U198">
        <f t="shared" si="2"/>
        <v>9.1849787451465329E-4</v>
      </c>
      <c r="V198">
        <f t="shared" si="2"/>
        <v>4.1058518336511073E-4</v>
      </c>
    </row>
    <row r="199" spans="1:22" x14ac:dyDescent="0.25">
      <c r="A199" t="s">
        <v>58</v>
      </c>
      <c r="B199">
        <f>SUM(B143,B157)</f>
        <v>0</v>
      </c>
      <c r="C199">
        <f t="shared" ref="C199:V199" si="3">SUM(C143,C157)</f>
        <v>0</v>
      </c>
      <c r="D199">
        <f t="shared" si="3"/>
        <v>0</v>
      </c>
      <c r="E199">
        <f t="shared" si="3"/>
        <v>0</v>
      </c>
      <c r="F199">
        <f t="shared" si="3"/>
        <v>0</v>
      </c>
      <c r="G199">
        <f t="shared" si="3"/>
        <v>0</v>
      </c>
      <c r="H199">
        <f t="shared" si="3"/>
        <v>0</v>
      </c>
      <c r="I199">
        <f t="shared" si="3"/>
        <v>0</v>
      </c>
      <c r="J199">
        <f t="shared" si="3"/>
        <v>0</v>
      </c>
      <c r="K199">
        <f t="shared" si="3"/>
        <v>0</v>
      </c>
      <c r="L199">
        <f t="shared" si="3"/>
        <v>0</v>
      </c>
      <c r="M199">
        <f t="shared" si="3"/>
        <v>0</v>
      </c>
      <c r="N199">
        <f t="shared" si="3"/>
        <v>0</v>
      </c>
      <c r="O199">
        <f t="shared" si="3"/>
        <v>0</v>
      </c>
      <c r="P199">
        <f t="shared" si="3"/>
        <v>0</v>
      </c>
      <c r="Q199">
        <f t="shared" si="3"/>
        <v>0</v>
      </c>
      <c r="R199">
        <f t="shared" si="3"/>
        <v>0</v>
      </c>
      <c r="S199">
        <f t="shared" si="3"/>
        <v>0</v>
      </c>
      <c r="T199">
        <f t="shared" si="3"/>
        <v>0</v>
      </c>
      <c r="U199">
        <f t="shared" si="3"/>
        <v>0</v>
      </c>
      <c r="V199">
        <f t="shared" si="3"/>
        <v>0</v>
      </c>
    </row>
    <row r="200" spans="1:22" x14ac:dyDescent="0.25">
      <c r="A200" t="s">
        <v>59</v>
      </c>
      <c r="B200">
        <f>SUM(B143:B144,B157:B158)</f>
        <v>0.76243535251012662</v>
      </c>
      <c r="C200">
        <f t="shared" ref="C200:V200" si="4">SUM(C143:C144,C157:C158)</f>
        <v>0.7623754534602184</v>
      </c>
      <c r="D200">
        <f t="shared" si="4"/>
        <v>0.76229443539657604</v>
      </c>
      <c r="E200">
        <f t="shared" si="4"/>
        <v>0.76011856346536588</v>
      </c>
      <c r="F200">
        <f t="shared" si="4"/>
        <v>0.75578330469535793</v>
      </c>
      <c r="G200">
        <f t="shared" si="4"/>
        <v>0.74939168663347488</v>
      </c>
      <c r="H200">
        <f t="shared" si="4"/>
        <v>0.74068467485569689</v>
      </c>
      <c r="I200">
        <f t="shared" si="4"/>
        <v>0.73005689985034239</v>
      </c>
      <c r="J200">
        <f t="shared" si="4"/>
        <v>0.71707429892764463</v>
      </c>
      <c r="K200">
        <f t="shared" si="4"/>
        <v>0.70166080057906011</v>
      </c>
      <c r="L200">
        <f t="shared" si="4"/>
        <v>0.68321146837083369</v>
      </c>
      <c r="M200">
        <f t="shared" si="4"/>
        <v>0.65904337076863351</v>
      </c>
      <c r="N200">
        <f t="shared" si="4"/>
        <v>0.63243704241225607</v>
      </c>
      <c r="O200">
        <f t="shared" si="4"/>
        <v>0.59370869899456158</v>
      </c>
      <c r="P200">
        <f t="shared" si="4"/>
        <v>0.54274768585916877</v>
      </c>
      <c r="Q200">
        <f t="shared" si="4"/>
        <v>0.4810943445871439</v>
      </c>
      <c r="R200">
        <f t="shared" si="4"/>
        <v>0.40563271793811684</v>
      </c>
      <c r="S200">
        <f t="shared" si="4"/>
        <v>0.31998906981366981</v>
      </c>
      <c r="T200">
        <f t="shared" si="4"/>
        <v>0.23123048592213485</v>
      </c>
      <c r="U200">
        <f t="shared" si="4"/>
        <v>0.14859759990962379</v>
      </c>
      <c r="V200">
        <f t="shared" si="4"/>
        <v>8.2156164691007824E-2</v>
      </c>
    </row>
    <row r="201" spans="1:22" x14ac:dyDescent="0.25">
      <c r="A201" t="s">
        <v>36</v>
      </c>
      <c r="B201">
        <f>SUM(B140,B154)/B198</f>
        <v>0</v>
      </c>
      <c r="C201">
        <f t="shared" ref="C201:V201" si="5">SUM(C140,C154)/C198</f>
        <v>0</v>
      </c>
      <c r="D201">
        <f t="shared" si="5"/>
        <v>0</v>
      </c>
      <c r="E201">
        <f t="shared" si="5"/>
        <v>0</v>
      </c>
      <c r="F201">
        <f t="shared" si="5"/>
        <v>0</v>
      </c>
      <c r="G201">
        <f t="shared" si="5"/>
        <v>0</v>
      </c>
      <c r="H201">
        <f t="shared" si="5"/>
        <v>0</v>
      </c>
      <c r="I201">
        <f t="shared" si="5"/>
        <v>0</v>
      </c>
      <c r="J201">
        <f t="shared" si="5"/>
        <v>0</v>
      </c>
      <c r="K201">
        <f t="shared" si="5"/>
        <v>0</v>
      </c>
      <c r="L201">
        <f t="shared" si="5"/>
        <v>0</v>
      </c>
      <c r="M201">
        <f t="shared" si="5"/>
        <v>0</v>
      </c>
      <c r="N201">
        <f t="shared" si="5"/>
        <v>0</v>
      </c>
      <c r="O201">
        <f t="shared" si="5"/>
        <v>0</v>
      </c>
      <c r="P201">
        <f t="shared" si="5"/>
        <v>0</v>
      </c>
      <c r="Q201">
        <f t="shared" si="5"/>
        <v>0</v>
      </c>
      <c r="R201">
        <f t="shared" si="5"/>
        <v>0</v>
      </c>
      <c r="S201">
        <f t="shared" si="5"/>
        <v>0</v>
      </c>
      <c r="T201">
        <f t="shared" si="5"/>
        <v>0</v>
      </c>
      <c r="U201">
        <f t="shared" si="5"/>
        <v>0</v>
      </c>
      <c r="V201">
        <f t="shared" si="5"/>
        <v>0</v>
      </c>
    </row>
    <row r="202" spans="1:22" x14ac:dyDescent="0.25">
      <c r="A202" t="s">
        <v>39</v>
      </c>
      <c r="B202">
        <f>SUM(B140:B141,B154:B155)/B198</f>
        <v>1</v>
      </c>
      <c r="C202">
        <f t="shared" ref="C202:V202" si="6">SUM(C140:C141,C154:C155)/C198</f>
        <v>1</v>
      </c>
      <c r="D202">
        <f t="shared" si="6"/>
        <v>1</v>
      </c>
      <c r="E202">
        <f t="shared" si="6"/>
        <v>1</v>
      </c>
      <c r="F202">
        <f t="shared" si="6"/>
        <v>1</v>
      </c>
      <c r="G202">
        <f t="shared" si="6"/>
        <v>1</v>
      </c>
      <c r="H202">
        <f t="shared" si="6"/>
        <v>1</v>
      </c>
      <c r="I202">
        <f t="shared" si="6"/>
        <v>1</v>
      </c>
      <c r="J202">
        <f t="shared" si="6"/>
        <v>1</v>
      </c>
      <c r="K202">
        <f t="shared" si="6"/>
        <v>1</v>
      </c>
      <c r="L202">
        <f t="shared" si="6"/>
        <v>1</v>
      </c>
      <c r="M202">
        <f t="shared" si="6"/>
        <v>1</v>
      </c>
      <c r="N202">
        <f t="shared" si="6"/>
        <v>1</v>
      </c>
      <c r="O202">
        <f t="shared" si="6"/>
        <v>1</v>
      </c>
      <c r="P202">
        <f t="shared" si="6"/>
        <v>1</v>
      </c>
      <c r="Q202">
        <f t="shared" si="6"/>
        <v>1</v>
      </c>
      <c r="R202">
        <f t="shared" si="6"/>
        <v>1</v>
      </c>
      <c r="S202">
        <f t="shared" si="6"/>
        <v>1</v>
      </c>
      <c r="T202">
        <f t="shared" si="6"/>
        <v>1</v>
      </c>
      <c r="U202">
        <f t="shared" si="6"/>
        <v>1</v>
      </c>
      <c r="V202">
        <f t="shared" si="6"/>
        <v>1</v>
      </c>
    </row>
    <row r="203" spans="1:22" x14ac:dyDescent="0.25">
      <c r="A203" t="s">
        <v>37</v>
      </c>
      <c r="B203">
        <f>SUM(B141,B155)/B198</f>
        <v>1</v>
      </c>
      <c r="C203">
        <f t="shared" ref="C203:V203" si="7">SUM(C141,C155)/C198</f>
        <v>1</v>
      </c>
      <c r="D203">
        <f t="shared" si="7"/>
        <v>1</v>
      </c>
      <c r="E203">
        <f t="shared" si="7"/>
        <v>1</v>
      </c>
      <c r="F203">
        <f t="shared" si="7"/>
        <v>1</v>
      </c>
      <c r="G203">
        <f t="shared" si="7"/>
        <v>1</v>
      </c>
      <c r="H203">
        <f t="shared" si="7"/>
        <v>1</v>
      </c>
      <c r="I203">
        <f t="shared" si="7"/>
        <v>1</v>
      </c>
      <c r="J203">
        <f t="shared" si="7"/>
        <v>1</v>
      </c>
      <c r="K203">
        <f t="shared" si="7"/>
        <v>1</v>
      </c>
      <c r="L203">
        <f t="shared" si="7"/>
        <v>1</v>
      </c>
      <c r="M203">
        <f t="shared" si="7"/>
        <v>1</v>
      </c>
      <c r="N203">
        <f t="shared" si="7"/>
        <v>1</v>
      </c>
      <c r="O203">
        <f t="shared" si="7"/>
        <v>1</v>
      </c>
      <c r="P203">
        <f t="shared" si="7"/>
        <v>1</v>
      </c>
      <c r="Q203">
        <f t="shared" si="7"/>
        <v>1</v>
      </c>
      <c r="R203">
        <f t="shared" si="7"/>
        <v>1</v>
      </c>
      <c r="S203">
        <f t="shared" si="7"/>
        <v>1</v>
      </c>
      <c r="T203">
        <f t="shared" si="7"/>
        <v>1</v>
      </c>
      <c r="U203">
        <f t="shared" si="7"/>
        <v>1</v>
      </c>
      <c r="V203">
        <f t="shared" si="7"/>
        <v>1</v>
      </c>
    </row>
    <row r="204" spans="1:22" x14ac:dyDescent="0.25">
      <c r="A204" t="s">
        <v>38</v>
      </c>
      <c r="B204">
        <f>SUM(B142,B156)/B198</f>
        <v>0</v>
      </c>
      <c r="C204">
        <f t="shared" ref="C204:V204" si="8">SUM(C142,C156)/C198</f>
        <v>0</v>
      </c>
      <c r="D204">
        <f t="shared" si="8"/>
        <v>0</v>
      </c>
      <c r="E204">
        <f t="shared" si="8"/>
        <v>0</v>
      </c>
      <c r="F204">
        <f t="shared" si="8"/>
        <v>0</v>
      </c>
      <c r="G204">
        <f t="shared" si="8"/>
        <v>0</v>
      </c>
      <c r="H204">
        <f t="shared" si="8"/>
        <v>0</v>
      </c>
      <c r="I204">
        <f t="shared" si="8"/>
        <v>0</v>
      </c>
      <c r="J204">
        <f t="shared" si="8"/>
        <v>0</v>
      </c>
      <c r="K204">
        <f t="shared" si="8"/>
        <v>0</v>
      </c>
      <c r="L204">
        <f t="shared" si="8"/>
        <v>0</v>
      </c>
      <c r="M204">
        <f t="shared" si="8"/>
        <v>0</v>
      </c>
      <c r="N204">
        <f t="shared" si="8"/>
        <v>0</v>
      </c>
      <c r="O204">
        <f t="shared" si="8"/>
        <v>0</v>
      </c>
      <c r="P204">
        <f t="shared" si="8"/>
        <v>0</v>
      </c>
      <c r="Q204">
        <f t="shared" si="8"/>
        <v>0</v>
      </c>
      <c r="R204">
        <f t="shared" si="8"/>
        <v>0</v>
      </c>
      <c r="S204">
        <f t="shared" si="8"/>
        <v>0</v>
      </c>
      <c r="T204">
        <f t="shared" si="8"/>
        <v>0</v>
      </c>
      <c r="U204">
        <f t="shared" si="8"/>
        <v>0</v>
      </c>
      <c r="V204">
        <f t="shared" si="8"/>
        <v>0</v>
      </c>
    </row>
    <row r="206" spans="1:22" x14ac:dyDescent="0.25">
      <c r="A206" t="s">
        <v>29</v>
      </c>
    </row>
    <row r="207" spans="1:22" x14ac:dyDescent="0.25">
      <c r="A207" t="str">
        <f>A167</f>
        <v>Half-length</v>
      </c>
      <c r="B207">
        <f>MAX(B167,B181)</f>
        <v>0</v>
      </c>
      <c r="C207">
        <f t="shared" ref="C207:V207" si="9">MAX(C167,C181)</f>
        <v>0.28513528355999002</v>
      </c>
      <c r="D207">
        <f t="shared" si="9"/>
        <v>0.651572697050816</v>
      </c>
      <c r="E207">
        <f t="shared" si="9"/>
        <v>1.12249434634434</v>
      </c>
      <c r="F207">
        <f t="shared" si="9"/>
        <v>1.72769237364371</v>
      </c>
      <c r="G207">
        <f t="shared" si="9"/>
        <v>2.5054537120670299</v>
      </c>
      <c r="H207">
        <f t="shared" si="9"/>
        <v>3.50498225026368</v>
      </c>
      <c r="I207">
        <f t="shared" si="9"/>
        <v>4.7895116416253396</v>
      </c>
      <c r="J207">
        <f t="shared" si="9"/>
        <v>6.4403056852340397</v>
      </c>
      <c r="K207">
        <f t="shared" si="9"/>
        <v>8.5617993565662598</v>
      </c>
      <c r="L207">
        <f t="shared" si="9"/>
        <v>11.288205727444501</v>
      </c>
      <c r="M207">
        <f t="shared" si="9"/>
        <v>14.7920067519829</v>
      </c>
      <c r="N207">
        <f t="shared" si="9"/>
        <v>19.294865075190799</v>
      </c>
      <c r="O207">
        <f t="shared" si="9"/>
        <v>25.0816471832171</v>
      </c>
      <c r="P207">
        <f t="shared" si="9"/>
        <v>32.518445048515296</v>
      </c>
      <c r="Q207">
        <f t="shared" si="9"/>
        <v>42.0757363819137</v>
      </c>
      <c r="R207">
        <f t="shared" si="9"/>
        <v>54.358148689726001</v>
      </c>
      <c r="S207">
        <f t="shared" si="9"/>
        <v>70.142710113727105</v>
      </c>
      <c r="T207">
        <f t="shared" si="9"/>
        <v>90.428006935230897</v>
      </c>
      <c r="U207">
        <f t="shared" si="9"/>
        <v>116.49735761803301</v>
      </c>
      <c r="V207">
        <f t="shared" si="9"/>
        <v>150</v>
      </c>
    </row>
    <row r="208" spans="1:22" x14ac:dyDescent="0.25">
      <c r="A208" t="s">
        <v>57</v>
      </c>
      <c r="B208">
        <f>SUM(B168,B182)</f>
        <v>3.2000000000000001E-2</v>
      </c>
      <c r="C208">
        <f t="shared" ref="C208:V208" si="10">SUM(C168,C182)</f>
        <v>0</v>
      </c>
      <c r="D208">
        <f t="shared" si="10"/>
        <v>0</v>
      </c>
      <c r="E208">
        <f t="shared" si="10"/>
        <v>0</v>
      </c>
      <c r="F208">
        <f t="shared" si="10"/>
        <v>0</v>
      </c>
      <c r="G208">
        <f t="shared" si="10"/>
        <v>0</v>
      </c>
      <c r="H208">
        <f t="shared" si="10"/>
        <v>0</v>
      </c>
      <c r="I208">
        <f t="shared" si="10"/>
        <v>0</v>
      </c>
      <c r="J208">
        <f t="shared" si="10"/>
        <v>0</v>
      </c>
      <c r="K208">
        <f t="shared" si="10"/>
        <v>0</v>
      </c>
      <c r="L208">
        <f t="shared" si="10"/>
        <v>0</v>
      </c>
      <c r="M208">
        <f t="shared" si="10"/>
        <v>0</v>
      </c>
      <c r="N208">
        <f t="shared" si="10"/>
        <v>0</v>
      </c>
      <c r="O208">
        <f t="shared" si="10"/>
        <v>0</v>
      </c>
      <c r="P208">
        <f t="shared" si="10"/>
        <v>0</v>
      </c>
      <c r="Q208">
        <f t="shared" si="10"/>
        <v>0</v>
      </c>
      <c r="R208">
        <f t="shared" si="10"/>
        <v>0</v>
      </c>
      <c r="S208">
        <f t="shared" si="10"/>
        <v>0</v>
      </c>
      <c r="T208">
        <f t="shared" si="10"/>
        <v>0</v>
      </c>
      <c r="U208">
        <f t="shared" si="10"/>
        <v>0</v>
      </c>
      <c r="V208">
        <f t="shared" si="10"/>
        <v>0</v>
      </c>
    </row>
    <row r="209" spans="1:22" x14ac:dyDescent="0.25">
      <c r="A209" t="s">
        <v>56</v>
      </c>
      <c r="B209">
        <f>SUM(B168:B170,B182:B184)</f>
        <v>3.2000000000000001E-2</v>
      </c>
      <c r="C209">
        <f t="shared" ref="C209:V209" si="11">SUM(C168:C170,C182:C184)</f>
        <v>0</v>
      </c>
      <c r="D209">
        <f t="shared" si="11"/>
        <v>0</v>
      </c>
      <c r="E209">
        <f t="shared" si="11"/>
        <v>0</v>
      </c>
      <c r="F209">
        <f t="shared" si="11"/>
        <v>0</v>
      </c>
      <c r="G209">
        <f t="shared" si="11"/>
        <v>0</v>
      </c>
      <c r="H209">
        <f t="shared" si="11"/>
        <v>0</v>
      </c>
      <c r="I209">
        <f t="shared" si="11"/>
        <v>0</v>
      </c>
      <c r="J209">
        <f t="shared" si="11"/>
        <v>0</v>
      </c>
      <c r="K209">
        <f t="shared" si="11"/>
        <v>0</v>
      </c>
      <c r="L209">
        <f t="shared" si="11"/>
        <v>0</v>
      </c>
      <c r="M209">
        <f t="shared" si="11"/>
        <v>0</v>
      </c>
      <c r="N209">
        <f t="shared" si="11"/>
        <v>0</v>
      </c>
      <c r="O209">
        <f t="shared" si="11"/>
        <v>0</v>
      </c>
      <c r="P209">
        <f t="shared" si="11"/>
        <v>0</v>
      </c>
      <c r="Q209">
        <f t="shared" si="11"/>
        <v>0</v>
      </c>
      <c r="R209">
        <f t="shared" si="11"/>
        <v>0</v>
      </c>
      <c r="S209">
        <f t="shared" si="11"/>
        <v>0</v>
      </c>
      <c r="T209">
        <f t="shared" si="11"/>
        <v>0</v>
      </c>
      <c r="U209">
        <f t="shared" si="11"/>
        <v>0</v>
      </c>
      <c r="V209">
        <f t="shared" si="11"/>
        <v>0</v>
      </c>
    </row>
    <row r="210" spans="1:22" x14ac:dyDescent="0.25">
      <c r="A210" t="s">
        <v>58</v>
      </c>
      <c r="B210">
        <f>SUM(B171,B185)</f>
        <v>0</v>
      </c>
      <c r="C210">
        <f t="shared" ref="C210:V210" si="12">SUM(C171,C185)</f>
        <v>0</v>
      </c>
      <c r="D210">
        <f t="shared" si="12"/>
        <v>0</v>
      </c>
      <c r="E210">
        <f t="shared" si="12"/>
        <v>0</v>
      </c>
      <c r="F210">
        <f t="shared" si="12"/>
        <v>0</v>
      </c>
      <c r="G210">
        <f t="shared" si="12"/>
        <v>0</v>
      </c>
      <c r="H210">
        <f t="shared" si="12"/>
        <v>0</v>
      </c>
      <c r="I210">
        <f t="shared" si="12"/>
        <v>0</v>
      </c>
      <c r="J210">
        <f t="shared" si="12"/>
        <v>0</v>
      </c>
      <c r="K210">
        <f t="shared" si="12"/>
        <v>0</v>
      </c>
      <c r="L210">
        <f t="shared" si="12"/>
        <v>0</v>
      </c>
      <c r="M210">
        <f t="shared" si="12"/>
        <v>0</v>
      </c>
      <c r="N210">
        <f t="shared" si="12"/>
        <v>0</v>
      </c>
      <c r="O210">
        <f t="shared" si="12"/>
        <v>0</v>
      </c>
      <c r="P210">
        <f t="shared" si="12"/>
        <v>0</v>
      </c>
      <c r="Q210">
        <f t="shared" si="12"/>
        <v>0</v>
      </c>
      <c r="R210">
        <f t="shared" si="12"/>
        <v>0</v>
      </c>
      <c r="S210">
        <f t="shared" si="12"/>
        <v>0</v>
      </c>
      <c r="T210">
        <f t="shared" si="12"/>
        <v>0</v>
      </c>
      <c r="U210">
        <f t="shared" si="12"/>
        <v>0</v>
      </c>
      <c r="V210">
        <f t="shared" si="12"/>
        <v>0</v>
      </c>
    </row>
    <row r="211" spans="1:22" x14ac:dyDescent="0.25">
      <c r="A211" t="s">
        <v>59</v>
      </c>
      <c r="B211">
        <f>SUM(B171:B172,B185:B186)</f>
        <v>0</v>
      </c>
      <c r="C211">
        <f t="shared" ref="C211:V211" si="13">SUM(C171:C172,C185:C186)</f>
        <v>0</v>
      </c>
      <c r="D211">
        <f t="shared" si="13"/>
        <v>0</v>
      </c>
      <c r="E211">
        <f t="shared" si="13"/>
        <v>0</v>
      </c>
      <c r="F211">
        <f t="shared" si="13"/>
        <v>0</v>
      </c>
      <c r="G211">
        <f t="shared" si="13"/>
        <v>0</v>
      </c>
      <c r="H211">
        <f t="shared" si="13"/>
        <v>0</v>
      </c>
      <c r="I211">
        <f t="shared" si="13"/>
        <v>0</v>
      </c>
      <c r="J211">
        <f t="shared" si="13"/>
        <v>0</v>
      </c>
      <c r="K211">
        <f t="shared" si="13"/>
        <v>0</v>
      </c>
      <c r="L211">
        <f t="shared" si="13"/>
        <v>0</v>
      </c>
      <c r="M211">
        <f t="shared" si="13"/>
        <v>0</v>
      </c>
      <c r="N211">
        <f t="shared" si="13"/>
        <v>0</v>
      </c>
      <c r="O211">
        <f t="shared" si="13"/>
        <v>0</v>
      </c>
      <c r="P211">
        <f t="shared" si="13"/>
        <v>0</v>
      </c>
      <c r="Q211">
        <f t="shared" si="13"/>
        <v>0</v>
      </c>
      <c r="R211">
        <f t="shared" si="13"/>
        <v>0</v>
      </c>
      <c r="S211">
        <f t="shared" si="13"/>
        <v>0</v>
      </c>
      <c r="T211">
        <f t="shared" si="13"/>
        <v>0</v>
      </c>
      <c r="U211">
        <f t="shared" si="13"/>
        <v>0</v>
      </c>
      <c r="V211">
        <f t="shared" si="13"/>
        <v>0</v>
      </c>
    </row>
    <row r="212" spans="1:22" x14ac:dyDescent="0.25">
      <c r="A212" t="s">
        <v>36</v>
      </c>
      <c r="B212">
        <f>SUM(B168,B182)/B209</f>
        <v>1</v>
      </c>
      <c r="C212" t="e">
        <f t="shared" ref="C212:V212" si="14">SUM(C168,C182)/C209</f>
        <v>#DIV/0!</v>
      </c>
      <c r="D212" t="e">
        <f t="shared" si="14"/>
        <v>#DIV/0!</v>
      </c>
      <c r="E212" t="e">
        <f t="shared" si="14"/>
        <v>#DIV/0!</v>
      </c>
      <c r="F212" t="e">
        <f t="shared" si="14"/>
        <v>#DIV/0!</v>
      </c>
      <c r="G212" t="e">
        <f t="shared" si="14"/>
        <v>#DIV/0!</v>
      </c>
      <c r="H212" t="e">
        <f t="shared" si="14"/>
        <v>#DIV/0!</v>
      </c>
      <c r="I212" t="e">
        <f t="shared" si="14"/>
        <v>#DIV/0!</v>
      </c>
      <c r="J212" t="e">
        <f t="shared" si="14"/>
        <v>#DIV/0!</v>
      </c>
      <c r="K212" t="e">
        <f t="shared" si="14"/>
        <v>#DIV/0!</v>
      </c>
      <c r="L212" t="e">
        <f t="shared" si="14"/>
        <v>#DIV/0!</v>
      </c>
      <c r="M212" t="e">
        <f t="shared" si="14"/>
        <v>#DIV/0!</v>
      </c>
      <c r="N212" t="e">
        <f t="shared" si="14"/>
        <v>#DIV/0!</v>
      </c>
      <c r="O212" t="e">
        <f t="shared" si="14"/>
        <v>#DIV/0!</v>
      </c>
      <c r="P212" t="e">
        <f t="shared" si="14"/>
        <v>#DIV/0!</v>
      </c>
      <c r="Q212" t="e">
        <f t="shared" si="14"/>
        <v>#DIV/0!</v>
      </c>
      <c r="R212" t="e">
        <f t="shared" si="14"/>
        <v>#DIV/0!</v>
      </c>
      <c r="S212" t="e">
        <f t="shared" si="14"/>
        <v>#DIV/0!</v>
      </c>
      <c r="T212" t="e">
        <f t="shared" si="14"/>
        <v>#DIV/0!</v>
      </c>
      <c r="U212" t="e">
        <f t="shared" si="14"/>
        <v>#DIV/0!</v>
      </c>
      <c r="V212" t="e">
        <f t="shared" si="14"/>
        <v>#DIV/0!</v>
      </c>
    </row>
    <row r="213" spans="1:22" x14ac:dyDescent="0.25">
      <c r="A213" t="s">
        <v>39</v>
      </c>
      <c r="B213">
        <f>SUM(B168:B169,B182:B183)/B209</f>
        <v>1</v>
      </c>
      <c r="C213" t="e">
        <f t="shared" ref="C213:V213" si="15">SUM(C168:C169,C182:C183)/C209</f>
        <v>#DIV/0!</v>
      </c>
      <c r="D213" t="e">
        <f t="shared" si="15"/>
        <v>#DIV/0!</v>
      </c>
      <c r="E213" t="e">
        <f t="shared" si="15"/>
        <v>#DIV/0!</v>
      </c>
      <c r="F213" t="e">
        <f t="shared" si="15"/>
        <v>#DIV/0!</v>
      </c>
      <c r="G213" t="e">
        <f t="shared" si="15"/>
        <v>#DIV/0!</v>
      </c>
      <c r="H213" t="e">
        <f t="shared" si="15"/>
        <v>#DIV/0!</v>
      </c>
      <c r="I213" t="e">
        <f t="shared" si="15"/>
        <v>#DIV/0!</v>
      </c>
      <c r="J213" t="e">
        <f t="shared" si="15"/>
        <v>#DIV/0!</v>
      </c>
      <c r="K213" t="e">
        <f t="shared" si="15"/>
        <v>#DIV/0!</v>
      </c>
      <c r="L213" t="e">
        <f t="shared" si="15"/>
        <v>#DIV/0!</v>
      </c>
      <c r="M213" t="e">
        <f t="shared" si="15"/>
        <v>#DIV/0!</v>
      </c>
      <c r="N213" t="e">
        <f t="shared" si="15"/>
        <v>#DIV/0!</v>
      </c>
      <c r="O213" t="e">
        <f t="shared" si="15"/>
        <v>#DIV/0!</v>
      </c>
      <c r="P213" t="e">
        <f t="shared" si="15"/>
        <v>#DIV/0!</v>
      </c>
      <c r="Q213" t="e">
        <f t="shared" si="15"/>
        <v>#DIV/0!</v>
      </c>
      <c r="R213" t="e">
        <f t="shared" si="15"/>
        <v>#DIV/0!</v>
      </c>
      <c r="S213" t="e">
        <f t="shared" si="15"/>
        <v>#DIV/0!</v>
      </c>
      <c r="T213" t="e">
        <f t="shared" si="15"/>
        <v>#DIV/0!</v>
      </c>
      <c r="U213" t="e">
        <f t="shared" si="15"/>
        <v>#DIV/0!</v>
      </c>
      <c r="V213" t="e">
        <f t="shared" si="15"/>
        <v>#DIV/0!</v>
      </c>
    </row>
    <row r="214" spans="1:22" x14ac:dyDescent="0.25">
      <c r="A214" t="s">
        <v>37</v>
      </c>
      <c r="B214">
        <f>SUM(B169,B183)/B209</f>
        <v>0</v>
      </c>
      <c r="C214" t="e">
        <f t="shared" ref="C214:V214" si="16">SUM(C169,C183)/C209</f>
        <v>#DIV/0!</v>
      </c>
      <c r="D214" t="e">
        <f t="shared" si="16"/>
        <v>#DIV/0!</v>
      </c>
      <c r="E214" t="e">
        <f t="shared" si="16"/>
        <v>#DIV/0!</v>
      </c>
      <c r="F214" t="e">
        <f t="shared" si="16"/>
        <v>#DIV/0!</v>
      </c>
      <c r="G214" t="e">
        <f t="shared" si="16"/>
        <v>#DIV/0!</v>
      </c>
      <c r="H214" t="e">
        <f t="shared" si="16"/>
        <v>#DIV/0!</v>
      </c>
      <c r="I214" t="e">
        <f t="shared" si="16"/>
        <v>#DIV/0!</v>
      </c>
      <c r="J214" t="e">
        <f t="shared" si="16"/>
        <v>#DIV/0!</v>
      </c>
      <c r="K214" t="e">
        <f t="shared" si="16"/>
        <v>#DIV/0!</v>
      </c>
      <c r="L214" t="e">
        <f t="shared" si="16"/>
        <v>#DIV/0!</v>
      </c>
      <c r="M214" t="e">
        <f t="shared" si="16"/>
        <v>#DIV/0!</v>
      </c>
      <c r="N214" t="e">
        <f t="shared" si="16"/>
        <v>#DIV/0!</v>
      </c>
      <c r="O214" t="e">
        <f t="shared" si="16"/>
        <v>#DIV/0!</v>
      </c>
      <c r="P214" t="e">
        <f t="shared" si="16"/>
        <v>#DIV/0!</v>
      </c>
      <c r="Q214" t="e">
        <f t="shared" si="16"/>
        <v>#DIV/0!</v>
      </c>
      <c r="R214" t="e">
        <f t="shared" si="16"/>
        <v>#DIV/0!</v>
      </c>
      <c r="S214" t="e">
        <f t="shared" si="16"/>
        <v>#DIV/0!</v>
      </c>
      <c r="T214" t="e">
        <f t="shared" si="16"/>
        <v>#DIV/0!</v>
      </c>
      <c r="U214" t="e">
        <f t="shared" si="16"/>
        <v>#DIV/0!</v>
      </c>
      <c r="V214" t="e">
        <f t="shared" si="16"/>
        <v>#DIV/0!</v>
      </c>
    </row>
    <row r="215" spans="1:22" x14ac:dyDescent="0.25">
      <c r="A215" t="s">
        <v>38</v>
      </c>
      <c r="B215">
        <f>SUM(B170,B184)/B209</f>
        <v>0</v>
      </c>
      <c r="C215" t="e">
        <f t="shared" ref="C215:V215" si="17">SUM(C170,C184)/C209</f>
        <v>#DIV/0!</v>
      </c>
      <c r="D215" t="e">
        <f t="shared" si="17"/>
        <v>#DIV/0!</v>
      </c>
      <c r="E215" t="e">
        <f t="shared" si="17"/>
        <v>#DIV/0!</v>
      </c>
      <c r="F215" t="e">
        <f t="shared" si="17"/>
        <v>#DIV/0!</v>
      </c>
      <c r="G215" t="e">
        <f t="shared" si="17"/>
        <v>#DIV/0!</v>
      </c>
      <c r="H215" t="e">
        <f t="shared" si="17"/>
        <v>#DIV/0!</v>
      </c>
      <c r="I215" t="e">
        <f t="shared" si="17"/>
        <v>#DIV/0!</v>
      </c>
      <c r="J215" t="e">
        <f t="shared" si="17"/>
        <v>#DIV/0!</v>
      </c>
      <c r="K215" t="e">
        <f t="shared" si="17"/>
        <v>#DIV/0!</v>
      </c>
      <c r="L215" t="e">
        <f t="shared" si="17"/>
        <v>#DIV/0!</v>
      </c>
      <c r="M215" t="e">
        <f t="shared" si="17"/>
        <v>#DIV/0!</v>
      </c>
      <c r="N215" t="e">
        <f t="shared" si="17"/>
        <v>#DIV/0!</v>
      </c>
      <c r="O215" t="e">
        <f t="shared" si="17"/>
        <v>#DIV/0!</v>
      </c>
      <c r="P215" t="e">
        <f t="shared" si="17"/>
        <v>#DIV/0!</v>
      </c>
      <c r="Q215" t="e">
        <f t="shared" si="17"/>
        <v>#DIV/0!</v>
      </c>
      <c r="R215" t="e">
        <f t="shared" si="17"/>
        <v>#DIV/0!</v>
      </c>
      <c r="S215" t="e">
        <f t="shared" si="17"/>
        <v>#DIV/0!</v>
      </c>
      <c r="T215" t="e">
        <f t="shared" si="17"/>
        <v>#DIV/0!</v>
      </c>
      <c r="U215" t="e">
        <f t="shared" si="17"/>
        <v>#DIV/0!</v>
      </c>
      <c r="V215" t="e">
        <f t="shared" si="17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4148"/>
  <sheetViews>
    <sheetView zoomScaleNormal="100" workbookViewId="0">
      <selection activeCell="AP1" sqref="AP1:AV1048576"/>
    </sheetView>
  </sheetViews>
  <sheetFormatPr defaultRowHeight="15" x14ac:dyDescent="0.25"/>
  <sheetData>
    <row r="1" spans="1:52" x14ac:dyDescent="0.25">
      <c r="A1" t="s">
        <v>15</v>
      </c>
      <c r="B1" t="s">
        <v>32</v>
      </c>
      <c r="C1" t="s">
        <v>25</v>
      </c>
      <c r="D1" t="s">
        <v>26</v>
      </c>
      <c r="E1" t="s">
        <v>14</v>
      </c>
      <c r="F1" t="s">
        <v>13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Z1" t="s">
        <v>34</v>
      </c>
      <c r="AB1" t="s">
        <v>30</v>
      </c>
      <c r="AC1" t="s">
        <v>15</v>
      </c>
      <c r="AD1" t="s">
        <v>27</v>
      </c>
      <c r="AE1" t="s">
        <v>14</v>
      </c>
      <c r="AF1" t="s">
        <v>13</v>
      </c>
      <c r="AG1" t="s">
        <v>85</v>
      </c>
      <c r="AH1" t="s">
        <v>86</v>
      </c>
      <c r="AI1" t="s">
        <v>22</v>
      </c>
      <c r="AK1" t="s">
        <v>23</v>
      </c>
      <c r="AL1" t="s">
        <v>24</v>
      </c>
      <c r="AM1" t="s">
        <v>40</v>
      </c>
      <c r="AO1" t="s">
        <v>31</v>
      </c>
      <c r="AP1" t="s">
        <v>15</v>
      </c>
      <c r="AQ1" t="s">
        <v>27</v>
      </c>
      <c r="AR1" t="s">
        <v>14</v>
      </c>
      <c r="AS1" t="s">
        <v>13</v>
      </c>
      <c r="AT1" t="s">
        <v>85</v>
      </c>
      <c r="AU1" t="s">
        <v>86</v>
      </c>
      <c r="AV1" t="s">
        <v>22</v>
      </c>
      <c r="AX1" t="s">
        <v>23</v>
      </c>
      <c r="AY1" t="s">
        <v>24</v>
      </c>
      <c r="AZ1" t="s">
        <v>40</v>
      </c>
    </row>
    <row r="2" spans="1:52" x14ac:dyDescent="0.25">
      <c r="A2">
        <v>38</v>
      </c>
      <c r="B2">
        <v>0</v>
      </c>
      <c r="C2">
        <v>20.888662046661299</v>
      </c>
      <c r="D2">
        <v>170.00236285588099</v>
      </c>
      <c r="E2">
        <v>14</v>
      </c>
      <c r="F2">
        <v>1.01722196789785</v>
      </c>
      <c r="G2" t="s">
        <v>81</v>
      </c>
      <c r="H2" t="s">
        <v>81</v>
      </c>
      <c r="I2">
        <v>0</v>
      </c>
      <c r="J2">
        <v>0</v>
      </c>
      <c r="K2">
        <v>0</v>
      </c>
      <c r="Z2" s="2" t="s">
        <v>16</v>
      </c>
      <c r="AA2" s="2">
        <v>0</v>
      </c>
      <c r="AC2">
        <v>108</v>
      </c>
      <c r="AD2">
        <v>118.183052363662</v>
      </c>
      <c r="AE2">
        <v>10</v>
      </c>
      <c r="AF2">
        <v>1.01722196789785</v>
      </c>
      <c r="AG2" t="s">
        <v>81</v>
      </c>
      <c r="AH2">
        <v>0</v>
      </c>
      <c r="AI2">
        <v>0</v>
      </c>
      <c r="AJ2">
        <v>1</v>
      </c>
      <c r="AK2">
        <f>AJ2/$AA$17</f>
        <v>6.2500000000000001E-4</v>
      </c>
      <c r="AL2">
        <f>AD2*$AA$16</f>
        <v>118.183052363662</v>
      </c>
      <c r="AM2">
        <f>AL2/$AA$17</f>
        <v>7.386440772728875E-2</v>
      </c>
    </row>
    <row r="3" spans="1:52" x14ac:dyDescent="0.25">
      <c r="A3" t="s">
        <v>82</v>
      </c>
      <c r="Z3" s="2" t="s">
        <v>17</v>
      </c>
      <c r="AA3" s="2">
        <v>150</v>
      </c>
      <c r="AC3">
        <v>104</v>
      </c>
      <c r="AD3">
        <v>114.30322405754799</v>
      </c>
      <c r="AE3">
        <v>14</v>
      </c>
      <c r="AF3">
        <v>1.01722196789785</v>
      </c>
      <c r="AG3" t="s">
        <v>81</v>
      </c>
      <c r="AH3">
        <v>0</v>
      </c>
      <c r="AI3">
        <v>0</v>
      </c>
      <c r="AJ3">
        <v>2</v>
      </c>
      <c r="AK3">
        <f>AJ3/$AA$17</f>
        <v>1.25E-3</v>
      </c>
      <c r="AL3">
        <f>AD3*$AA$16</f>
        <v>114.30322405754799</v>
      </c>
      <c r="AM3">
        <f>AM2+(AL3/$AA$17)</f>
        <v>0.14530392276325627</v>
      </c>
    </row>
    <row r="4" spans="1:52" x14ac:dyDescent="0.25">
      <c r="A4">
        <v>14.8627800084688</v>
      </c>
      <c r="B4">
        <v>29.445425807782399</v>
      </c>
      <c r="C4">
        <v>2000</v>
      </c>
      <c r="Z4" s="2" t="s">
        <v>18</v>
      </c>
      <c r="AA4" s="2">
        <v>0</v>
      </c>
      <c r="AC4">
        <v>118</v>
      </c>
      <c r="AD4">
        <v>98.026702396321099</v>
      </c>
      <c r="AE4">
        <v>10</v>
      </c>
      <c r="AF4">
        <v>1.01722196789785</v>
      </c>
      <c r="AG4" t="s">
        <v>81</v>
      </c>
      <c r="AH4">
        <v>0</v>
      </c>
      <c r="AI4">
        <v>0</v>
      </c>
      <c r="AJ4">
        <v>3</v>
      </c>
      <c r="AK4">
        <f>AJ4/$AA$17</f>
        <v>1.8749999999999999E-3</v>
      </c>
      <c r="AL4">
        <f>AD4*$AA$16</f>
        <v>98.026702396321099</v>
      </c>
      <c r="AM4">
        <f>AM3+(AL4/$AA$17)</f>
        <v>0.20657061176095695</v>
      </c>
    </row>
    <row r="5" spans="1:52" x14ac:dyDescent="0.25">
      <c r="A5">
        <v>0</v>
      </c>
      <c r="B5">
        <v>14.5826457993136</v>
      </c>
      <c r="C5">
        <v>2000</v>
      </c>
      <c r="Z5" s="2" t="s">
        <v>19</v>
      </c>
      <c r="AA5" s="2">
        <v>150</v>
      </c>
      <c r="AC5">
        <v>745</v>
      </c>
      <c r="AD5">
        <v>95.341301388365395</v>
      </c>
      <c r="AE5">
        <v>14</v>
      </c>
      <c r="AF5">
        <v>1.01722196789785</v>
      </c>
      <c r="AG5" t="s">
        <v>81</v>
      </c>
      <c r="AH5">
        <v>0</v>
      </c>
      <c r="AI5">
        <v>0.13367256451839299</v>
      </c>
      <c r="AJ5">
        <v>4</v>
      </c>
      <c r="AK5">
        <f>AJ5/$AA$17</f>
        <v>2.5000000000000001E-3</v>
      </c>
      <c r="AL5">
        <f>AD5*$AA$16</f>
        <v>95.341301388365395</v>
      </c>
      <c r="AM5">
        <f>AM4+(AL5/$AA$17)</f>
        <v>0.26615892512868533</v>
      </c>
    </row>
    <row r="6" spans="1:52" x14ac:dyDescent="0.25">
      <c r="A6">
        <v>0</v>
      </c>
      <c r="B6">
        <v>15.456677848211299</v>
      </c>
      <c r="C6">
        <v>2001</v>
      </c>
      <c r="AC6">
        <v>87</v>
      </c>
      <c r="AD6">
        <v>91.559518999643799</v>
      </c>
      <c r="AE6">
        <v>10</v>
      </c>
      <c r="AF6">
        <v>1.5707963267949001</v>
      </c>
      <c r="AG6" t="s">
        <v>81</v>
      </c>
      <c r="AH6">
        <v>0</v>
      </c>
      <c r="AI6">
        <v>0</v>
      </c>
      <c r="AJ6">
        <v>5</v>
      </c>
      <c r="AK6">
        <f>AJ6/$AA$17</f>
        <v>3.1250000000000002E-3</v>
      </c>
      <c r="AL6">
        <f>AD6*$AA$16</f>
        <v>91.559518999643799</v>
      </c>
      <c r="AM6">
        <f>AM5+(AL6/$AA$17)</f>
        <v>0.3233836245034627</v>
      </c>
    </row>
    <row r="7" spans="1:52" x14ac:dyDescent="0.25">
      <c r="A7">
        <v>14.6782491577477</v>
      </c>
      <c r="B7">
        <v>30.1349270059589</v>
      </c>
      <c r="C7">
        <v>2001</v>
      </c>
      <c r="AC7">
        <v>745</v>
      </c>
      <c r="AD7">
        <v>91.428997354952699</v>
      </c>
      <c r="AE7">
        <v>14</v>
      </c>
      <c r="AF7">
        <v>1.01722196789785</v>
      </c>
      <c r="AG7" t="s">
        <v>81</v>
      </c>
      <c r="AH7">
        <v>0</v>
      </c>
      <c r="AI7">
        <v>0.13367256451839299</v>
      </c>
      <c r="AJ7">
        <v>6</v>
      </c>
      <c r="AK7">
        <f>AJ7/$AA$17</f>
        <v>3.7499999999999999E-3</v>
      </c>
      <c r="AL7">
        <f>AD7*$AA$16</f>
        <v>91.428997354952699</v>
      </c>
      <c r="AM7">
        <f>AM6+(AL7/$AA$17)</f>
        <v>0.38052674785030816</v>
      </c>
    </row>
    <row r="8" spans="1:52" x14ac:dyDescent="0.25">
      <c r="A8">
        <v>34.761830164013197</v>
      </c>
      <c r="B8">
        <v>50.218508012224397</v>
      </c>
      <c r="C8">
        <v>2001</v>
      </c>
      <c r="AC8">
        <v>101</v>
      </c>
      <c r="AD8">
        <v>90.713764413427398</v>
      </c>
      <c r="AE8">
        <v>10</v>
      </c>
      <c r="AF8">
        <v>1.01722196789785</v>
      </c>
      <c r="AG8" t="s">
        <v>81</v>
      </c>
      <c r="AH8">
        <v>0</v>
      </c>
      <c r="AI8">
        <v>0</v>
      </c>
      <c r="AJ8">
        <v>7</v>
      </c>
      <c r="AK8">
        <f>AJ8/$AA$17</f>
        <v>4.3750000000000004E-3</v>
      </c>
      <c r="AL8">
        <f>AD8*$AA$16</f>
        <v>90.713764413427398</v>
      </c>
      <c r="AM8">
        <f>AM7+(AL8/$AA$17)</f>
        <v>0.43722285060870025</v>
      </c>
    </row>
    <row r="9" spans="1:52" x14ac:dyDescent="0.25">
      <c r="A9">
        <v>49.781491987775603</v>
      </c>
      <c r="B9">
        <v>65.238169835986795</v>
      </c>
      <c r="C9">
        <v>2001</v>
      </c>
      <c r="Z9" t="s">
        <v>33</v>
      </c>
      <c r="AA9">
        <f>COUNTIF(A:A,"Start Points")</f>
        <v>390</v>
      </c>
      <c r="AC9">
        <v>109</v>
      </c>
      <c r="AD9">
        <v>90.189946158951301</v>
      </c>
      <c r="AE9">
        <v>12</v>
      </c>
      <c r="AF9">
        <v>1.01722196789785</v>
      </c>
      <c r="AG9" t="s">
        <v>81</v>
      </c>
      <c r="AH9">
        <v>0</v>
      </c>
      <c r="AI9">
        <v>0</v>
      </c>
      <c r="AJ9">
        <v>8</v>
      </c>
      <c r="AK9">
        <f>AJ9/$AA$17</f>
        <v>5.0000000000000001E-3</v>
      </c>
      <c r="AL9">
        <f>AD9*$AA$16</f>
        <v>90.189946158951301</v>
      </c>
      <c r="AM9">
        <f>AM8+(AL9/$AA$17)</f>
        <v>0.49359156695804485</v>
      </c>
    </row>
    <row r="10" spans="1:52" x14ac:dyDescent="0.25">
      <c r="A10">
        <v>84.761830164013205</v>
      </c>
      <c r="B10">
        <v>100.21850801222401</v>
      </c>
      <c r="C10">
        <v>2001</v>
      </c>
      <c r="AC10">
        <v>81</v>
      </c>
      <c r="AD10">
        <v>87.065223688706695</v>
      </c>
      <c r="AE10">
        <v>10</v>
      </c>
      <c r="AF10">
        <v>1.5707963267949001</v>
      </c>
      <c r="AG10" t="s">
        <v>81</v>
      </c>
      <c r="AH10">
        <v>0</v>
      </c>
      <c r="AI10">
        <v>0</v>
      </c>
      <c r="AJ10">
        <v>9</v>
      </c>
      <c r="AK10">
        <f>AJ10/$AA$17</f>
        <v>5.6249999999999998E-3</v>
      </c>
      <c r="AL10">
        <f>AD10*$AA$16</f>
        <v>87.065223688706695</v>
      </c>
      <c r="AM10">
        <f>AM9+(AL10/$AA$17)</f>
        <v>0.54800733176348648</v>
      </c>
    </row>
    <row r="11" spans="1:52" x14ac:dyDescent="0.25">
      <c r="A11">
        <v>99.715853658787694</v>
      </c>
      <c r="B11">
        <v>115.17253150699899</v>
      </c>
      <c r="C11">
        <v>2001</v>
      </c>
      <c r="Z11" t="s">
        <v>35</v>
      </c>
      <c r="AC11">
        <v>120</v>
      </c>
      <c r="AD11">
        <v>82.782289735893897</v>
      </c>
      <c r="AE11">
        <v>10</v>
      </c>
      <c r="AF11">
        <v>1.01722196789785</v>
      </c>
      <c r="AG11" t="s">
        <v>84</v>
      </c>
      <c r="AH11">
        <v>722</v>
      </c>
      <c r="AI11">
        <v>0</v>
      </c>
      <c r="AJ11">
        <v>10</v>
      </c>
      <c r="AK11">
        <f>AJ11/$AA$17</f>
        <v>6.2500000000000003E-3</v>
      </c>
      <c r="AL11">
        <f>AD11*$AA$16</f>
        <v>82.782289735893897</v>
      </c>
      <c r="AM11">
        <f>AM10+(AL11/$AA$17)</f>
        <v>0.59974626284842014</v>
      </c>
    </row>
    <row r="12" spans="1:52" x14ac:dyDescent="0.25">
      <c r="A12">
        <v>134.543322151789</v>
      </c>
      <c r="B12">
        <v>150</v>
      </c>
      <c r="C12">
        <v>2001</v>
      </c>
      <c r="Z12" s="2" t="s">
        <v>16</v>
      </c>
      <c r="AA12" s="2">
        <v>55</v>
      </c>
      <c r="AC12">
        <v>100</v>
      </c>
      <c r="AD12">
        <v>82.774430748049994</v>
      </c>
      <c r="AE12">
        <v>10</v>
      </c>
      <c r="AF12">
        <v>1.5707963267949001</v>
      </c>
      <c r="AG12" t="s">
        <v>81</v>
      </c>
      <c r="AH12">
        <v>0</v>
      </c>
      <c r="AI12">
        <v>0</v>
      </c>
      <c r="AJ12">
        <v>11</v>
      </c>
      <c r="AK12">
        <f>AJ12/$AA$17</f>
        <v>6.875E-3</v>
      </c>
      <c r="AL12">
        <f>AD12*$AA$16</f>
        <v>82.774430748049994</v>
      </c>
      <c r="AM12">
        <f>AM11+(AL12/$AA$17)</f>
        <v>0.65148028206595143</v>
      </c>
    </row>
    <row r="13" spans="1:52" x14ac:dyDescent="0.25">
      <c r="A13">
        <v>135.41735420068699</v>
      </c>
      <c r="B13">
        <v>150</v>
      </c>
      <c r="C13">
        <v>2000</v>
      </c>
      <c r="Z13" s="2" t="s">
        <v>17</v>
      </c>
      <c r="AA13" s="2">
        <v>95</v>
      </c>
      <c r="AC13">
        <v>107</v>
      </c>
      <c r="AD13">
        <v>77.530219722222995</v>
      </c>
      <c r="AE13">
        <v>10</v>
      </c>
      <c r="AF13">
        <v>1.01722196789785</v>
      </c>
      <c r="AG13" t="s">
        <v>81</v>
      </c>
      <c r="AH13">
        <v>0</v>
      </c>
      <c r="AI13">
        <v>0</v>
      </c>
      <c r="AJ13">
        <v>12</v>
      </c>
      <c r="AK13">
        <f>AJ13/$AA$17</f>
        <v>7.4999999999999997E-3</v>
      </c>
      <c r="AL13">
        <f>AD13*$AA$16</f>
        <v>77.530219722222995</v>
      </c>
      <c r="AM13">
        <f>AM12+(AL13/$AA$17)</f>
        <v>0.69993666939234078</v>
      </c>
    </row>
    <row r="14" spans="1:52" x14ac:dyDescent="0.25">
      <c r="A14">
        <v>100.28414634121199</v>
      </c>
      <c r="B14">
        <v>114.866792140526</v>
      </c>
      <c r="C14">
        <v>2000</v>
      </c>
      <c r="Z14" s="2" t="s">
        <v>18</v>
      </c>
      <c r="AA14" s="2">
        <v>55</v>
      </c>
      <c r="AC14">
        <v>96</v>
      </c>
      <c r="AD14">
        <v>64.110862936045606</v>
      </c>
      <c r="AE14">
        <v>12</v>
      </c>
      <c r="AF14">
        <v>1.5707963267949001</v>
      </c>
      <c r="AG14" t="s">
        <v>84</v>
      </c>
      <c r="AH14">
        <v>1</v>
      </c>
      <c r="AI14">
        <v>0</v>
      </c>
      <c r="AJ14">
        <v>13</v>
      </c>
      <c r="AK14">
        <f>AJ14/$AA$17</f>
        <v>8.1250000000000003E-3</v>
      </c>
      <c r="AL14">
        <f>AD14*$AA$16</f>
        <v>64.110862936045606</v>
      </c>
      <c r="AM14">
        <f>AM13+(AL14/$AA$17)</f>
        <v>0.7400059587273693</v>
      </c>
    </row>
    <row r="15" spans="1:52" x14ac:dyDescent="0.25">
      <c r="A15">
        <v>85.198846188461999</v>
      </c>
      <c r="B15">
        <v>99.781491987775595</v>
      </c>
      <c r="C15">
        <v>2000</v>
      </c>
      <c r="Z15" s="2" t="s">
        <v>19</v>
      </c>
      <c r="AA15" s="2">
        <v>95</v>
      </c>
      <c r="AC15">
        <v>105</v>
      </c>
      <c r="AD15">
        <v>53.739638033410401</v>
      </c>
      <c r="AE15">
        <v>10</v>
      </c>
      <c r="AF15">
        <v>1.01722196789785</v>
      </c>
      <c r="AG15" t="s">
        <v>84</v>
      </c>
      <c r="AH15">
        <v>419</v>
      </c>
      <c r="AI15">
        <v>0</v>
      </c>
      <c r="AJ15">
        <v>14</v>
      </c>
      <c r="AK15">
        <f>AJ15/$AA$17</f>
        <v>8.7500000000000008E-3</v>
      </c>
      <c r="AL15">
        <f>AD15*$AA$16</f>
        <v>53.739638033410401</v>
      </c>
      <c r="AM15">
        <f>AM14+(AL15/$AA$17)</f>
        <v>0.77359323249825085</v>
      </c>
    </row>
    <row r="16" spans="1:52" x14ac:dyDescent="0.25">
      <c r="A16">
        <v>50.218508012224397</v>
      </c>
      <c r="B16">
        <v>64.801153811538001</v>
      </c>
      <c r="C16">
        <v>2000</v>
      </c>
      <c r="Z16" s="2" t="s">
        <v>20</v>
      </c>
      <c r="AA16" s="2">
        <v>1</v>
      </c>
      <c r="AC16">
        <v>94</v>
      </c>
      <c r="AD16">
        <v>48.731381297604798</v>
      </c>
      <c r="AE16">
        <v>8</v>
      </c>
      <c r="AF16">
        <v>1.5707963267949001</v>
      </c>
      <c r="AG16" t="s">
        <v>84</v>
      </c>
      <c r="AH16">
        <v>35</v>
      </c>
      <c r="AI16">
        <v>0</v>
      </c>
      <c r="AJ16">
        <v>15</v>
      </c>
      <c r="AK16">
        <f>AJ16/$AA$17</f>
        <v>9.3749999999999997E-3</v>
      </c>
      <c r="AL16">
        <f>AD16*$AA$16</f>
        <v>48.731381297604798</v>
      </c>
      <c r="AM16">
        <f>AM15+(AL16/$AA$17)</f>
        <v>0.80405034580925383</v>
      </c>
    </row>
    <row r="17" spans="1:39" x14ac:dyDescent="0.25">
      <c r="A17">
        <v>35.198846188461999</v>
      </c>
      <c r="B17">
        <v>49.781491987775603</v>
      </c>
      <c r="C17">
        <v>2000</v>
      </c>
      <c r="Z17" t="s">
        <v>21</v>
      </c>
      <c r="AA17">
        <f>(AA13-AA12)*(AA15-AA14)*AA16</f>
        <v>1600</v>
      </c>
      <c r="AC17">
        <v>117</v>
      </c>
      <c r="AD17">
        <v>45.071701048767203</v>
      </c>
      <c r="AE17">
        <v>10</v>
      </c>
      <c r="AF17">
        <v>1.01722196789785</v>
      </c>
      <c r="AG17" t="s">
        <v>84</v>
      </c>
      <c r="AH17">
        <v>430</v>
      </c>
      <c r="AI17">
        <v>0</v>
      </c>
      <c r="AJ17">
        <v>16</v>
      </c>
      <c r="AK17">
        <f>AJ17/$AA$17</f>
        <v>0.01</v>
      </c>
      <c r="AL17">
        <f>AD17*$AA$16</f>
        <v>45.071701048767203</v>
      </c>
      <c r="AM17">
        <f>AM16+(AL17/$AA$17)</f>
        <v>0.83222015896473334</v>
      </c>
    </row>
    <row r="18" spans="1:39" x14ac:dyDescent="0.25">
      <c r="A18" t="s">
        <v>83</v>
      </c>
      <c r="AC18">
        <v>104</v>
      </c>
      <c r="AD18">
        <v>40.217568172252903</v>
      </c>
      <c r="AE18">
        <v>14</v>
      </c>
      <c r="AF18">
        <v>1.01722196789785</v>
      </c>
      <c r="AG18" t="s">
        <v>84</v>
      </c>
      <c r="AH18">
        <v>4</v>
      </c>
      <c r="AI18">
        <v>0</v>
      </c>
      <c r="AJ18">
        <v>17</v>
      </c>
      <c r="AK18">
        <f>AJ18/$AA$17</f>
        <v>1.0625000000000001E-2</v>
      </c>
      <c r="AL18">
        <f>AD18*$AA$16</f>
        <v>40.217568172252903</v>
      </c>
      <c r="AM18">
        <f>AM17+(AL18/$AA$17)</f>
        <v>0.85735613907239139</v>
      </c>
    </row>
    <row r="19" spans="1:39" x14ac:dyDescent="0.25">
      <c r="A19">
        <v>745</v>
      </c>
      <c r="B19">
        <v>0</v>
      </c>
      <c r="C19">
        <v>95.341301388365395</v>
      </c>
      <c r="D19">
        <v>91.428997354952699</v>
      </c>
      <c r="E19">
        <v>14</v>
      </c>
      <c r="F19">
        <v>1.01722196789785</v>
      </c>
      <c r="G19" t="s">
        <v>81</v>
      </c>
      <c r="H19" t="s">
        <v>81</v>
      </c>
      <c r="I19">
        <v>0</v>
      </c>
      <c r="J19">
        <v>0</v>
      </c>
      <c r="K19">
        <v>0.13367256451839299</v>
      </c>
      <c r="AC19">
        <v>115</v>
      </c>
      <c r="AD19">
        <v>39.599881773015902</v>
      </c>
      <c r="AE19">
        <v>10</v>
      </c>
      <c r="AF19">
        <v>1.01722196789785</v>
      </c>
      <c r="AG19" t="s">
        <v>84</v>
      </c>
      <c r="AH19">
        <v>435</v>
      </c>
      <c r="AI19">
        <v>0</v>
      </c>
      <c r="AJ19">
        <v>18</v>
      </c>
      <c r="AK19">
        <f>AJ19/$AA$17</f>
        <v>1.125E-2</v>
      </c>
      <c r="AL19">
        <f>AD19*$AA$16</f>
        <v>39.599881773015902</v>
      </c>
      <c r="AM19">
        <f>AM18+(AL19/$AA$17)</f>
        <v>0.88210606518052637</v>
      </c>
    </row>
    <row r="20" spans="1:39" x14ac:dyDescent="0.25">
      <c r="A20" t="s">
        <v>82</v>
      </c>
      <c r="AC20">
        <v>87</v>
      </c>
      <c r="AD20">
        <v>39.591581811375796</v>
      </c>
      <c r="AE20">
        <v>10</v>
      </c>
      <c r="AF20">
        <v>1.5707963267949001</v>
      </c>
      <c r="AG20" t="s">
        <v>84</v>
      </c>
      <c r="AH20">
        <v>84</v>
      </c>
      <c r="AI20">
        <v>0</v>
      </c>
      <c r="AJ20">
        <v>19</v>
      </c>
      <c r="AK20">
        <f>AJ20/$AA$17</f>
        <v>1.1875E-2</v>
      </c>
      <c r="AL20">
        <f>AD20*$AA$16</f>
        <v>39.591581811375796</v>
      </c>
      <c r="AM20">
        <f>AM19+(AL20/$AA$17)</f>
        <v>0.90685080381263627</v>
      </c>
    </row>
    <row r="21" spans="1:39" x14ac:dyDescent="0.25">
      <c r="A21">
        <v>67.634988751088002</v>
      </c>
      <c r="B21">
        <v>85.131427961001705</v>
      </c>
      <c r="C21">
        <v>2000</v>
      </c>
      <c r="AC21">
        <v>737</v>
      </c>
      <c r="AD21">
        <v>38.315823591436498</v>
      </c>
      <c r="AE21">
        <v>8</v>
      </c>
      <c r="AF21">
        <v>1.01722196789785</v>
      </c>
      <c r="AG21" t="s">
        <v>84</v>
      </c>
      <c r="AH21">
        <v>200</v>
      </c>
      <c r="AI21">
        <v>0.13222554274631901</v>
      </c>
      <c r="AJ21">
        <v>20</v>
      </c>
      <c r="AK21">
        <f>AJ21/$AA$17</f>
        <v>1.2500000000000001E-2</v>
      </c>
      <c r="AL21">
        <f>AD21*$AA$16</f>
        <v>38.315823591436498</v>
      </c>
      <c r="AM21">
        <f>AM20+(AL21/$AA$17)</f>
        <v>0.9307981935572841</v>
      </c>
    </row>
    <row r="22" spans="1:39" x14ac:dyDescent="0.25">
      <c r="A22">
        <v>50.218508012224397</v>
      </c>
      <c r="B22">
        <v>67.714947222138093</v>
      </c>
      <c r="C22">
        <v>2000</v>
      </c>
      <c r="AC22">
        <v>97</v>
      </c>
      <c r="AD22">
        <v>37.770988810940501</v>
      </c>
      <c r="AE22">
        <v>6</v>
      </c>
      <c r="AF22">
        <v>1.5707963267949001</v>
      </c>
      <c r="AG22" t="s">
        <v>84</v>
      </c>
      <c r="AH22">
        <v>420</v>
      </c>
      <c r="AI22">
        <v>0</v>
      </c>
      <c r="AJ22">
        <v>21</v>
      </c>
      <c r="AK22">
        <f>AJ22/$AA$17</f>
        <v>1.3125E-2</v>
      </c>
      <c r="AL22">
        <f>AD22*$AA$16</f>
        <v>37.770988810940501</v>
      </c>
      <c r="AM22">
        <f>AM21+(AL22/$AA$17)</f>
        <v>0.95440506156412197</v>
      </c>
    </row>
    <row r="23" spans="1:39" x14ac:dyDescent="0.25">
      <c r="A23">
        <v>32.206680704750397</v>
      </c>
      <c r="B23">
        <v>49.7031199146641</v>
      </c>
      <c r="C23">
        <v>2000</v>
      </c>
      <c r="AC23">
        <v>90</v>
      </c>
      <c r="AD23">
        <v>36.798226325411299</v>
      </c>
      <c r="AE23">
        <v>8</v>
      </c>
      <c r="AF23">
        <v>1.5707963267949001</v>
      </c>
      <c r="AG23" t="s">
        <v>84</v>
      </c>
      <c r="AH23">
        <v>405</v>
      </c>
      <c r="AI23">
        <v>0</v>
      </c>
      <c r="AJ23">
        <v>22</v>
      </c>
      <c r="AK23">
        <f>AJ23/$AA$17</f>
        <v>1.375E-2</v>
      </c>
      <c r="AL23">
        <f>AD23*$AA$16</f>
        <v>36.798226325411299</v>
      </c>
      <c r="AM23">
        <f>AM22+(AL23/$AA$17)</f>
        <v>0.97740395301750405</v>
      </c>
    </row>
    <row r="24" spans="1:39" x14ac:dyDescent="0.25">
      <c r="A24">
        <v>0</v>
      </c>
      <c r="B24">
        <v>17.496439209913699</v>
      </c>
      <c r="C24">
        <v>2000</v>
      </c>
      <c r="AC24">
        <v>112</v>
      </c>
      <c r="AD24">
        <v>36.785116488932097</v>
      </c>
      <c r="AE24">
        <v>8</v>
      </c>
      <c r="AF24">
        <v>1.01722196789785</v>
      </c>
      <c r="AG24" t="s">
        <v>84</v>
      </c>
      <c r="AH24">
        <v>734</v>
      </c>
      <c r="AI24">
        <v>0</v>
      </c>
      <c r="AJ24">
        <v>23</v>
      </c>
      <c r="AK24">
        <f>AJ24/$AA$17</f>
        <v>1.4375000000000001E-2</v>
      </c>
      <c r="AL24">
        <f>AD24*$AA$16</f>
        <v>36.785116488932097</v>
      </c>
      <c r="AM24">
        <f>AM23+(AL24/$AA$17)</f>
        <v>1.0003946508230865</v>
      </c>
    </row>
    <row r="25" spans="1:39" x14ac:dyDescent="0.25">
      <c r="A25">
        <v>0</v>
      </c>
      <c r="B25">
        <v>18.370471258811399</v>
      </c>
      <c r="C25">
        <v>2001</v>
      </c>
      <c r="AC25">
        <v>96</v>
      </c>
      <c r="AD25">
        <v>31.5449525264704</v>
      </c>
      <c r="AE25">
        <v>12</v>
      </c>
      <c r="AF25">
        <v>1.5707963267949001</v>
      </c>
      <c r="AG25" t="s">
        <v>84</v>
      </c>
      <c r="AH25">
        <v>425</v>
      </c>
      <c r="AI25">
        <v>0</v>
      </c>
      <c r="AJ25">
        <v>24</v>
      </c>
      <c r="AK25">
        <f>AJ25/$AA$17</f>
        <v>1.4999999999999999E-2</v>
      </c>
      <c r="AL25">
        <f>AD25*$AA$16</f>
        <v>31.5449525264704</v>
      </c>
      <c r="AM25">
        <f>AM24+(AL25/$AA$17)</f>
        <v>1.0201102461521305</v>
      </c>
    </row>
    <row r="26" spans="1:39" x14ac:dyDescent="0.25">
      <c r="A26">
        <v>31.9264088265246</v>
      </c>
      <c r="B26">
        <v>50.2968800853359</v>
      </c>
      <c r="C26">
        <v>2001</v>
      </c>
      <c r="AC26">
        <v>103</v>
      </c>
      <c r="AD26">
        <v>28.940986522264399</v>
      </c>
      <c r="AE26">
        <v>8</v>
      </c>
      <c r="AF26">
        <v>1.01722196789785</v>
      </c>
      <c r="AG26" t="s">
        <v>84</v>
      </c>
      <c r="AH26">
        <v>31</v>
      </c>
      <c r="AI26">
        <v>0</v>
      </c>
      <c r="AJ26">
        <v>25</v>
      </c>
      <c r="AK26">
        <f>AJ26/$AA$17</f>
        <v>1.5625E-2</v>
      </c>
      <c r="AL26">
        <f>AD26*$AA$16</f>
        <v>28.940986522264399</v>
      </c>
      <c r="AM26">
        <f>AM25+(AL26/$AA$17)</f>
        <v>1.0381983627285458</v>
      </c>
    </row>
    <row r="27" spans="1:39" x14ac:dyDescent="0.25">
      <c r="A27">
        <v>49.781491987775603</v>
      </c>
      <c r="B27">
        <v>68.151963246586902</v>
      </c>
      <c r="C27">
        <v>2001</v>
      </c>
      <c r="AC27">
        <v>748</v>
      </c>
      <c r="AD27">
        <v>28.033694605567799</v>
      </c>
      <c r="AE27">
        <v>6</v>
      </c>
      <c r="AF27">
        <v>1.5707963267949001</v>
      </c>
      <c r="AG27" t="s">
        <v>84</v>
      </c>
      <c r="AH27">
        <v>655</v>
      </c>
      <c r="AI27">
        <v>0.38291049225174001</v>
      </c>
      <c r="AJ27">
        <v>26</v>
      </c>
      <c r="AK27">
        <f>AJ27/$AA$17</f>
        <v>1.6250000000000001E-2</v>
      </c>
      <c r="AL27">
        <f>AD27*$AA$16</f>
        <v>28.033694605567799</v>
      </c>
      <c r="AM27">
        <f>AM26+(AL27/$AA$17)</f>
        <v>1.0557194218570256</v>
      </c>
    </row>
    <row r="28" spans="1:39" x14ac:dyDescent="0.25">
      <c r="A28">
        <v>67.197972726639193</v>
      </c>
      <c r="B28">
        <v>85.5684439854505</v>
      </c>
      <c r="C28">
        <v>2001</v>
      </c>
      <c r="AC28">
        <v>92</v>
      </c>
      <c r="AD28">
        <v>27.052613998675401</v>
      </c>
      <c r="AE28">
        <v>8</v>
      </c>
      <c r="AF28">
        <v>1.5707963267949001</v>
      </c>
      <c r="AG28" t="s">
        <v>84</v>
      </c>
      <c r="AH28">
        <v>731</v>
      </c>
      <c r="AI28">
        <v>0</v>
      </c>
      <c r="AJ28">
        <v>27</v>
      </c>
      <c r="AK28">
        <f>AJ28/$AA$17</f>
        <v>1.6875000000000001E-2</v>
      </c>
      <c r="AL28">
        <f>AD28*$AA$16</f>
        <v>27.052613998675401</v>
      </c>
      <c r="AM28">
        <f>AM27+(AL28/$AA$17)</f>
        <v>1.0726273056061977</v>
      </c>
    </row>
    <row r="29" spans="1:39" x14ac:dyDescent="0.25">
      <c r="A29">
        <v>81.848036753413098</v>
      </c>
      <c r="B29">
        <v>100.21850801222401</v>
      </c>
      <c r="C29">
        <v>2001</v>
      </c>
      <c r="AC29">
        <v>112</v>
      </c>
      <c r="AD29">
        <v>26.8219987895976</v>
      </c>
      <c r="AE29">
        <v>8</v>
      </c>
      <c r="AF29">
        <v>1.01722196789785</v>
      </c>
      <c r="AG29" t="s">
        <v>84</v>
      </c>
      <c r="AH29">
        <v>35</v>
      </c>
      <c r="AI29">
        <v>0</v>
      </c>
      <c r="AJ29">
        <v>28</v>
      </c>
      <c r="AK29">
        <f>AJ29/$AA$17</f>
        <v>1.7500000000000002E-2</v>
      </c>
      <c r="AL29">
        <f>AD29*$AA$16</f>
        <v>26.8219987895976</v>
      </c>
      <c r="AM29">
        <f>AM28+(AL29/$AA$17)</f>
        <v>1.0893910548496961</v>
      </c>
    </row>
    <row r="30" spans="1:39" x14ac:dyDescent="0.25">
      <c r="A30">
        <v>99.7031199146641</v>
      </c>
      <c r="B30">
        <v>118.07359117347499</v>
      </c>
      <c r="C30">
        <v>2001</v>
      </c>
      <c r="AC30">
        <v>113</v>
      </c>
      <c r="AD30">
        <v>25.956079337954002</v>
      </c>
      <c r="AE30">
        <v>10</v>
      </c>
      <c r="AF30">
        <v>1.01722196789785</v>
      </c>
      <c r="AG30" t="s">
        <v>84</v>
      </c>
      <c r="AH30">
        <v>26</v>
      </c>
      <c r="AI30">
        <v>0</v>
      </c>
      <c r="AJ30">
        <v>29</v>
      </c>
      <c r="AK30">
        <f>AJ30/$AA$17</f>
        <v>1.8124999999999999E-2</v>
      </c>
      <c r="AL30">
        <f>AD30*$AA$16</f>
        <v>25.956079337954002</v>
      </c>
      <c r="AM30">
        <f>AM29+(AL30/$AA$17)</f>
        <v>1.1056136044359173</v>
      </c>
    </row>
    <row r="31" spans="1:39" x14ac:dyDescent="0.25">
      <c r="A31">
        <v>131.62952874118901</v>
      </c>
      <c r="B31">
        <v>150</v>
      </c>
      <c r="C31">
        <v>2001</v>
      </c>
      <c r="AC31">
        <v>740</v>
      </c>
      <c r="AD31">
        <v>25.279899636617301</v>
      </c>
      <c r="AE31">
        <v>6</v>
      </c>
      <c r="AF31">
        <v>1.01722196789785</v>
      </c>
      <c r="AG31" t="s">
        <v>84</v>
      </c>
      <c r="AH31">
        <v>99</v>
      </c>
      <c r="AI31">
        <v>0.13295790203782501</v>
      </c>
      <c r="AJ31">
        <v>30</v>
      </c>
      <c r="AK31">
        <f>AJ31/$AA$17</f>
        <v>1.8749999999999999E-2</v>
      </c>
      <c r="AL31">
        <f>AD31*$AA$16</f>
        <v>25.279899636617301</v>
      </c>
      <c r="AM31">
        <f>AM30+(AL31/$AA$17)</f>
        <v>1.1214135417088031</v>
      </c>
    </row>
    <row r="32" spans="1:39" x14ac:dyDescent="0.25">
      <c r="A32">
        <v>132.503560790086</v>
      </c>
      <c r="B32">
        <v>150</v>
      </c>
      <c r="C32">
        <v>2000</v>
      </c>
      <c r="AC32">
        <v>117</v>
      </c>
      <c r="AD32">
        <v>23.9857369914406</v>
      </c>
      <c r="AE32">
        <v>10</v>
      </c>
      <c r="AF32">
        <v>1.01722196789785</v>
      </c>
      <c r="AG32" t="s">
        <v>84</v>
      </c>
      <c r="AH32">
        <v>731</v>
      </c>
      <c r="AI32">
        <v>0</v>
      </c>
      <c r="AJ32">
        <v>31</v>
      </c>
      <c r="AK32">
        <f>AJ32/$AA$17</f>
        <v>1.9375E-2</v>
      </c>
      <c r="AL32">
        <f>AD32*$AA$16</f>
        <v>23.9857369914406</v>
      </c>
      <c r="AM32">
        <f>AM31+(AL32/$AA$17)</f>
        <v>1.1364046273284536</v>
      </c>
    </row>
    <row r="33" spans="1:39" x14ac:dyDescent="0.25">
      <c r="A33">
        <v>100.296880085336</v>
      </c>
      <c r="B33">
        <v>117.79331929525</v>
      </c>
      <c r="C33">
        <v>2000</v>
      </c>
      <c r="AC33">
        <v>81</v>
      </c>
      <c r="AD33">
        <v>23.779252385437001</v>
      </c>
      <c r="AE33">
        <v>10</v>
      </c>
      <c r="AF33">
        <v>1.5707963267949001</v>
      </c>
      <c r="AG33" t="s">
        <v>84</v>
      </c>
      <c r="AH33">
        <v>330</v>
      </c>
      <c r="AI33">
        <v>0</v>
      </c>
      <c r="AJ33">
        <v>32</v>
      </c>
      <c r="AK33">
        <f>AJ33/$AA$17</f>
        <v>0.02</v>
      </c>
      <c r="AL33">
        <f>AD33*$AA$16</f>
        <v>23.779252385437001</v>
      </c>
      <c r="AM33">
        <f>AM32+(AL33/$AA$17)</f>
        <v>1.1512666600693517</v>
      </c>
    </row>
    <row r="34" spans="1:39" x14ac:dyDescent="0.25">
      <c r="A34">
        <v>82.285052777861907</v>
      </c>
      <c r="B34">
        <v>99.781491987775595</v>
      </c>
      <c r="C34">
        <v>2000</v>
      </c>
      <c r="AC34">
        <v>98</v>
      </c>
      <c r="AD34">
        <v>21.278858706346099</v>
      </c>
      <c r="AE34">
        <v>6</v>
      </c>
      <c r="AF34">
        <v>1.5707963267949001</v>
      </c>
      <c r="AG34" t="s">
        <v>84</v>
      </c>
      <c r="AH34">
        <v>95</v>
      </c>
      <c r="AI34">
        <v>0</v>
      </c>
      <c r="AJ34">
        <v>33</v>
      </c>
      <c r="AK34">
        <f>AJ34/$AA$17</f>
        <v>2.0625000000000001E-2</v>
      </c>
      <c r="AL34">
        <f>AD34*$AA$16</f>
        <v>21.278858706346099</v>
      </c>
      <c r="AM34">
        <f>AM33+(AL34/$AA$17)</f>
        <v>1.164565946760818</v>
      </c>
    </row>
    <row r="35" spans="1:39" x14ac:dyDescent="0.25">
      <c r="A35" t="s">
        <v>83</v>
      </c>
      <c r="AC35">
        <v>109</v>
      </c>
      <c r="AD35">
        <v>20.7388729688175</v>
      </c>
      <c r="AE35">
        <v>12</v>
      </c>
      <c r="AF35">
        <v>1.01722196789785</v>
      </c>
      <c r="AG35" t="s">
        <v>84</v>
      </c>
      <c r="AH35">
        <v>645</v>
      </c>
      <c r="AI35">
        <v>0</v>
      </c>
      <c r="AJ35">
        <v>34</v>
      </c>
      <c r="AK35">
        <f>AJ35/$AA$17</f>
        <v>2.1250000000000002E-2</v>
      </c>
      <c r="AL35">
        <f>AD35*$AA$16</f>
        <v>20.7388729688175</v>
      </c>
      <c r="AM35">
        <f>AM34+(AL35/$AA$17)</f>
        <v>1.1775277423663291</v>
      </c>
    </row>
    <row r="36" spans="1:39" x14ac:dyDescent="0.25">
      <c r="A36">
        <v>350</v>
      </c>
      <c r="B36">
        <v>0</v>
      </c>
      <c r="C36">
        <v>140.88053329349401</v>
      </c>
      <c r="D36">
        <v>43.7487086067052</v>
      </c>
      <c r="E36">
        <v>14</v>
      </c>
      <c r="F36">
        <v>1.01722196789785</v>
      </c>
      <c r="G36" t="s">
        <v>81</v>
      </c>
      <c r="H36" t="s">
        <v>81</v>
      </c>
      <c r="I36">
        <v>0</v>
      </c>
      <c r="J36">
        <v>0</v>
      </c>
      <c r="K36">
        <v>0</v>
      </c>
      <c r="AC36">
        <v>97</v>
      </c>
      <c r="AD36">
        <v>18.2662524591505</v>
      </c>
      <c r="AE36">
        <v>6</v>
      </c>
      <c r="AF36">
        <v>1.5707963267949001</v>
      </c>
      <c r="AG36" t="s">
        <v>84</v>
      </c>
      <c r="AH36">
        <v>113</v>
      </c>
      <c r="AI36">
        <v>0</v>
      </c>
      <c r="AJ36">
        <v>35</v>
      </c>
      <c r="AK36">
        <f>AJ36/$AA$17</f>
        <v>2.1874999999999999E-2</v>
      </c>
      <c r="AL36">
        <f>AD36*$AA$16</f>
        <v>18.2662524591505</v>
      </c>
      <c r="AM36">
        <f>AM35+(AL36/$AA$17)</f>
        <v>1.188944150153298</v>
      </c>
    </row>
    <row r="37" spans="1:39" x14ac:dyDescent="0.25">
      <c r="A37" t="s">
        <v>82</v>
      </c>
      <c r="AC37">
        <v>103</v>
      </c>
      <c r="AD37">
        <v>15.253702632560399</v>
      </c>
      <c r="AE37">
        <v>8</v>
      </c>
      <c r="AF37">
        <v>1.01722196789785</v>
      </c>
      <c r="AG37" t="s">
        <v>84</v>
      </c>
      <c r="AH37">
        <v>90</v>
      </c>
      <c r="AI37">
        <v>0</v>
      </c>
      <c r="AJ37">
        <v>36</v>
      </c>
      <c r="AK37">
        <f>AJ37/$AA$17</f>
        <v>2.2499999999999999E-2</v>
      </c>
      <c r="AL37">
        <f>AD37*$AA$16</f>
        <v>15.253702632560399</v>
      </c>
      <c r="AM37">
        <f>AM36+(AL37/$AA$17)</f>
        <v>1.1984777142986482</v>
      </c>
    </row>
    <row r="38" spans="1:39" x14ac:dyDescent="0.25">
      <c r="A38">
        <v>99.838736527064796</v>
      </c>
      <c r="B38">
        <v>118.84913154965299</v>
      </c>
      <c r="C38">
        <v>2000</v>
      </c>
      <c r="AC38">
        <v>111</v>
      </c>
      <c r="AD38">
        <v>15.0546010696098</v>
      </c>
      <c r="AE38">
        <v>8</v>
      </c>
      <c r="AF38">
        <v>1.01722196789785</v>
      </c>
      <c r="AG38" t="s">
        <v>84</v>
      </c>
      <c r="AH38">
        <v>174</v>
      </c>
      <c r="AI38">
        <v>0</v>
      </c>
      <c r="AJ38">
        <v>37</v>
      </c>
      <c r="AK38">
        <f>AJ38/$AA$17</f>
        <v>2.3125E-2</v>
      </c>
      <c r="AL38">
        <f>AD38*$AA$16</f>
        <v>15.0546010696098</v>
      </c>
      <c r="AM38">
        <f>AM37+(AL38/$AA$17)</f>
        <v>1.2078868399671543</v>
      </c>
    </row>
    <row r="39" spans="1:39" x14ac:dyDescent="0.25">
      <c r="A39">
        <v>80.771096965186999</v>
      </c>
      <c r="B39">
        <v>99.781491987775595</v>
      </c>
      <c r="C39">
        <v>2000</v>
      </c>
      <c r="AC39">
        <v>94</v>
      </c>
      <c r="AD39">
        <v>14.875733980924799</v>
      </c>
      <c r="AE39">
        <v>8</v>
      </c>
      <c r="AF39">
        <v>1.5707963267949001</v>
      </c>
      <c r="AG39" t="s">
        <v>84</v>
      </c>
      <c r="AH39">
        <v>734</v>
      </c>
      <c r="AI39">
        <v>0</v>
      </c>
      <c r="AJ39">
        <v>38</v>
      </c>
      <c r="AK39">
        <f>AJ39/$AA$17</f>
        <v>2.375E-2</v>
      </c>
      <c r="AL39">
        <f>AD39*$AA$16</f>
        <v>14.875733980924799</v>
      </c>
      <c r="AM39">
        <f>AM38+(AL39/$AA$17)</f>
        <v>1.2171841737052322</v>
      </c>
    </row>
    <row r="40" spans="1:39" x14ac:dyDescent="0.25">
      <c r="A40">
        <v>50.218508012224397</v>
      </c>
      <c r="B40">
        <v>69.228903034813001</v>
      </c>
      <c r="C40">
        <v>2000</v>
      </c>
      <c r="AC40">
        <v>115</v>
      </c>
      <c r="AD40">
        <v>14.836118853376799</v>
      </c>
      <c r="AE40">
        <v>10</v>
      </c>
      <c r="AF40">
        <v>1.01722196789785</v>
      </c>
      <c r="AG40" t="s">
        <v>84</v>
      </c>
      <c r="AH40">
        <v>678</v>
      </c>
      <c r="AI40">
        <v>0</v>
      </c>
      <c r="AJ40">
        <v>39</v>
      </c>
      <c r="AK40">
        <f>AJ40/$AA$17</f>
        <v>2.4375000000000001E-2</v>
      </c>
      <c r="AL40">
        <f>AD40*$AA$16</f>
        <v>14.836118853376799</v>
      </c>
      <c r="AM40">
        <f>AM39+(AL40/$AA$17)</f>
        <v>1.2264567479885928</v>
      </c>
    </row>
    <row r="41" spans="1:39" x14ac:dyDescent="0.25">
      <c r="A41">
        <v>30.686108662571002</v>
      </c>
      <c r="B41">
        <v>49.696503685159598</v>
      </c>
      <c r="C41">
        <v>2000</v>
      </c>
      <c r="AC41">
        <v>100</v>
      </c>
      <c r="AD41">
        <v>14.218259683077401</v>
      </c>
      <c r="AE41">
        <v>10</v>
      </c>
      <c r="AF41">
        <v>1.5707963267949001</v>
      </c>
      <c r="AG41" t="s">
        <v>84</v>
      </c>
      <c r="AH41">
        <v>111</v>
      </c>
      <c r="AI41">
        <v>0</v>
      </c>
      <c r="AJ41">
        <v>40</v>
      </c>
      <c r="AK41">
        <f>AJ41/$AA$17</f>
        <v>2.5000000000000001E-2</v>
      </c>
      <c r="AL41">
        <f>AD41*$AA$16</f>
        <v>14.218259683077401</v>
      </c>
      <c r="AM41">
        <f>AM40+(AL41/$AA$17)</f>
        <v>1.2353431602905163</v>
      </c>
    </row>
    <row r="42" spans="1:39" x14ac:dyDescent="0.25">
      <c r="A42">
        <v>0</v>
      </c>
      <c r="B42">
        <v>19.0103950225886</v>
      </c>
      <c r="C42">
        <v>2000</v>
      </c>
      <c r="AC42">
        <v>88</v>
      </c>
      <c r="AD42">
        <v>13.7744144657894</v>
      </c>
      <c r="AE42">
        <v>6</v>
      </c>
      <c r="AF42">
        <v>1.5707963267949001</v>
      </c>
      <c r="AG42" t="s">
        <v>84</v>
      </c>
      <c r="AH42">
        <v>726</v>
      </c>
      <c r="AI42">
        <v>0</v>
      </c>
      <c r="AJ42">
        <v>41</v>
      </c>
      <c r="AK42">
        <f>AJ42/$AA$17</f>
        <v>2.5624999999999998E-2</v>
      </c>
      <c r="AL42">
        <f>AD42*$AA$16</f>
        <v>13.7744144657894</v>
      </c>
      <c r="AM42">
        <f>AM41+(AL42/$AA$17)</f>
        <v>1.2439521693316347</v>
      </c>
    </row>
    <row r="43" spans="1:39" x14ac:dyDescent="0.25">
      <c r="A43">
        <v>0</v>
      </c>
      <c r="B43">
        <v>19.8844270714863</v>
      </c>
      <c r="C43">
        <v>2001</v>
      </c>
      <c r="AC43">
        <v>108</v>
      </c>
      <c r="AD43">
        <v>13.4136102115528</v>
      </c>
      <c r="AE43">
        <v>10</v>
      </c>
      <c r="AF43">
        <v>1.01722196789785</v>
      </c>
      <c r="AG43" t="s">
        <v>84</v>
      </c>
      <c r="AH43">
        <v>84</v>
      </c>
      <c r="AI43">
        <v>0</v>
      </c>
      <c r="AJ43">
        <v>42</v>
      </c>
      <c r="AK43">
        <f>AJ43/$AA$17</f>
        <v>2.6249999999999999E-2</v>
      </c>
      <c r="AL43">
        <f>AD43*$AA$16</f>
        <v>13.4136102115528</v>
      </c>
      <c r="AM43">
        <f>AM42+(AL43/$AA$17)</f>
        <v>1.2523356757138551</v>
      </c>
    </row>
    <row r="44" spans="1:39" x14ac:dyDescent="0.25">
      <c r="A44">
        <v>30.419069243354102</v>
      </c>
      <c r="B44">
        <v>50.303496314840402</v>
      </c>
      <c r="C44">
        <v>2001</v>
      </c>
      <c r="AC44">
        <v>98</v>
      </c>
      <c r="AD44">
        <v>10.580294970388101</v>
      </c>
      <c r="AE44">
        <v>6</v>
      </c>
      <c r="AF44">
        <v>1.5707963267949001</v>
      </c>
      <c r="AG44" t="s">
        <v>84</v>
      </c>
      <c r="AH44">
        <v>99</v>
      </c>
      <c r="AI44">
        <v>0</v>
      </c>
      <c r="AJ44">
        <v>43</v>
      </c>
      <c r="AK44">
        <f>AJ44/$AA$17</f>
        <v>2.6875E-2</v>
      </c>
      <c r="AL44">
        <f>AD44*$AA$16</f>
        <v>10.580294970388101</v>
      </c>
      <c r="AM44">
        <f>AM43+(AL44/$AA$17)</f>
        <v>1.2589483600703477</v>
      </c>
    </row>
    <row r="45" spans="1:39" x14ac:dyDescent="0.25">
      <c r="A45">
        <v>49.781491987775603</v>
      </c>
      <c r="B45">
        <v>69.665919059261896</v>
      </c>
      <c r="C45">
        <v>2001</v>
      </c>
      <c r="AC45">
        <v>105</v>
      </c>
      <c r="AD45">
        <v>9.9051969251389096</v>
      </c>
      <c r="AE45">
        <v>10</v>
      </c>
      <c r="AF45">
        <v>1.01722196789785</v>
      </c>
      <c r="AG45" t="s">
        <v>84</v>
      </c>
      <c r="AH45">
        <v>89</v>
      </c>
      <c r="AI45">
        <v>0</v>
      </c>
      <c r="AJ45">
        <v>44</v>
      </c>
      <c r="AK45">
        <f>AJ45/$AA$17</f>
        <v>2.75E-2</v>
      </c>
      <c r="AL45">
        <f>AD45*$AA$16</f>
        <v>9.9051969251389096</v>
      </c>
      <c r="AM45">
        <f>AM44+(AL45/$AA$17)</f>
        <v>1.2651391081485595</v>
      </c>
    </row>
    <row r="46" spans="1:39" x14ac:dyDescent="0.25">
      <c r="A46">
        <v>80.334080940738204</v>
      </c>
      <c r="B46">
        <v>100.21850801222401</v>
      </c>
      <c r="C46">
        <v>2001</v>
      </c>
      <c r="AC46">
        <v>748</v>
      </c>
      <c r="AD46">
        <v>8.4869252942848306</v>
      </c>
      <c r="AE46">
        <v>6</v>
      </c>
      <c r="AF46">
        <v>1.5707963267949001</v>
      </c>
      <c r="AG46" t="s">
        <v>84</v>
      </c>
      <c r="AH46">
        <v>323</v>
      </c>
      <c r="AI46">
        <v>0.38291049225174001</v>
      </c>
      <c r="AJ46">
        <v>45</v>
      </c>
      <c r="AK46">
        <f>AJ46/$AA$17</f>
        <v>2.8125000000000001E-2</v>
      </c>
      <c r="AL46">
        <f>AD46*$AA$16</f>
        <v>8.4869252942848306</v>
      </c>
      <c r="AM46">
        <f>AM45+(AL46/$AA$17)</f>
        <v>1.2704434364574875</v>
      </c>
    </row>
    <row r="47" spans="1:39" x14ac:dyDescent="0.25">
      <c r="A47">
        <v>99.396424330949401</v>
      </c>
      <c r="B47">
        <v>119.280851402436</v>
      </c>
      <c r="C47">
        <v>2001</v>
      </c>
      <c r="AC47">
        <v>92</v>
      </c>
      <c r="AD47">
        <v>8.2956798958445308</v>
      </c>
      <c r="AE47">
        <v>8</v>
      </c>
      <c r="AF47">
        <v>1.5707963267949001</v>
      </c>
      <c r="AG47" t="s">
        <v>84</v>
      </c>
      <c r="AH47">
        <v>107</v>
      </c>
      <c r="AI47">
        <v>0</v>
      </c>
      <c r="AJ47">
        <v>46</v>
      </c>
      <c r="AK47">
        <f>AJ47/$AA$17</f>
        <v>2.8750000000000001E-2</v>
      </c>
      <c r="AL47">
        <f>AD47*$AA$16</f>
        <v>8.2956798958445308</v>
      </c>
      <c r="AM47">
        <f>AM46+(AL47/$AA$17)</f>
        <v>1.2756282363923903</v>
      </c>
    </row>
    <row r="48" spans="1:39" x14ac:dyDescent="0.25">
      <c r="A48">
        <v>99.778790784696</v>
      </c>
      <c r="B48">
        <v>119.663217856182</v>
      </c>
      <c r="C48">
        <v>2001</v>
      </c>
      <c r="AC48">
        <v>89</v>
      </c>
      <c r="AD48">
        <v>7.3370679247197303</v>
      </c>
      <c r="AE48">
        <v>5</v>
      </c>
      <c r="AF48">
        <v>1.5707963267949001</v>
      </c>
      <c r="AG48" t="s">
        <v>84</v>
      </c>
      <c r="AH48">
        <v>85</v>
      </c>
      <c r="AI48">
        <v>0</v>
      </c>
      <c r="AJ48">
        <v>47</v>
      </c>
      <c r="AK48">
        <f>AJ48/$AA$17</f>
        <v>2.9374999999999998E-2</v>
      </c>
      <c r="AL48">
        <f>AD48*$AA$16</f>
        <v>7.3370679247197303</v>
      </c>
      <c r="AM48">
        <f>AM47+(AL48/$AA$17)</f>
        <v>1.2802139038453402</v>
      </c>
    </row>
    <row r="49" spans="1:39" x14ac:dyDescent="0.25">
      <c r="A49">
        <v>130.11557292851401</v>
      </c>
      <c r="B49">
        <v>150</v>
      </c>
      <c r="C49">
        <v>2001</v>
      </c>
      <c r="AC49">
        <v>111</v>
      </c>
      <c r="AD49">
        <v>6.9255577546899998</v>
      </c>
      <c r="AE49">
        <v>8</v>
      </c>
      <c r="AF49">
        <v>1.01722196789785</v>
      </c>
      <c r="AG49" t="s">
        <v>84</v>
      </c>
      <c r="AH49">
        <v>100</v>
      </c>
      <c r="AI49">
        <v>0</v>
      </c>
      <c r="AJ49">
        <v>48</v>
      </c>
      <c r="AK49">
        <f>AJ49/$AA$17</f>
        <v>0.03</v>
      </c>
      <c r="AL49">
        <f>AD49*$AA$16</f>
        <v>6.9255577546899998</v>
      </c>
      <c r="AM49">
        <f>AM48+(AL49/$AA$17)</f>
        <v>1.2845423774420215</v>
      </c>
    </row>
    <row r="50" spans="1:39" x14ac:dyDescent="0.25">
      <c r="A50">
        <v>130.98960497741101</v>
      </c>
      <c r="B50">
        <v>150</v>
      </c>
      <c r="C50">
        <v>2000</v>
      </c>
      <c r="AC50">
        <v>101</v>
      </c>
      <c r="AD50">
        <v>6.7178431336606801</v>
      </c>
      <c r="AE50">
        <v>10</v>
      </c>
      <c r="AF50">
        <v>1.01722196789785</v>
      </c>
      <c r="AG50" t="s">
        <v>84</v>
      </c>
      <c r="AH50">
        <v>111</v>
      </c>
      <c r="AI50">
        <v>0</v>
      </c>
      <c r="AJ50">
        <v>49</v>
      </c>
      <c r="AK50">
        <f>AJ50/$AA$17</f>
        <v>3.0624999999999999E-2</v>
      </c>
      <c r="AL50">
        <f>AD50*$AA$16</f>
        <v>6.7178431336606801</v>
      </c>
      <c r="AM50">
        <f>AM49+(AL50/$AA$17)</f>
        <v>1.2887410294005595</v>
      </c>
    </row>
    <row r="51" spans="1:39" x14ac:dyDescent="0.25">
      <c r="A51">
        <v>100.221209215304</v>
      </c>
      <c r="B51">
        <v>119.231604237893</v>
      </c>
      <c r="C51">
        <v>2000</v>
      </c>
      <c r="AC51">
        <v>740</v>
      </c>
      <c r="AD51">
        <v>6.57925404011689</v>
      </c>
      <c r="AE51">
        <v>6</v>
      </c>
      <c r="AF51">
        <v>1.01722196789785</v>
      </c>
      <c r="AG51" t="s">
        <v>84</v>
      </c>
      <c r="AH51">
        <v>95</v>
      </c>
      <c r="AI51">
        <v>0.13295790203782501</v>
      </c>
      <c r="AJ51">
        <v>50</v>
      </c>
      <c r="AK51">
        <f>AJ51/$AA$17</f>
        <v>3.125E-2</v>
      </c>
      <c r="AL51">
        <f>AD51*$AA$16</f>
        <v>6.57925404011689</v>
      </c>
      <c r="AM51">
        <f>AM50+(AL51/$AA$17)</f>
        <v>1.2928530631756325</v>
      </c>
    </row>
    <row r="52" spans="1:39" x14ac:dyDescent="0.25">
      <c r="A52" t="s">
        <v>83</v>
      </c>
      <c r="AC52">
        <v>737</v>
      </c>
      <c r="AD52">
        <v>4.9600054083390104</v>
      </c>
      <c r="AE52">
        <v>8</v>
      </c>
      <c r="AF52">
        <v>1.01722196789785</v>
      </c>
      <c r="AG52" t="s">
        <v>84</v>
      </c>
      <c r="AH52">
        <v>110</v>
      </c>
      <c r="AI52">
        <v>0.13222554274631901</v>
      </c>
      <c r="AJ52">
        <v>51</v>
      </c>
      <c r="AK52">
        <f>AJ52/$AA$17</f>
        <v>3.1875000000000001E-2</v>
      </c>
      <c r="AL52">
        <f>AD52*$AA$16</f>
        <v>4.9600054083390104</v>
      </c>
      <c r="AM52">
        <f>AM51+(AL52/$AA$17)</f>
        <v>1.2959530665558445</v>
      </c>
    </row>
    <row r="53" spans="1:39" x14ac:dyDescent="0.25">
      <c r="A53">
        <v>36</v>
      </c>
      <c r="B53">
        <v>0</v>
      </c>
      <c r="C53">
        <v>39.553862505746999</v>
      </c>
      <c r="D53">
        <v>143.15697172453</v>
      </c>
      <c r="E53">
        <v>14</v>
      </c>
      <c r="F53">
        <v>1.01722196789785</v>
      </c>
      <c r="G53" t="s">
        <v>81</v>
      </c>
      <c r="H53" t="s">
        <v>84</v>
      </c>
      <c r="I53">
        <v>0</v>
      </c>
      <c r="J53">
        <v>402</v>
      </c>
      <c r="K53">
        <v>0</v>
      </c>
      <c r="AC53">
        <v>83</v>
      </c>
      <c r="AD53">
        <v>4.5882250647587002</v>
      </c>
      <c r="AE53">
        <v>4</v>
      </c>
      <c r="AF53">
        <v>1.5707963267949001</v>
      </c>
      <c r="AG53" t="s">
        <v>84</v>
      </c>
      <c r="AH53">
        <v>99</v>
      </c>
      <c r="AI53">
        <v>0</v>
      </c>
      <c r="AJ53">
        <v>52</v>
      </c>
      <c r="AK53">
        <f>AJ53/$AA$17</f>
        <v>3.2500000000000001E-2</v>
      </c>
      <c r="AL53">
        <f>AD53*$AA$16</f>
        <v>4.5882250647587002</v>
      </c>
      <c r="AM53">
        <f>AM52+(AL53/$AA$17)</f>
        <v>1.2988207072213187</v>
      </c>
    </row>
    <row r="54" spans="1:39" x14ac:dyDescent="0.25">
      <c r="A54" t="s">
        <v>82</v>
      </c>
      <c r="AC54">
        <v>99</v>
      </c>
      <c r="AD54">
        <v>4.3936856438228196</v>
      </c>
      <c r="AE54">
        <v>5</v>
      </c>
      <c r="AF54">
        <v>1.5707963267949001</v>
      </c>
      <c r="AG54" t="s">
        <v>84</v>
      </c>
      <c r="AH54">
        <v>83</v>
      </c>
      <c r="AI54">
        <v>0</v>
      </c>
      <c r="AJ54">
        <v>53</v>
      </c>
      <c r="AK54">
        <f>AJ54/$AA$17</f>
        <v>3.3125000000000002E-2</v>
      </c>
      <c r="AL54">
        <f>AD54*$AA$16</f>
        <v>4.3936856438228196</v>
      </c>
      <c r="AM54">
        <f>AM53+(AL54/$AA$17)</f>
        <v>1.301566760748708</v>
      </c>
    </row>
    <row r="55" spans="1:39" x14ac:dyDescent="0.25">
      <c r="A55">
        <v>31.261587382161199</v>
      </c>
      <c r="B55">
        <v>27.838813836831001</v>
      </c>
      <c r="C55">
        <v>2000</v>
      </c>
      <c r="AC55">
        <v>113</v>
      </c>
      <c r="AD55">
        <v>1.81679350310166</v>
      </c>
      <c r="AE55">
        <v>10</v>
      </c>
      <c r="AF55">
        <v>1.01722196789785</v>
      </c>
      <c r="AG55" t="s">
        <v>84</v>
      </c>
      <c r="AH55">
        <v>97</v>
      </c>
      <c r="AI55">
        <v>0</v>
      </c>
      <c r="AJ55">
        <v>54</v>
      </c>
      <c r="AK55">
        <f>AJ55/$AA$17</f>
        <v>3.3750000000000002E-2</v>
      </c>
      <c r="AL55">
        <f>AD55*$AA$16</f>
        <v>1.81679350310166</v>
      </c>
      <c r="AM55">
        <f>AM54+(AL55/$AA$17)</f>
        <v>1.3027022566881465</v>
      </c>
    </row>
    <row r="56" spans="1:39" x14ac:dyDescent="0.25">
      <c r="A56">
        <v>3.4227735453301702</v>
      </c>
      <c r="B56">
        <v>0</v>
      </c>
      <c r="C56">
        <v>2000</v>
      </c>
      <c r="AC56">
        <v>120</v>
      </c>
      <c r="AD56">
        <v>1.4990088830911099</v>
      </c>
      <c r="AE56">
        <v>10</v>
      </c>
      <c r="AF56">
        <v>1.01722196789785</v>
      </c>
      <c r="AG56" t="s">
        <v>84</v>
      </c>
      <c r="AH56">
        <v>113</v>
      </c>
      <c r="AI56">
        <v>0</v>
      </c>
      <c r="AJ56">
        <v>55</v>
      </c>
      <c r="AK56">
        <f>AJ56/$AA$17</f>
        <v>3.4375000000000003E-2</v>
      </c>
      <c r="AL56">
        <f>AD56*$AA$16</f>
        <v>1.4990088830911099</v>
      </c>
      <c r="AM56">
        <f>AM55+(AL56/$AA$17)</f>
        <v>1.3036391372400784</v>
      </c>
    </row>
    <row r="57" spans="1:39" x14ac:dyDescent="0.25">
      <c r="A57">
        <v>2.5487414964325201</v>
      </c>
      <c r="B57">
        <v>0</v>
      </c>
      <c r="C57">
        <v>2001</v>
      </c>
      <c r="AC57">
        <v>107</v>
      </c>
      <c r="AD57">
        <v>1.1074940626462</v>
      </c>
      <c r="AE57">
        <v>10</v>
      </c>
      <c r="AF57">
        <v>1.01722196789785</v>
      </c>
      <c r="AG57" t="s">
        <v>84</v>
      </c>
      <c r="AH57">
        <v>92</v>
      </c>
      <c r="AI57">
        <v>0</v>
      </c>
      <c r="AJ57">
        <v>56</v>
      </c>
      <c r="AK57">
        <f>AJ57/$AA$17</f>
        <v>3.5000000000000003E-2</v>
      </c>
      <c r="AL57">
        <f>AD57*$AA$16</f>
        <v>1.1074940626462</v>
      </c>
      <c r="AM57">
        <f>AM56+(AL57/$AA$17)</f>
        <v>1.3043313210292322</v>
      </c>
    </row>
    <row r="58" spans="1:39" x14ac:dyDescent="0.25">
      <c r="A58">
        <v>30.647536459469599</v>
      </c>
      <c r="B58">
        <v>28.098794963037101</v>
      </c>
      <c r="C58">
        <v>2001</v>
      </c>
      <c r="AC58">
        <v>118</v>
      </c>
      <c r="AD58">
        <v>0.74973467428387197</v>
      </c>
      <c r="AE58">
        <v>10</v>
      </c>
      <c r="AF58">
        <v>1.01722196789785</v>
      </c>
      <c r="AG58" t="s">
        <v>84</v>
      </c>
      <c r="AH58">
        <v>107</v>
      </c>
      <c r="AI58">
        <v>0</v>
      </c>
      <c r="AJ58">
        <v>57</v>
      </c>
      <c r="AK58">
        <f>AJ58/$AA$17</f>
        <v>3.5624999999999997E-2</v>
      </c>
      <c r="AL58">
        <f>AD58*$AA$16</f>
        <v>0.74973467428387197</v>
      </c>
      <c r="AM58">
        <f>AM57+(AL58/$AA$17)</f>
        <v>1.3047999052006596</v>
      </c>
    </row>
    <row r="59" spans="1:39" x14ac:dyDescent="0.25">
      <c r="A59">
        <v>49.781491987775603</v>
      </c>
      <c r="B59">
        <v>47.232750491342998</v>
      </c>
      <c r="C59">
        <v>2001</v>
      </c>
      <c r="AC59">
        <v>90</v>
      </c>
      <c r="AD59">
        <v>0</v>
      </c>
      <c r="AE59">
        <v>8</v>
      </c>
      <c r="AF59">
        <v>1.5707963267949001</v>
      </c>
      <c r="AG59" t="s">
        <v>84</v>
      </c>
      <c r="AH59">
        <v>103</v>
      </c>
      <c r="AI59">
        <v>0</v>
      </c>
      <c r="AJ59">
        <v>58</v>
      </c>
      <c r="AK59">
        <f>AJ59/$AA$17</f>
        <v>3.6249999999999998E-2</v>
      </c>
      <c r="AL59">
        <f>AD59*$AA$16</f>
        <v>0</v>
      </c>
      <c r="AM59">
        <f>AM58+(AL59/$AA$17)</f>
        <v>1.3047999052006596</v>
      </c>
    </row>
    <row r="60" spans="1:39" x14ac:dyDescent="0.25">
      <c r="A60">
        <v>52.767249508657002</v>
      </c>
      <c r="B60">
        <v>50.218508012224397</v>
      </c>
      <c r="C60">
        <v>2001</v>
      </c>
      <c r="AC60">
        <v>88</v>
      </c>
      <c r="AD60">
        <v>0</v>
      </c>
      <c r="AE60">
        <v>6</v>
      </c>
      <c r="AF60">
        <v>1.5707963267949001</v>
      </c>
      <c r="AG60" t="s">
        <v>84</v>
      </c>
      <c r="AH60">
        <v>86</v>
      </c>
      <c r="AI60">
        <v>0</v>
      </c>
      <c r="AJ60">
        <v>59</v>
      </c>
      <c r="AK60">
        <f>AJ60/$AA$17</f>
        <v>3.6874999999999998E-2</v>
      </c>
      <c r="AL60">
        <f>AD60*$AA$16</f>
        <v>0</v>
      </c>
      <c r="AM60">
        <f>AM59+(AL60/$AA$17)</f>
        <v>1.3047999052006596</v>
      </c>
    </row>
    <row r="61" spans="1:39" x14ac:dyDescent="0.25">
      <c r="A61">
        <v>99.781491987775595</v>
      </c>
      <c r="B61">
        <v>97.232750491342998</v>
      </c>
      <c r="C61">
        <v>2001</v>
      </c>
      <c r="AC61">
        <v>89</v>
      </c>
      <c r="AD61">
        <v>0</v>
      </c>
      <c r="AE61">
        <v>5</v>
      </c>
      <c r="AF61">
        <v>1.5707963267949001</v>
      </c>
      <c r="AG61" t="s">
        <v>84</v>
      </c>
      <c r="AH61">
        <v>105</v>
      </c>
      <c r="AI61">
        <v>0</v>
      </c>
      <c r="AJ61">
        <v>60</v>
      </c>
      <c r="AK61">
        <f>AJ61/$AA$17</f>
        <v>3.7499999999999999E-2</v>
      </c>
      <c r="AL61">
        <f>AD61*$AA$16</f>
        <v>0</v>
      </c>
      <c r="AM61">
        <f>AM60+(AL61/$AA$17)</f>
        <v>1.3047999052006596</v>
      </c>
    </row>
    <row r="62" spans="1:39" x14ac:dyDescent="0.25">
      <c r="A62">
        <v>102.767249508657</v>
      </c>
      <c r="B62">
        <v>100.21850801222401</v>
      </c>
      <c r="C62">
        <v>2001</v>
      </c>
      <c r="AC62">
        <v>83</v>
      </c>
      <c r="AD62">
        <v>0</v>
      </c>
      <c r="AE62">
        <v>4</v>
      </c>
      <c r="AF62">
        <v>1.5707963267949001</v>
      </c>
      <c r="AG62" t="s">
        <v>84</v>
      </c>
      <c r="AH62">
        <v>728</v>
      </c>
      <c r="AI62">
        <v>0</v>
      </c>
      <c r="AJ62">
        <v>61</v>
      </c>
      <c r="AK62">
        <f>AJ62/$AA$17</f>
        <v>3.8124999999999999E-2</v>
      </c>
      <c r="AL62">
        <f>AD62*$AA$16</f>
        <v>0</v>
      </c>
      <c r="AM62">
        <f>AM61+(AL62/$AA$17)</f>
        <v>1.3047999052006596</v>
      </c>
    </row>
    <row r="63" spans="1:39" x14ac:dyDescent="0.25">
      <c r="A63">
        <v>131.96331938913701</v>
      </c>
      <c r="B63">
        <v>129.41457789270399</v>
      </c>
      <c r="C63">
        <v>2001</v>
      </c>
      <c r="AC63">
        <v>99</v>
      </c>
      <c r="AD63">
        <v>0</v>
      </c>
      <c r="AE63">
        <v>5</v>
      </c>
      <c r="AF63">
        <v>1.5707963267949001</v>
      </c>
      <c r="AG63" t="s">
        <v>84</v>
      </c>
      <c r="AH63">
        <v>98</v>
      </c>
      <c r="AI63">
        <v>0</v>
      </c>
      <c r="AJ63">
        <v>62</v>
      </c>
      <c r="AK63">
        <f>AJ63/$AA$17</f>
        <v>3.875E-2</v>
      </c>
      <c r="AL63">
        <f>AD63*$AA$16</f>
        <v>0</v>
      </c>
      <c r="AM63">
        <f>AM62+(AL63/$AA$17)</f>
        <v>1.3047999052006596</v>
      </c>
    </row>
    <row r="64" spans="1:39" x14ac:dyDescent="0.25">
      <c r="A64">
        <v>132.40033541358599</v>
      </c>
      <c r="B64">
        <v>128.977561868256</v>
      </c>
      <c r="C64">
        <v>2000</v>
      </c>
    </row>
    <row r="65" spans="1:11" x14ac:dyDescent="0.25">
      <c r="A65">
        <v>103.204265533106</v>
      </c>
      <c r="B65">
        <v>99.781491987775595</v>
      </c>
      <c r="C65">
        <v>2000</v>
      </c>
    </row>
    <row r="66" spans="1:11" x14ac:dyDescent="0.25">
      <c r="A66">
        <v>100.21850801222401</v>
      </c>
      <c r="B66">
        <v>96.795734466894203</v>
      </c>
      <c r="C66">
        <v>2000</v>
      </c>
    </row>
    <row r="67" spans="1:11" x14ac:dyDescent="0.25">
      <c r="A67">
        <v>53.204265533105797</v>
      </c>
      <c r="B67">
        <v>49.781491987775603</v>
      </c>
      <c r="C67">
        <v>2000</v>
      </c>
    </row>
    <row r="68" spans="1:11" x14ac:dyDescent="0.25">
      <c r="A68">
        <v>50.218508012224397</v>
      </c>
      <c r="B68">
        <v>46.795734466894203</v>
      </c>
      <c r="C68">
        <v>2000</v>
      </c>
    </row>
    <row r="69" spans="1:11" x14ac:dyDescent="0.25">
      <c r="A69" t="s">
        <v>83</v>
      </c>
    </row>
    <row r="70" spans="1:11" x14ac:dyDescent="0.25">
      <c r="A70">
        <v>114</v>
      </c>
      <c r="B70">
        <v>0</v>
      </c>
      <c r="C70">
        <v>106.651006874507</v>
      </c>
      <c r="D70">
        <v>75.615521715833594</v>
      </c>
      <c r="E70">
        <v>14</v>
      </c>
      <c r="F70">
        <v>1.01722196789785</v>
      </c>
      <c r="G70" t="s">
        <v>81</v>
      </c>
      <c r="H70" t="s">
        <v>81</v>
      </c>
      <c r="I70">
        <v>0</v>
      </c>
      <c r="J70">
        <v>0</v>
      </c>
      <c r="K70">
        <v>0</v>
      </c>
    </row>
    <row r="71" spans="1:11" x14ac:dyDescent="0.25">
      <c r="A71" t="s">
        <v>82</v>
      </c>
    </row>
    <row r="72" spans="1:11" x14ac:dyDescent="0.25">
      <c r="A72">
        <v>75.1951421691127</v>
      </c>
      <c r="B72">
        <v>96.7502598439998</v>
      </c>
      <c r="C72">
        <v>2000</v>
      </c>
    </row>
    <row r="73" spans="1:11" x14ac:dyDescent="0.25">
      <c r="A73">
        <v>49.781491987775603</v>
      </c>
      <c r="B73">
        <v>71.336609662662696</v>
      </c>
      <c r="C73">
        <v>2000</v>
      </c>
    </row>
    <row r="74" spans="1:11" x14ac:dyDescent="0.25">
      <c r="A74">
        <v>28.755679825609</v>
      </c>
      <c r="B74">
        <v>50.3107975004962</v>
      </c>
      <c r="C74">
        <v>2000</v>
      </c>
    </row>
    <row r="75" spans="1:11" x14ac:dyDescent="0.25">
      <c r="A75">
        <v>0</v>
      </c>
      <c r="B75">
        <v>21.5551176748872</v>
      </c>
      <c r="C75">
        <v>2000</v>
      </c>
    </row>
    <row r="76" spans="1:11" x14ac:dyDescent="0.25">
      <c r="A76">
        <v>0</v>
      </c>
      <c r="B76">
        <v>20.681085625989599</v>
      </c>
      <c r="C76">
        <v>2001</v>
      </c>
    </row>
    <row r="77" spans="1:11" x14ac:dyDescent="0.25">
      <c r="A77">
        <v>29.008116873514201</v>
      </c>
      <c r="B77">
        <v>49.6892024995038</v>
      </c>
      <c r="C77">
        <v>2001</v>
      </c>
    </row>
    <row r="78" spans="1:11" x14ac:dyDescent="0.25">
      <c r="A78">
        <v>50.218508012224397</v>
      </c>
      <c r="B78">
        <v>70.899593638213901</v>
      </c>
      <c r="C78">
        <v>2001</v>
      </c>
    </row>
    <row r="79" spans="1:11" x14ac:dyDescent="0.25">
      <c r="A79">
        <v>75.632158193561494</v>
      </c>
      <c r="B79">
        <v>96.313243819551005</v>
      </c>
      <c r="C79">
        <v>2001</v>
      </c>
    </row>
    <row r="80" spans="1:11" x14ac:dyDescent="0.25">
      <c r="A80">
        <v>79.100406361786099</v>
      </c>
      <c r="B80">
        <v>99.781491987775595</v>
      </c>
      <c r="C80">
        <v>2001</v>
      </c>
    </row>
    <row r="81" spans="1:11" x14ac:dyDescent="0.25">
      <c r="A81">
        <v>100.31079750049599</v>
      </c>
      <c r="B81">
        <v>120.991883126486</v>
      </c>
      <c r="C81">
        <v>2001</v>
      </c>
    </row>
    <row r="82" spans="1:11" x14ac:dyDescent="0.25">
      <c r="A82">
        <v>129.318914374011</v>
      </c>
      <c r="B82">
        <v>150</v>
      </c>
      <c r="C82">
        <v>2001</v>
      </c>
    </row>
    <row r="83" spans="1:11" x14ac:dyDescent="0.25">
      <c r="A83">
        <v>128.44488232511301</v>
      </c>
      <c r="B83">
        <v>150</v>
      </c>
      <c r="C83">
        <v>2000</v>
      </c>
    </row>
    <row r="84" spans="1:11" x14ac:dyDescent="0.25">
      <c r="A84">
        <v>99.689202499503807</v>
      </c>
      <c r="B84">
        <v>121.24432017439101</v>
      </c>
      <c r="C84">
        <v>2000</v>
      </c>
    </row>
    <row r="85" spans="1:11" x14ac:dyDescent="0.25">
      <c r="A85">
        <v>78.663390337337304</v>
      </c>
      <c r="B85">
        <v>100.21850801222401</v>
      </c>
      <c r="C85">
        <v>2000</v>
      </c>
    </row>
    <row r="86" spans="1:11" x14ac:dyDescent="0.25">
      <c r="A86" t="s">
        <v>83</v>
      </c>
    </row>
    <row r="87" spans="1:11" x14ac:dyDescent="0.25">
      <c r="A87">
        <v>432</v>
      </c>
      <c r="B87">
        <v>0</v>
      </c>
      <c r="C87">
        <v>169.43987070258399</v>
      </c>
      <c r="D87">
        <v>12.203524750012599</v>
      </c>
      <c r="E87">
        <v>14</v>
      </c>
      <c r="F87">
        <v>1.01722196789785</v>
      </c>
      <c r="G87" t="s">
        <v>84</v>
      </c>
      <c r="H87" t="s">
        <v>81</v>
      </c>
      <c r="I87">
        <v>20</v>
      </c>
      <c r="J87">
        <v>0</v>
      </c>
      <c r="K87">
        <v>0</v>
      </c>
    </row>
    <row r="88" spans="1:11" x14ac:dyDescent="0.25">
      <c r="A88" t="s">
        <v>82</v>
      </c>
    </row>
    <row r="89" spans="1:11" x14ac:dyDescent="0.25">
      <c r="A89">
        <v>124.413377131782</v>
      </c>
      <c r="B89">
        <v>141.42721929398999</v>
      </c>
      <c r="C89">
        <v>2000</v>
      </c>
    </row>
    <row r="90" spans="1:11" x14ac:dyDescent="0.25">
      <c r="A90">
        <v>99.781491987775595</v>
      </c>
      <c r="B90">
        <v>116.795334149984</v>
      </c>
      <c r="C90">
        <v>2000</v>
      </c>
    </row>
    <row r="91" spans="1:11" x14ac:dyDescent="0.25">
      <c r="A91">
        <v>83.204665850016397</v>
      </c>
      <c r="B91">
        <v>100.21850801222401</v>
      </c>
      <c r="C91">
        <v>2000</v>
      </c>
    </row>
    <row r="92" spans="1:11" x14ac:dyDescent="0.25">
      <c r="A92">
        <v>49.781491987775603</v>
      </c>
      <c r="B92">
        <v>66.795334149983603</v>
      </c>
      <c r="C92">
        <v>2000</v>
      </c>
    </row>
    <row r="93" spans="1:11" x14ac:dyDescent="0.25">
      <c r="A93">
        <v>33.204665850016397</v>
      </c>
      <c r="B93">
        <v>50.218508012224397</v>
      </c>
      <c r="C93">
        <v>2000</v>
      </c>
    </row>
    <row r="94" spans="1:11" x14ac:dyDescent="0.25">
      <c r="A94">
        <v>4.7633891677357898</v>
      </c>
      <c r="B94">
        <v>21.777231329943799</v>
      </c>
      <c r="C94">
        <v>2000</v>
      </c>
    </row>
    <row r="95" spans="1:11" x14ac:dyDescent="0.25">
      <c r="A95">
        <v>5.2004051921846104</v>
      </c>
      <c r="B95">
        <v>21.340215305495001</v>
      </c>
      <c r="C95">
        <v>2001</v>
      </c>
    </row>
    <row r="96" spans="1:11" x14ac:dyDescent="0.25">
      <c r="A96">
        <v>33.641681874465199</v>
      </c>
      <c r="B96">
        <v>49.781491987775603</v>
      </c>
      <c r="C96">
        <v>2001</v>
      </c>
    </row>
    <row r="97" spans="1:11" x14ac:dyDescent="0.25">
      <c r="A97">
        <v>50.218508012224397</v>
      </c>
      <c r="B97">
        <v>66.358318125534794</v>
      </c>
      <c r="C97">
        <v>2001</v>
      </c>
    </row>
    <row r="98" spans="1:11" x14ac:dyDescent="0.25">
      <c r="A98">
        <v>83.641681874465206</v>
      </c>
      <c r="B98">
        <v>99.781491987775595</v>
      </c>
      <c r="C98">
        <v>2001</v>
      </c>
    </row>
    <row r="99" spans="1:11" x14ac:dyDescent="0.25">
      <c r="A99">
        <v>100.21850801222401</v>
      </c>
      <c r="B99">
        <v>116.35831812553501</v>
      </c>
      <c r="C99">
        <v>2001</v>
      </c>
    </row>
    <row r="100" spans="1:11" x14ac:dyDescent="0.25">
      <c r="A100">
        <v>125.17458038247599</v>
      </c>
      <c r="B100">
        <v>141.314390495786</v>
      </c>
      <c r="C100">
        <v>2001</v>
      </c>
    </row>
    <row r="101" spans="1:11" x14ac:dyDescent="0.25">
      <c r="A101">
        <v>133.86018988668999</v>
      </c>
      <c r="B101">
        <v>150</v>
      </c>
      <c r="C101">
        <v>2001</v>
      </c>
    </row>
    <row r="102" spans="1:11" x14ac:dyDescent="0.25">
      <c r="A102">
        <v>132.98615783779201</v>
      </c>
      <c r="B102">
        <v>150</v>
      </c>
      <c r="C102">
        <v>2000</v>
      </c>
    </row>
    <row r="103" spans="1:11" x14ac:dyDescent="0.25">
      <c r="A103" t="s">
        <v>83</v>
      </c>
    </row>
    <row r="104" spans="1:11" x14ac:dyDescent="0.25">
      <c r="A104">
        <v>508</v>
      </c>
      <c r="B104">
        <v>0</v>
      </c>
      <c r="C104">
        <v>53.779819505246799</v>
      </c>
      <c r="D104">
        <v>121.300659260494</v>
      </c>
      <c r="E104">
        <v>14</v>
      </c>
      <c r="F104">
        <v>1.01722196789785</v>
      </c>
      <c r="G104" t="s">
        <v>81</v>
      </c>
      <c r="H104" t="s">
        <v>84</v>
      </c>
      <c r="I104">
        <v>0</v>
      </c>
      <c r="J104">
        <v>416</v>
      </c>
      <c r="K104">
        <v>0</v>
      </c>
    </row>
    <row r="105" spans="1:11" x14ac:dyDescent="0.25">
      <c r="A105" t="s">
        <v>82</v>
      </c>
    </row>
    <row r="106" spans="1:11" x14ac:dyDescent="0.25">
      <c r="A106">
        <v>63.549260090577803</v>
      </c>
      <c r="B106">
        <v>37.845762677179003</v>
      </c>
      <c r="C106">
        <v>2000</v>
      </c>
    </row>
    <row r="107" spans="1:11" x14ac:dyDescent="0.25">
      <c r="A107">
        <v>50.294898076642099</v>
      </c>
      <c r="B107">
        <v>24.591400663243199</v>
      </c>
      <c r="C107">
        <v>2000</v>
      </c>
    </row>
    <row r="108" spans="1:11" x14ac:dyDescent="0.25">
      <c r="A108">
        <v>25.7034974133988</v>
      </c>
      <c r="B108">
        <v>0</v>
      </c>
      <c r="C108">
        <v>2000</v>
      </c>
    </row>
    <row r="109" spans="1:11" x14ac:dyDescent="0.25">
      <c r="A109">
        <v>24.8294653645012</v>
      </c>
      <c r="B109">
        <v>0</v>
      </c>
      <c r="C109">
        <v>2001</v>
      </c>
    </row>
    <row r="110" spans="1:11" x14ac:dyDescent="0.25">
      <c r="A110">
        <v>49.705101923357901</v>
      </c>
      <c r="B110">
        <v>24.875636558856801</v>
      </c>
      <c r="C110">
        <v>2001</v>
      </c>
    </row>
    <row r="111" spans="1:11" x14ac:dyDescent="0.25">
      <c r="A111">
        <v>63.039852813619298</v>
      </c>
      <c r="B111">
        <v>38.210387449118102</v>
      </c>
      <c r="C111">
        <v>2001</v>
      </c>
    </row>
    <row r="112" spans="1:11" x14ac:dyDescent="0.25">
      <c r="A112">
        <v>75.047973376725594</v>
      </c>
      <c r="B112">
        <v>50.218508012224397</v>
      </c>
      <c r="C112">
        <v>2001</v>
      </c>
    </row>
    <row r="113" spans="1:11" x14ac:dyDescent="0.25">
      <c r="A113">
        <v>99.781491987775595</v>
      </c>
      <c r="B113">
        <v>74.952026623274406</v>
      </c>
      <c r="C113">
        <v>2001</v>
      </c>
    </row>
    <row r="114" spans="1:11" x14ac:dyDescent="0.25">
      <c r="A114">
        <v>125.04797337672601</v>
      </c>
      <c r="B114">
        <v>100.21850801222401</v>
      </c>
      <c r="C114">
        <v>2001</v>
      </c>
    </row>
    <row r="115" spans="1:11" x14ac:dyDescent="0.25">
      <c r="A115">
        <v>148.848567165368</v>
      </c>
      <c r="B115">
        <v>124.01910180086701</v>
      </c>
      <c r="C115">
        <v>2001</v>
      </c>
    </row>
    <row r="116" spans="1:11" x14ac:dyDescent="0.25">
      <c r="A116">
        <v>149.285583189817</v>
      </c>
      <c r="B116">
        <v>123.582085776418</v>
      </c>
      <c r="C116">
        <v>2000</v>
      </c>
    </row>
    <row r="117" spans="1:11" x14ac:dyDescent="0.25">
      <c r="A117">
        <v>125.484989401174</v>
      </c>
      <c r="B117">
        <v>99.781491987775595</v>
      </c>
      <c r="C117">
        <v>2000</v>
      </c>
    </row>
    <row r="118" spans="1:11" x14ac:dyDescent="0.25">
      <c r="A118">
        <v>100.21850801222401</v>
      </c>
      <c r="B118">
        <v>74.515010598825597</v>
      </c>
      <c r="C118">
        <v>2000</v>
      </c>
    </row>
    <row r="119" spans="1:11" x14ac:dyDescent="0.25">
      <c r="A119">
        <v>75.484989401174403</v>
      </c>
      <c r="B119">
        <v>49.781491987775603</v>
      </c>
      <c r="C119">
        <v>2000</v>
      </c>
    </row>
    <row r="120" spans="1:11" x14ac:dyDescent="0.25">
      <c r="A120" t="s">
        <v>83</v>
      </c>
    </row>
    <row r="121" spans="1:11" x14ac:dyDescent="0.25">
      <c r="A121">
        <v>197</v>
      </c>
      <c r="B121">
        <v>0</v>
      </c>
      <c r="C121">
        <v>114.150074922334</v>
      </c>
      <c r="D121">
        <v>59.335575985362603</v>
      </c>
      <c r="E121">
        <v>14</v>
      </c>
      <c r="F121">
        <v>1.01722196789785</v>
      </c>
      <c r="G121" t="s">
        <v>84</v>
      </c>
      <c r="H121" t="s">
        <v>81</v>
      </c>
      <c r="I121">
        <v>30</v>
      </c>
      <c r="J121">
        <v>0</v>
      </c>
      <c r="K121">
        <v>0</v>
      </c>
    </row>
    <row r="122" spans="1:11" x14ac:dyDescent="0.25">
      <c r="A122" t="s">
        <v>82</v>
      </c>
    </row>
    <row r="123" spans="1:11" x14ac:dyDescent="0.25">
      <c r="A123">
        <v>108.243799139857</v>
      </c>
      <c r="B123">
        <v>93.631329932085293</v>
      </c>
      <c r="C123">
        <v>2000</v>
      </c>
    </row>
    <row r="124" spans="1:11" x14ac:dyDescent="0.25">
      <c r="A124">
        <v>100.21850801222401</v>
      </c>
      <c r="B124">
        <v>85.606038804452695</v>
      </c>
      <c r="C124">
        <v>2000</v>
      </c>
    </row>
    <row r="125" spans="1:11" x14ac:dyDescent="0.25">
      <c r="A125">
        <v>64.393961195547305</v>
      </c>
      <c r="B125">
        <v>49.781491987775603</v>
      </c>
      <c r="C125">
        <v>2000</v>
      </c>
    </row>
    <row r="126" spans="1:11" x14ac:dyDescent="0.25">
      <c r="A126">
        <v>50.218508012224397</v>
      </c>
      <c r="B126">
        <v>35.606038804452702</v>
      </c>
      <c r="C126">
        <v>2000</v>
      </c>
    </row>
    <row r="127" spans="1:11" x14ac:dyDescent="0.25">
      <c r="A127">
        <v>27.5456278168298</v>
      </c>
      <c r="B127">
        <v>12.933158609058101</v>
      </c>
      <c r="C127">
        <v>2000</v>
      </c>
    </row>
    <row r="128" spans="1:11" x14ac:dyDescent="0.25">
      <c r="A128">
        <v>27.108611792381001</v>
      </c>
      <c r="B128">
        <v>13.370174633507</v>
      </c>
      <c r="C128">
        <v>2001</v>
      </c>
    </row>
    <row r="129" spans="1:11" x14ac:dyDescent="0.25">
      <c r="A129">
        <v>49.781491987775603</v>
      </c>
      <c r="B129">
        <v>36.043054828901496</v>
      </c>
      <c r="C129">
        <v>2001</v>
      </c>
    </row>
    <row r="130" spans="1:11" x14ac:dyDescent="0.25">
      <c r="A130">
        <v>63.956945171098504</v>
      </c>
      <c r="B130">
        <v>50.218508012224397</v>
      </c>
      <c r="C130">
        <v>2001</v>
      </c>
    </row>
    <row r="131" spans="1:11" x14ac:dyDescent="0.25">
      <c r="A131">
        <v>99.781491987775595</v>
      </c>
      <c r="B131">
        <v>86.043054828901504</v>
      </c>
      <c r="C131">
        <v>2001</v>
      </c>
    </row>
    <row r="132" spans="1:11" x14ac:dyDescent="0.25">
      <c r="A132">
        <v>107.84302457042401</v>
      </c>
      <c r="B132">
        <v>94.104587411549801</v>
      </c>
      <c r="C132">
        <v>2001</v>
      </c>
    </row>
    <row r="133" spans="1:11" x14ac:dyDescent="0.25">
      <c r="A133">
        <v>113.98888056481699</v>
      </c>
      <c r="B133">
        <v>100.250443405943</v>
      </c>
      <c r="C133">
        <v>2001</v>
      </c>
    </row>
    <row r="134" spans="1:11" x14ac:dyDescent="0.25">
      <c r="A134">
        <v>150</v>
      </c>
      <c r="B134">
        <v>136.26156284112599</v>
      </c>
      <c r="C134">
        <v>2001</v>
      </c>
    </row>
    <row r="135" spans="1:11" x14ac:dyDescent="0.25">
      <c r="A135">
        <v>150</v>
      </c>
      <c r="B135">
        <v>135.38753079222801</v>
      </c>
      <c r="C135">
        <v>2000</v>
      </c>
    </row>
    <row r="136" spans="1:11" x14ac:dyDescent="0.25">
      <c r="A136">
        <v>114.36202580182901</v>
      </c>
      <c r="B136">
        <v>99.749556594056898</v>
      </c>
      <c r="C136">
        <v>2000</v>
      </c>
    </row>
    <row r="137" spans="1:11" x14ac:dyDescent="0.25">
      <c r="A137" t="s">
        <v>83</v>
      </c>
    </row>
    <row r="138" spans="1:11" x14ac:dyDescent="0.25">
      <c r="A138">
        <v>423</v>
      </c>
      <c r="B138">
        <v>0</v>
      </c>
      <c r="C138">
        <v>146.721527329683</v>
      </c>
      <c r="D138">
        <v>12.6267541174785</v>
      </c>
      <c r="E138">
        <v>14</v>
      </c>
      <c r="F138">
        <v>1.01722196789785</v>
      </c>
      <c r="G138" t="s">
        <v>81</v>
      </c>
      <c r="H138" t="s">
        <v>81</v>
      </c>
      <c r="I138">
        <v>0</v>
      </c>
      <c r="J138">
        <v>0</v>
      </c>
      <c r="K138">
        <v>0</v>
      </c>
    </row>
    <row r="139" spans="1:11" x14ac:dyDescent="0.25">
      <c r="A139" t="s">
        <v>82</v>
      </c>
    </row>
    <row r="140" spans="1:11" x14ac:dyDescent="0.25">
      <c r="A140">
        <v>141.22544173543201</v>
      </c>
      <c r="B140">
        <v>103.46467609269401</v>
      </c>
      <c r="C140">
        <v>2000</v>
      </c>
    </row>
    <row r="141" spans="1:11" x14ac:dyDescent="0.25">
      <c r="A141">
        <v>137.542257630514</v>
      </c>
      <c r="B141">
        <v>99.781491987775595</v>
      </c>
      <c r="C141">
        <v>2000</v>
      </c>
    </row>
    <row r="142" spans="1:11" x14ac:dyDescent="0.25">
      <c r="A142">
        <v>100.21850801222401</v>
      </c>
      <c r="B142">
        <v>62.4577423694857</v>
      </c>
      <c r="C142">
        <v>2000</v>
      </c>
    </row>
    <row r="143" spans="1:11" x14ac:dyDescent="0.25">
      <c r="A143">
        <v>87.5422576305143</v>
      </c>
      <c r="B143">
        <v>49.781491987775603</v>
      </c>
      <c r="C143">
        <v>2000</v>
      </c>
    </row>
    <row r="144" spans="1:11" x14ac:dyDescent="0.25">
      <c r="A144">
        <v>50.381618778981498</v>
      </c>
      <c r="B144">
        <v>12.6208531362428</v>
      </c>
      <c r="C144">
        <v>2000</v>
      </c>
    </row>
    <row r="145" spans="1:11" x14ac:dyDescent="0.25">
      <c r="A145">
        <v>37.760765642738598</v>
      </c>
      <c r="B145">
        <v>0</v>
      </c>
      <c r="C145">
        <v>2000</v>
      </c>
    </row>
    <row r="146" spans="1:11" x14ac:dyDescent="0.25">
      <c r="A146">
        <v>36.886733593841001</v>
      </c>
      <c r="B146">
        <v>0</v>
      </c>
      <c r="C146">
        <v>2001</v>
      </c>
    </row>
    <row r="147" spans="1:11" x14ac:dyDescent="0.25">
      <c r="A147">
        <v>49.618381221018502</v>
      </c>
      <c r="B147">
        <v>12.7316476271775</v>
      </c>
      <c r="C147">
        <v>2001</v>
      </c>
    </row>
    <row r="148" spans="1:11" x14ac:dyDescent="0.25">
      <c r="A148">
        <v>87.105241606065405</v>
      </c>
      <c r="B148">
        <v>50.218508012224397</v>
      </c>
      <c r="C148">
        <v>2001</v>
      </c>
    </row>
    <row r="149" spans="1:11" x14ac:dyDescent="0.25">
      <c r="A149">
        <v>99.781491987775595</v>
      </c>
      <c r="B149">
        <v>62.894758393934502</v>
      </c>
      <c r="C149">
        <v>2001</v>
      </c>
    </row>
    <row r="150" spans="1:11" x14ac:dyDescent="0.25">
      <c r="A150">
        <v>137.10524160606499</v>
      </c>
      <c r="B150">
        <v>100.21850801222401</v>
      </c>
      <c r="C150">
        <v>2001</v>
      </c>
    </row>
    <row r="151" spans="1:11" x14ac:dyDescent="0.25">
      <c r="A151">
        <v>140.91763134287899</v>
      </c>
      <c r="B151">
        <v>104.030897749038</v>
      </c>
      <c r="C151">
        <v>2001</v>
      </c>
    </row>
    <row r="152" spans="1:11" x14ac:dyDescent="0.25">
      <c r="A152">
        <v>150</v>
      </c>
      <c r="B152">
        <v>113.113266406159</v>
      </c>
      <c r="C152">
        <v>2001</v>
      </c>
    </row>
    <row r="153" spans="1:11" x14ac:dyDescent="0.25">
      <c r="A153">
        <v>150</v>
      </c>
      <c r="B153">
        <v>112.239234357261</v>
      </c>
      <c r="C153">
        <v>2000</v>
      </c>
    </row>
    <row r="154" spans="1:11" x14ac:dyDescent="0.25">
      <c r="A154" t="s">
        <v>83</v>
      </c>
    </row>
    <row r="155" spans="1:11" x14ac:dyDescent="0.25">
      <c r="A155">
        <v>511</v>
      </c>
      <c r="B155">
        <v>0</v>
      </c>
      <c r="C155">
        <v>30.856941608793701</v>
      </c>
      <c r="D155">
        <v>124.780300704414</v>
      </c>
      <c r="E155">
        <v>14</v>
      </c>
      <c r="F155">
        <v>1.01722196789785</v>
      </c>
      <c r="G155" t="s">
        <v>81</v>
      </c>
      <c r="H155" t="s">
        <v>81</v>
      </c>
      <c r="I155">
        <v>0</v>
      </c>
      <c r="J155">
        <v>0</v>
      </c>
      <c r="K155">
        <v>0</v>
      </c>
    </row>
    <row r="156" spans="1:11" x14ac:dyDescent="0.25">
      <c r="A156" t="s">
        <v>82</v>
      </c>
    </row>
    <row r="157" spans="1:11" x14ac:dyDescent="0.25">
      <c r="A157">
        <v>61.465365544244001</v>
      </c>
      <c r="B157">
        <v>21.9545310135357</v>
      </c>
      <c r="C157">
        <v>2000</v>
      </c>
    </row>
    <row r="158" spans="1:11" x14ac:dyDescent="0.25">
      <c r="A158">
        <v>49.663651275889499</v>
      </c>
      <c r="B158">
        <v>10.1528167451811</v>
      </c>
      <c r="C158">
        <v>2000</v>
      </c>
    </row>
    <row r="159" spans="1:11" x14ac:dyDescent="0.25">
      <c r="A159">
        <v>39.510834530708401</v>
      </c>
      <c r="B159">
        <v>0</v>
      </c>
      <c r="C159">
        <v>2000</v>
      </c>
    </row>
    <row r="160" spans="1:11" x14ac:dyDescent="0.25">
      <c r="A160">
        <v>40.384866579605998</v>
      </c>
      <c r="B160">
        <v>0</v>
      </c>
      <c r="C160">
        <v>2001</v>
      </c>
    </row>
    <row r="161" spans="1:11" x14ac:dyDescent="0.25">
      <c r="A161">
        <v>50.336348724110501</v>
      </c>
      <c r="B161">
        <v>9.9514821445045296</v>
      </c>
      <c r="C161">
        <v>2001</v>
      </c>
    </row>
    <row r="162" spans="1:11" x14ac:dyDescent="0.25">
      <c r="A162">
        <v>62.0686408825811</v>
      </c>
      <c r="B162">
        <v>21.683774302975099</v>
      </c>
      <c r="C162">
        <v>2001</v>
      </c>
    </row>
    <row r="163" spans="1:11" x14ac:dyDescent="0.25">
      <c r="A163">
        <v>90.166358567381593</v>
      </c>
      <c r="B163">
        <v>49.781491987775603</v>
      </c>
      <c r="C163">
        <v>2001</v>
      </c>
    </row>
    <row r="164" spans="1:11" x14ac:dyDescent="0.25">
      <c r="A164">
        <v>100.21850801222401</v>
      </c>
      <c r="B164">
        <v>59.8336414326184</v>
      </c>
      <c r="C164">
        <v>2001</v>
      </c>
    </row>
    <row r="165" spans="1:11" x14ac:dyDescent="0.25">
      <c r="A165">
        <v>139.991780059033</v>
      </c>
      <c r="B165">
        <v>99.606913479426694</v>
      </c>
      <c r="C165">
        <v>2001</v>
      </c>
    </row>
    <row r="166" spans="1:11" x14ac:dyDescent="0.25">
      <c r="A166">
        <v>150</v>
      </c>
      <c r="B166">
        <v>109.615133420394</v>
      </c>
      <c r="C166">
        <v>2001</v>
      </c>
    </row>
    <row r="167" spans="1:11" x14ac:dyDescent="0.25">
      <c r="A167">
        <v>150</v>
      </c>
      <c r="B167">
        <v>110.489165469292</v>
      </c>
      <c r="C167">
        <v>2000</v>
      </c>
    </row>
    <row r="168" spans="1:11" x14ac:dyDescent="0.25">
      <c r="A168">
        <v>139.903921051282</v>
      </c>
      <c r="B168">
        <v>100.39308652057299</v>
      </c>
      <c r="C168">
        <v>2000</v>
      </c>
    </row>
    <row r="169" spans="1:11" x14ac:dyDescent="0.25">
      <c r="A169">
        <v>99.781491987775595</v>
      </c>
      <c r="B169">
        <v>60.270657457067202</v>
      </c>
      <c r="C169">
        <v>2000</v>
      </c>
    </row>
    <row r="170" spans="1:11" x14ac:dyDescent="0.25">
      <c r="A170">
        <v>89.729342542932798</v>
      </c>
      <c r="B170">
        <v>50.218508012224397</v>
      </c>
      <c r="C170">
        <v>2000</v>
      </c>
    </row>
    <row r="171" spans="1:11" x14ac:dyDescent="0.25">
      <c r="A171" t="s">
        <v>83</v>
      </c>
    </row>
    <row r="172" spans="1:11" x14ac:dyDescent="0.25">
      <c r="A172">
        <v>104</v>
      </c>
      <c r="B172">
        <v>0</v>
      </c>
      <c r="C172">
        <v>40.217568172252903</v>
      </c>
      <c r="D172">
        <v>114.30322405754799</v>
      </c>
      <c r="E172">
        <v>14</v>
      </c>
      <c r="F172">
        <v>1.01722196789785</v>
      </c>
      <c r="G172" t="s">
        <v>84</v>
      </c>
      <c r="H172" t="s">
        <v>81</v>
      </c>
      <c r="I172">
        <v>4</v>
      </c>
      <c r="J172">
        <v>0</v>
      </c>
      <c r="K172">
        <v>0</v>
      </c>
    </row>
    <row r="173" spans="1:11" x14ac:dyDescent="0.25">
      <c r="A173" t="s">
        <v>82</v>
      </c>
    </row>
    <row r="174" spans="1:11" x14ac:dyDescent="0.25">
      <c r="A174">
        <v>69.393923169646499</v>
      </c>
      <c r="B174">
        <v>67.486217180032199</v>
      </c>
      <c r="C174">
        <v>2000</v>
      </c>
    </row>
    <row r="175" spans="1:11" x14ac:dyDescent="0.25">
      <c r="A175">
        <v>51.689197977389902</v>
      </c>
      <c r="B175">
        <v>49.781491987775603</v>
      </c>
      <c r="C175">
        <v>2000</v>
      </c>
    </row>
    <row r="176" spans="1:11" x14ac:dyDescent="0.25">
      <c r="A176">
        <v>50.218508012224397</v>
      </c>
      <c r="B176">
        <v>48.310802022610098</v>
      </c>
      <c r="C176">
        <v>2000</v>
      </c>
    </row>
    <row r="177" spans="1:11" x14ac:dyDescent="0.25">
      <c r="A177">
        <v>40.955807992214297</v>
      </c>
      <c r="B177">
        <v>39.048102002599897</v>
      </c>
      <c r="C177">
        <v>2000</v>
      </c>
    </row>
    <row r="178" spans="1:11" x14ac:dyDescent="0.25">
      <c r="A178">
        <v>40.518791967765402</v>
      </c>
      <c r="B178">
        <v>39.485118027048699</v>
      </c>
      <c r="C178">
        <v>2001</v>
      </c>
    </row>
    <row r="179" spans="1:11" x14ac:dyDescent="0.25">
      <c r="A179">
        <v>49.781491987775603</v>
      </c>
      <c r="B179">
        <v>48.7478180470589</v>
      </c>
      <c r="C179">
        <v>2001</v>
      </c>
    </row>
    <row r="180" spans="1:11" x14ac:dyDescent="0.25">
      <c r="A180">
        <v>51.2521819529411</v>
      </c>
      <c r="B180">
        <v>50.218508012224397</v>
      </c>
      <c r="C180">
        <v>2001</v>
      </c>
    </row>
    <row r="181" spans="1:11" x14ac:dyDescent="0.25">
      <c r="A181">
        <v>68.956907145197704</v>
      </c>
      <c r="B181">
        <v>67.923233204480994</v>
      </c>
      <c r="C181">
        <v>2001</v>
      </c>
    </row>
    <row r="182" spans="1:11" x14ac:dyDescent="0.25">
      <c r="A182">
        <v>99.781491987775595</v>
      </c>
      <c r="B182">
        <v>98.7478180470589</v>
      </c>
      <c r="C182">
        <v>2001</v>
      </c>
    </row>
    <row r="183" spans="1:11" x14ac:dyDescent="0.25">
      <c r="A183">
        <v>101.258609103759</v>
      </c>
      <c r="B183">
        <v>100.22493516304201</v>
      </c>
      <c r="C183">
        <v>2001</v>
      </c>
    </row>
    <row r="184" spans="1:11" x14ac:dyDescent="0.25">
      <c r="A184">
        <v>150</v>
      </c>
      <c r="B184">
        <v>148.96632605928301</v>
      </c>
      <c r="C184">
        <v>2001</v>
      </c>
    </row>
    <row r="185" spans="1:11" x14ac:dyDescent="0.25">
      <c r="A185">
        <v>150</v>
      </c>
      <c r="B185">
        <v>148.09229401038601</v>
      </c>
      <c r="C185">
        <v>2000</v>
      </c>
    </row>
    <row r="186" spans="1:11" x14ac:dyDescent="0.25">
      <c r="A186">
        <v>101.682770826572</v>
      </c>
      <c r="B186">
        <v>99.775064836957895</v>
      </c>
      <c r="C186">
        <v>2000</v>
      </c>
    </row>
    <row r="187" spans="1:11" x14ac:dyDescent="0.25">
      <c r="A187">
        <v>100.21850801222401</v>
      </c>
      <c r="B187">
        <v>98.310802022610005</v>
      </c>
      <c r="C187">
        <v>2000</v>
      </c>
    </row>
    <row r="188" spans="1:11" x14ac:dyDescent="0.25">
      <c r="A188" t="s">
        <v>83</v>
      </c>
    </row>
    <row r="189" spans="1:11" x14ac:dyDescent="0.25">
      <c r="A189">
        <v>506</v>
      </c>
      <c r="B189">
        <v>0</v>
      </c>
      <c r="C189">
        <v>47.528630014500798</v>
      </c>
      <c r="D189">
        <v>100.11099451382201</v>
      </c>
      <c r="E189">
        <v>14</v>
      </c>
      <c r="F189">
        <v>1.01722196789785</v>
      </c>
      <c r="G189" t="s">
        <v>81</v>
      </c>
      <c r="H189" t="s">
        <v>81</v>
      </c>
      <c r="I189">
        <v>0</v>
      </c>
      <c r="J189">
        <v>0</v>
      </c>
      <c r="K189">
        <v>0</v>
      </c>
    </row>
    <row r="190" spans="1:11" x14ac:dyDescent="0.25">
      <c r="A190" t="s">
        <v>82</v>
      </c>
    </row>
    <row r="191" spans="1:11" x14ac:dyDescent="0.25">
      <c r="A191">
        <v>79.497612462049602</v>
      </c>
      <c r="B191">
        <v>33.4575761134139</v>
      </c>
      <c r="C191">
        <v>2000</v>
      </c>
    </row>
    <row r="192" spans="1:11" x14ac:dyDescent="0.25">
      <c r="A192">
        <v>50.408428172382997</v>
      </c>
      <c r="B192">
        <v>4.3683918237472597</v>
      </c>
      <c r="C192">
        <v>2000</v>
      </c>
    </row>
    <row r="193" spans="1:11" x14ac:dyDescent="0.25">
      <c r="A193">
        <v>46.040036348635702</v>
      </c>
      <c r="B193">
        <v>0</v>
      </c>
      <c r="C193">
        <v>2000</v>
      </c>
    </row>
    <row r="194" spans="1:11" x14ac:dyDescent="0.25">
      <c r="A194">
        <v>45.166004299737999</v>
      </c>
      <c r="B194">
        <v>0</v>
      </c>
      <c r="C194">
        <v>2001</v>
      </c>
    </row>
    <row r="195" spans="1:11" x14ac:dyDescent="0.25">
      <c r="A195">
        <v>49.591571827617003</v>
      </c>
      <c r="B195">
        <v>4.4255675278789797</v>
      </c>
      <c r="C195">
        <v>2001</v>
      </c>
    </row>
    <row r="196" spans="1:11" x14ac:dyDescent="0.25">
      <c r="A196">
        <v>78.924061353844095</v>
      </c>
      <c r="B196">
        <v>33.758057054106096</v>
      </c>
      <c r="C196">
        <v>2001</v>
      </c>
    </row>
    <row r="197" spans="1:11" x14ac:dyDescent="0.25">
      <c r="A197">
        <v>95.384512311962496</v>
      </c>
      <c r="B197">
        <v>50.218508012224397</v>
      </c>
      <c r="C197">
        <v>2001</v>
      </c>
    </row>
    <row r="198" spans="1:11" x14ac:dyDescent="0.25">
      <c r="A198">
        <v>99.781491987775595</v>
      </c>
      <c r="B198">
        <v>54.615487688037497</v>
      </c>
      <c r="C198">
        <v>2001</v>
      </c>
    </row>
    <row r="199" spans="1:11" x14ac:dyDescent="0.25">
      <c r="A199">
        <v>145.58380481841201</v>
      </c>
      <c r="B199">
        <v>100.417800518674</v>
      </c>
      <c r="C199">
        <v>2001</v>
      </c>
    </row>
    <row r="200" spans="1:11" x14ac:dyDescent="0.25">
      <c r="A200">
        <v>150</v>
      </c>
      <c r="B200">
        <v>104.83399570026199</v>
      </c>
      <c r="C200">
        <v>2001</v>
      </c>
    </row>
    <row r="201" spans="1:11" x14ac:dyDescent="0.25">
      <c r="A201">
        <v>150</v>
      </c>
      <c r="B201">
        <v>103.95996365136401</v>
      </c>
      <c r="C201">
        <v>2000</v>
      </c>
    </row>
    <row r="202" spans="1:11" x14ac:dyDescent="0.25">
      <c r="A202">
        <v>145.62223582996199</v>
      </c>
      <c r="B202">
        <v>99.582199481326199</v>
      </c>
      <c r="C202">
        <v>2000</v>
      </c>
    </row>
    <row r="203" spans="1:11" x14ac:dyDescent="0.25">
      <c r="A203">
        <v>100.21850801222401</v>
      </c>
      <c r="B203">
        <v>54.178471663588702</v>
      </c>
      <c r="C203">
        <v>2000</v>
      </c>
    </row>
    <row r="204" spans="1:11" x14ac:dyDescent="0.25">
      <c r="A204">
        <v>95.821528336411305</v>
      </c>
      <c r="B204">
        <v>49.781491987775603</v>
      </c>
      <c r="C204">
        <v>2000</v>
      </c>
    </row>
    <row r="205" spans="1:11" x14ac:dyDescent="0.25">
      <c r="A205" t="s">
        <v>83</v>
      </c>
    </row>
    <row r="206" spans="1:11" x14ac:dyDescent="0.25">
      <c r="A206">
        <v>721</v>
      </c>
      <c r="B206">
        <v>0</v>
      </c>
      <c r="C206">
        <v>137.16366472355301</v>
      </c>
      <c r="D206">
        <v>8.9795064119726096</v>
      </c>
      <c r="E206">
        <v>14</v>
      </c>
      <c r="F206">
        <v>1.01722196789785</v>
      </c>
      <c r="G206" t="s">
        <v>81</v>
      </c>
      <c r="H206" t="s">
        <v>84</v>
      </c>
      <c r="I206">
        <v>0</v>
      </c>
      <c r="J206">
        <v>417</v>
      </c>
      <c r="K206">
        <v>0.13160878275062499</v>
      </c>
    </row>
    <row r="207" spans="1:11" x14ac:dyDescent="0.25">
      <c r="A207" t="s">
        <v>82</v>
      </c>
    </row>
    <row r="208" spans="1:11" x14ac:dyDescent="0.25">
      <c r="A208">
        <v>123.490195247103</v>
      </c>
      <c r="B208">
        <v>96.770849446198199</v>
      </c>
      <c r="C208">
        <v>2000</v>
      </c>
    </row>
    <row r="209" spans="1:11" x14ac:dyDescent="0.25">
      <c r="A209">
        <v>100.21850801222401</v>
      </c>
      <c r="B209">
        <v>73.499162211319799</v>
      </c>
      <c r="C209">
        <v>2000</v>
      </c>
    </row>
    <row r="210" spans="1:11" x14ac:dyDescent="0.25">
      <c r="A210">
        <v>76.500837788680201</v>
      </c>
      <c r="B210">
        <v>49.781491987775603</v>
      </c>
      <c r="C210">
        <v>2000</v>
      </c>
    </row>
    <row r="211" spans="1:11" x14ac:dyDescent="0.25">
      <c r="A211">
        <v>50.333366004946001</v>
      </c>
      <c r="B211">
        <v>23.614020204041399</v>
      </c>
      <c r="C211">
        <v>2000</v>
      </c>
    </row>
    <row r="212" spans="1:11" x14ac:dyDescent="0.25">
      <c r="A212">
        <v>26.719345800904598</v>
      </c>
      <c r="B212">
        <v>0</v>
      </c>
      <c r="C212">
        <v>2000</v>
      </c>
    </row>
    <row r="213" spans="1:11" x14ac:dyDescent="0.25">
      <c r="A213">
        <v>25.845313752006899</v>
      </c>
      <c r="B213">
        <v>0</v>
      </c>
      <c r="C213">
        <v>2001</v>
      </c>
    </row>
    <row r="214" spans="1:11" x14ac:dyDescent="0.25">
      <c r="A214">
        <v>49.666633995053999</v>
      </c>
      <c r="B214">
        <v>23.821320243047001</v>
      </c>
      <c r="C214">
        <v>2001</v>
      </c>
    </row>
    <row r="215" spans="1:11" x14ac:dyDescent="0.25">
      <c r="A215">
        <v>76.063821764231406</v>
      </c>
      <c r="B215">
        <v>50.218508012224397</v>
      </c>
      <c r="C215">
        <v>2001</v>
      </c>
    </row>
    <row r="216" spans="1:11" x14ac:dyDescent="0.25">
      <c r="A216">
        <v>99.781491987775595</v>
      </c>
      <c r="B216">
        <v>73.936178235768594</v>
      </c>
      <c r="C216">
        <v>2001</v>
      </c>
    </row>
    <row r="217" spans="1:11" x14ac:dyDescent="0.25">
      <c r="A217">
        <v>123.05317922265399</v>
      </c>
      <c r="B217">
        <v>97.207865470646993</v>
      </c>
      <c r="C217">
        <v>2001</v>
      </c>
    </row>
    <row r="218" spans="1:11" x14ac:dyDescent="0.25">
      <c r="A218">
        <v>126.06382176423099</v>
      </c>
      <c r="B218">
        <v>100.21850801222401</v>
      </c>
      <c r="C218">
        <v>2001</v>
      </c>
    </row>
    <row r="219" spans="1:11" x14ac:dyDescent="0.25">
      <c r="A219">
        <v>129.402649098268</v>
      </c>
      <c r="B219">
        <v>103.557335346261</v>
      </c>
      <c r="C219">
        <v>2001</v>
      </c>
    </row>
    <row r="220" spans="1:11" x14ac:dyDescent="0.25">
      <c r="A220">
        <v>129.83966512271701</v>
      </c>
      <c r="B220">
        <v>103.120319321812</v>
      </c>
      <c r="C220">
        <v>2000</v>
      </c>
    </row>
    <row r="221" spans="1:11" x14ac:dyDescent="0.25">
      <c r="A221">
        <v>126.50083778868</v>
      </c>
      <c r="B221">
        <v>99.781491987775595</v>
      </c>
      <c r="C221">
        <v>2000</v>
      </c>
    </row>
    <row r="222" spans="1:11" x14ac:dyDescent="0.25">
      <c r="A222" t="s">
        <v>83</v>
      </c>
    </row>
    <row r="223" spans="1:11" x14ac:dyDescent="0.25">
      <c r="A223">
        <v>517</v>
      </c>
      <c r="B223">
        <v>0</v>
      </c>
      <c r="C223">
        <v>28.237682242927001</v>
      </c>
      <c r="D223">
        <v>116.317765379783</v>
      </c>
      <c r="E223">
        <v>14</v>
      </c>
      <c r="F223">
        <v>1.01722196789785</v>
      </c>
      <c r="G223" t="s">
        <v>81</v>
      </c>
      <c r="H223" t="s">
        <v>81</v>
      </c>
      <c r="I223">
        <v>0</v>
      </c>
      <c r="J223">
        <v>0</v>
      </c>
      <c r="K223">
        <v>0</v>
      </c>
    </row>
    <row r="224" spans="1:11" x14ac:dyDescent="0.25">
      <c r="A224" t="s">
        <v>82</v>
      </c>
    </row>
    <row r="225" spans="1:11" x14ac:dyDescent="0.25">
      <c r="A225">
        <v>67.410318302349197</v>
      </c>
      <c r="B225">
        <v>20.0634715982732</v>
      </c>
      <c r="C225">
        <v>2000</v>
      </c>
    </row>
    <row r="226" spans="1:11" x14ac:dyDescent="0.25">
      <c r="A226">
        <v>49.5872361104418</v>
      </c>
      <c r="B226">
        <v>2.2403894063657401</v>
      </c>
      <c r="C226">
        <v>2000</v>
      </c>
    </row>
    <row r="227" spans="1:11" x14ac:dyDescent="0.25">
      <c r="A227">
        <v>47.346846704076</v>
      </c>
      <c r="B227">
        <v>0</v>
      </c>
      <c r="C227">
        <v>2000</v>
      </c>
    </row>
    <row r="228" spans="1:11" x14ac:dyDescent="0.25">
      <c r="A228">
        <v>48.220878752973697</v>
      </c>
      <c r="B228">
        <v>0</v>
      </c>
      <c r="C228">
        <v>2001</v>
      </c>
    </row>
    <row r="229" spans="1:11" x14ac:dyDescent="0.25">
      <c r="A229">
        <v>50.4127638895582</v>
      </c>
      <c r="B229">
        <v>2.1918851365845202</v>
      </c>
      <c r="C229">
        <v>2001</v>
      </c>
    </row>
    <row r="230" spans="1:11" x14ac:dyDescent="0.25">
      <c r="A230">
        <v>68.0915203526298</v>
      </c>
      <c r="B230">
        <v>19.8706415996561</v>
      </c>
      <c r="C230">
        <v>2001</v>
      </c>
    </row>
    <row r="231" spans="1:11" x14ac:dyDescent="0.25">
      <c r="A231">
        <v>98.002370740749299</v>
      </c>
      <c r="B231">
        <v>49.781491987775603</v>
      </c>
      <c r="C231">
        <v>2001</v>
      </c>
    </row>
    <row r="232" spans="1:11" x14ac:dyDescent="0.25">
      <c r="A232">
        <v>100.21850801222401</v>
      </c>
      <c r="B232">
        <v>51.997629259250701</v>
      </c>
      <c r="C232">
        <v>2001</v>
      </c>
    </row>
    <row r="233" spans="1:11" x14ac:dyDescent="0.25">
      <c r="A233">
        <v>147.79354760352501</v>
      </c>
      <c r="B233">
        <v>99.572668850551295</v>
      </c>
      <c r="C233">
        <v>2001</v>
      </c>
    </row>
    <row r="234" spans="1:11" x14ac:dyDescent="0.25">
      <c r="A234">
        <v>150</v>
      </c>
      <c r="B234">
        <v>101.779121247026</v>
      </c>
      <c r="C234">
        <v>2001</v>
      </c>
    </row>
    <row r="235" spans="1:11" x14ac:dyDescent="0.25">
      <c r="A235">
        <v>150</v>
      </c>
      <c r="B235">
        <v>102.653153295924</v>
      </c>
      <c r="C235">
        <v>2000</v>
      </c>
    </row>
    <row r="236" spans="1:11" x14ac:dyDescent="0.25">
      <c r="A236">
        <v>147.774177853525</v>
      </c>
      <c r="B236">
        <v>100.427331149449</v>
      </c>
      <c r="C236">
        <v>2000</v>
      </c>
    </row>
    <row r="237" spans="1:11" x14ac:dyDescent="0.25">
      <c r="A237">
        <v>99.781491987775595</v>
      </c>
      <c r="B237">
        <v>52.434645283699503</v>
      </c>
      <c r="C237">
        <v>2000</v>
      </c>
    </row>
    <row r="238" spans="1:11" x14ac:dyDescent="0.25">
      <c r="A238">
        <v>97.565354716300504</v>
      </c>
      <c r="B238">
        <v>50.218508012224397</v>
      </c>
      <c r="C238">
        <v>2000</v>
      </c>
    </row>
    <row r="239" spans="1:11" x14ac:dyDescent="0.25">
      <c r="A239" t="s">
        <v>83</v>
      </c>
    </row>
    <row r="240" spans="1:11" x14ac:dyDescent="0.25">
      <c r="A240">
        <v>351</v>
      </c>
      <c r="B240">
        <v>0</v>
      </c>
      <c r="C240">
        <v>76.437029318872007</v>
      </c>
      <c r="D240">
        <v>66.2365549644325</v>
      </c>
      <c r="E240">
        <v>14</v>
      </c>
      <c r="F240">
        <v>1.01722196789785</v>
      </c>
      <c r="G240" t="s">
        <v>84</v>
      </c>
      <c r="H240" t="s">
        <v>81</v>
      </c>
      <c r="I240">
        <v>12</v>
      </c>
      <c r="J240">
        <v>0</v>
      </c>
      <c r="K240">
        <v>0</v>
      </c>
    </row>
    <row r="241" spans="1:3" x14ac:dyDescent="0.25">
      <c r="A241" t="s">
        <v>82</v>
      </c>
    </row>
    <row r="242" spans="1:3" x14ac:dyDescent="0.25">
      <c r="A242">
        <v>91.067922128105806</v>
      </c>
      <c r="B242">
        <v>102.956145942841</v>
      </c>
      <c r="C242">
        <v>2000</v>
      </c>
    </row>
    <row r="243" spans="1:3" x14ac:dyDescent="0.25">
      <c r="A243">
        <v>87.893268173040696</v>
      </c>
      <c r="B243">
        <v>99.781491987775595</v>
      </c>
      <c r="C243">
        <v>2000</v>
      </c>
    </row>
    <row r="244" spans="1:3" x14ac:dyDescent="0.25">
      <c r="A244">
        <v>50.218508012224397</v>
      </c>
      <c r="B244">
        <v>62.106731826959397</v>
      </c>
      <c r="C244">
        <v>2000</v>
      </c>
    </row>
    <row r="245" spans="1:3" x14ac:dyDescent="0.25">
      <c r="A245">
        <v>37.893268173040603</v>
      </c>
      <c r="B245">
        <v>49.781491987775603</v>
      </c>
      <c r="C245">
        <v>2000</v>
      </c>
    </row>
    <row r="246" spans="1:3" x14ac:dyDescent="0.25">
      <c r="A246">
        <v>37.007809230125602</v>
      </c>
      <c r="B246">
        <v>48.896033044860602</v>
      </c>
      <c r="C246">
        <v>2000</v>
      </c>
    </row>
    <row r="247" spans="1:3" x14ac:dyDescent="0.25">
      <c r="A247">
        <v>36.5707932056768</v>
      </c>
      <c r="B247">
        <v>49.333049069309403</v>
      </c>
      <c r="C247">
        <v>2001</v>
      </c>
    </row>
    <row r="248" spans="1:3" x14ac:dyDescent="0.25">
      <c r="A248">
        <v>37.456252148591801</v>
      </c>
      <c r="B248">
        <v>50.218508012224397</v>
      </c>
      <c r="C248">
        <v>2001</v>
      </c>
    </row>
    <row r="249" spans="1:3" x14ac:dyDescent="0.25">
      <c r="A249">
        <v>49.781491987775603</v>
      </c>
      <c r="B249">
        <v>62.543747851408199</v>
      </c>
      <c r="C249">
        <v>2001</v>
      </c>
    </row>
    <row r="250" spans="1:3" x14ac:dyDescent="0.25">
      <c r="A250">
        <v>87.456252148591801</v>
      </c>
      <c r="B250">
        <v>100.21850801222401</v>
      </c>
      <c r="C250">
        <v>2001</v>
      </c>
    </row>
    <row r="251" spans="1:3" x14ac:dyDescent="0.25">
      <c r="A251">
        <v>90.608963837955301</v>
      </c>
      <c r="B251">
        <v>103.371219701588</v>
      </c>
      <c r="C251">
        <v>2001</v>
      </c>
    </row>
    <row r="252" spans="1:3" x14ac:dyDescent="0.25">
      <c r="A252">
        <v>99.738750078648494</v>
      </c>
      <c r="B252">
        <v>112.501005942281</v>
      </c>
      <c r="C252">
        <v>2001</v>
      </c>
    </row>
    <row r="253" spans="1:3" x14ac:dyDescent="0.25">
      <c r="A253">
        <v>137.23774413636701</v>
      </c>
      <c r="B253">
        <v>150</v>
      </c>
      <c r="C253">
        <v>2001</v>
      </c>
    </row>
    <row r="254" spans="1:3" x14ac:dyDescent="0.25">
      <c r="A254">
        <v>138.111776185265</v>
      </c>
      <c r="B254">
        <v>150</v>
      </c>
      <c r="C254">
        <v>2000</v>
      </c>
    </row>
    <row r="255" spans="1:3" x14ac:dyDescent="0.25">
      <c r="A255">
        <v>100.26124992135099</v>
      </c>
      <c r="B255">
        <v>112.14947373608599</v>
      </c>
      <c r="C255">
        <v>2000</v>
      </c>
    </row>
    <row r="256" spans="1:3" x14ac:dyDescent="0.25">
      <c r="A256" t="s">
        <v>83</v>
      </c>
    </row>
    <row r="257" spans="1:11" x14ac:dyDescent="0.25">
      <c r="A257">
        <v>347</v>
      </c>
      <c r="B257">
        <v>0</v>
      </c>
      <c r="C257">
        <v>127.784650326457</v>
      </c>
      <c r="D257">
        <v>10.0718728773621</v>
      </c>
      <c r="E257">
        <v>10</v>
      </c>
      <c r="F257">
        <v>1.01722196789785</v>
      </c>
      <c r="G257" t="s">
        <v>81</v>
      </c>
      <c r="H257" t="s">
        <v>81</v>
      </c>
      <c r="I257">
        <v>0</v>
      </c>
      <c r="J257">
        <v>0</v>
      </c>
      <c r="K257">
        <v>0</v>
      </c>
    </row>
    <row r="258" spans="1:11" x14ac:dyDescent="0.25">
      <c r="A258" t="s">
        <v>82</v>
      </c>
    </row>
    <row r="259" spans="1:11" x14ac:dyDescent="0.25">
      <c r="A259">
        <v>89.953152942130401</v>
      </c>
      <c r="B259">
        <v>142.910886578358</v>
      </c>
      <c r="C259">
        <v>2000</v>
      </c>
    </row>
    <row r="260" spans="1:11" x14ac:dyDescent="0.25">
      <c r="A260">
        <v>49.781491987775603</v>
      </c>
      <c r="B260">
        <v>102.739225624003</v>
      </c>
      <c r="C260">
        <v>2000</v>
      </c>
    </row>
    <row r="261" spans="1:11" x14ac:dyDescent="0.25">
      <c r="A261">
        <v>47.271790315891302</v>
      </c>
      <c r="B261">
        <v>100.229523952119</v>
      </c>
      <c r="C261">
        <v>2000</v>
      </c>
    </row>
    <row r="262" spans="1:11" x14ac:dyDescent="0.25">
      <c r="A262">
        <v>0</v>
      </c>
      <c r="B262">
        <v>52.957733636227701</v>
      </c>
      <c r="C262">
        <v>2000</v>
      </c>
    </row>
    <row r="263" spans="1:11" x14ac:dyDescent="0.25">
      <c r="A263">
        <v>0</v>
      </c>
      <c r="B263">
        <v>52.083701587330097</v>
      </c>
      <c r="C263">
        <v>2001</v>
      </c>
    </row>
    <row r="264" spans="1:11" x14ac:dyDescent="0.25">
      <c r="A264">
        <v>47.6867744605509</v>
      </c>
      <c r="B264">
        <v>99.770476047881004</v>
      </c>
      <c r="C264">
        <v>2001</v>
      </c>
    </row>
    <row r="265" spans="1:11" x14ac:dyDescent="0.25">
      <c r="A265">
        <v>50.218508012224397</v>
      </c>
      <c r="B265">
        <v>102.302209599554</v>
      </c>
      <c r="C265">
        <v>2001</v>
      </c>
    </row>
    <row r="266" spans="1:11" x14ac:dyDescent="0.25">
      <c r="A266">
        <v>90.761632612648697</v>
      </c>
      <c r="B266">
        <v>142.84533419997899</v>
      </c>
      <c r="C266">
        <v>2001</v>
      </c>
    </row>
    <row r="267" spans="1:11" x14ac:dyDescent="0.25">
      <c r="A267">
        <v>97.916298412670002</v>
      </c>
      <c r="B267">
        <v>150</v>
      </c>
      <c r="C267">
        <v>2001</v>
      </c>
    </row>
    <row r="268" spans="1:11" x14ac:dyDescent="0.25">
      <c r="A268">
        <v>97.042266363772299</v>
      </c>
      <c r="B268">
        <v>150</v>
      </c>
      <c r="C268">
        <v>2000</v>
      </c>
    </row>
    <row r="269" spans="1:11" x14ac:dyDescent="0.25">
      <c r="A269" t="s">
        <v>83</v>
      </c>
    </row>
    <row r="270" spans="1:11" x14ac:dyDescent="0.25">
      <c r="A270">
        <v>744</v>
      </c>
      <c r="B270">
        <v>0</v>
      </c>
      <c r="C270">
        <v>20.4917072221327</v>
      </c>
      <c r="D270">
        <v>114.163293952104</v>
      </c>
      <c r="E270">
        <v>10</v>
      </c>
      <c r="F270">
        <v>1.01722196789785</v>
      </c>
      <c r="G270" t="s">
        <v>81</v>
      </c>
      <c r="H270" t="s">
        <v>81</v>
      </c>
      <c r="I270">
        <v>0</v>
      </c>
      <c r="J270">
        <v>0</v>
      </c>
      <c r="K270">
        <v>0.13367256451839299</v>
      </c>
    </row>
    <row r="271" spans="1:11" x14ac:dyDescent="0.25">
      <c r="A271" t="s">
        <v>82</v>
      </c>
    </row>
    <row r="272" spans="1:11" x14ac:dyDescent="0.25">
      <c r="A272">
        <v>68.907368111050801</v>
      </c>
      <c r="B272">
        <v>14.5598485864846</v>
      </c>
      <c r="C272">
        <v>2000</v>
      </c>
    </row>
    <row r="273" spans="1:11" x14ac:dyDescent="0.25">
      <c r="A273">
        <v>54.347519524566202</v>
      </c>
      <c r="B273">
        <v>0</v>
      </c>
      <c r="C273">
        <v>2000</v>
      </c>
    </row>
    <row r="274" spans="1:11" x14ac:dyDescent="0.25">
      <c r="A274">
        <v>55.221551573463898</v>
      </c>
      <c r="B274">
        <v>0</v>
      </c>
      <c r="C274">
        <v>2001</v>
      </c>
    </row>
    <row r="275" spans="1:11" x14ac:dyDescent="0.25">
      <c r="A275">
        <v>69.641353256697897</v>
      </c>
      <c r="B275">
        <v>14.4198016832341</v>
      </c>
      <c r="C275">
        <v>2001</v>
      </c>
    </row>
    <row r="276" spans="1:11" x14ac:dyDescent="0.25">
      <c r="A276">
        <v>100.21850801222401</v>
      </c>
      <c r="B276">
        <v>44.996956438760499</v>
      </c>
      <c r="C276">
        <v>2001</v>
      </c>
    </row>
    <row r="277" spans="1:11" x14ac:dyDescent="0.25">
      <c r="A277">
        <v>104.982134374195</v>
      </c>
      <c r="B277">
        <v>49.760582800730901</v>
      </c>
      <c r="C277">
        <v>2001</v>
      </c>
    </row>
    <row r="278" spans="1:11" x14ac:dyDescent="0.25">
      <c r="A278">
        <v>150</v>
      </c>
      <c r="B278">
        <v>94.778448426536102</v>
      </c>
      <c r="C278">
        <v>2001</v>
      </c>
    </row>
    <row r="279" spans="1:11" x14ac:dyDescent="0.25">
      <c r="A279">
        <v>150</v>
      </c>
      <c r="B279">
        <v>95.652480475433705</v>
      </c>
      <c r="C279">
        <v>2000</v>
      </c>
    </row>
    <row r="280" spans="1:11" x14ac:dyDescent="0.25">
      <c r="A280">
        <v>104.586936723835</v>
      </c>
      <c r="B280">
        <v>50.239417199269099</v>
      </c>
      <c r="C280">
        <v>2000</v>
      </c>
    </row>
    <row r="281" spans="1:11" x14ac:dyDescent="0.25">
      <c r="A281">
        <v>99.781491987775595</v>
      </c>
      <c r="B281">
        <v>45.4339724632094</v>
      </c>
      <c r="C281">
        <v>2000</v>
      </c>
    </row>
    <row r="282" spans="1:11" x14ac:dyDescent="0.25">
      <c r="A282" t="s">
        <v>83</v>
      </c>
    </row>
    <row r="283" spans="1:11" x14ac:dyDescent="0.25">
      <c r="A283">
        <v>346</v>
      </c>
      <c r="B283">
        <v>0</v>
      </c>
      <c r="C283">
        <v>91.992734848842005</v>
      </c>
      <c r="D283">
        <v>42.264522613935497</v>
      </c>
      <c r="E283">
        <v>10</v>
      </c>
      <c r="F283">
        <v>1.01722196789785</v>
      </c>
      <c r="G283" t="s">
        <v>84</v>
      </c>
      <c r="H283" t="s">
        <v>81</v>
      </c>
      <c r="I283">
        <v>643</v>
      </c>
      <c r="J283">
        <v>0</v>
      </c>
      <c r="K283">
        <v>0</v>
      </c>
    </row>
    <row r="284" spans="1:11" x14ac:dyDescent="0.25">
      <c r="A284" t="s">
        <v>82</v>
      </c>
    </row>
    <row r="285" spans="1:11" x14ac:dyDescent="0.25">
      <c r="A285">
        <v>68.887752694561698</v>
      </c>
      <c r="B285">
        <v>120.24752966891</v>
      </c>
      <c r="C285">
        <v>2000</v>
      </c>
    </row>
    <row r="286" spans="1:11" x14ac:dyDescent="0.25">
      <c r="A286">
        <v>49.781491987775603</v>
      </c>
      <c r="B286">
        <v>101.141268962124</v>
      </c>
      <c r="C286">
        <v>2000</v>
      </c>
    </row>
    <row r="287" spans="1:11" x14ac:dyDescent="0.25">
      <c r="A287">
        <v>48.858731037875799</v>
      </c>
      <c r="B287">
        <v>100.21850801222401</v>
      </c>
      <c r="C287">
        <v>2000</v>
      </c>
    </row>
    <row r="288" spans="1:11" x14ac:dyDescent="0.25">
      <c r="A288">
        <v>3.9245138624376001</v>
      </c>
      <c r="B288">
        <v>55.284290836786298</v>
      </c>
      <c r="C288">
        <v>2000</v>
      </c>
    </row>
    <row r="289" spans="1:11" x14ac:dyDescent="0.25">
      <c r="A289">
        <v>4.3615298868864203</v>
      </c>
      <c r="B289">
        <v>54.847274812337403</v>
      </c>
      <c r="C289">
        <v>2001</v>
      </c>
    </row>
    <row r="290" spans="1:11" x14ac:dyDescent="0.25">
      <c r="A290">
        <v>49.295747062324601</v>
      </c>
      <c r="B290">
        <v>99.781491987775595</v>
      </c>
      <c r="C290">
        <v>2001</v>
      </c>
    </row>
    <row r="291" spans="1:11" x14ac:dyDescent="0.25">
      <c r="A291">
        <v>50.218508012224397</v>
      </c>
      <c r="B291">
        <v>100.70425293767499</v>
      </c>
      <c r="C291">
        <v>2001</v>
      </c>
    </row>
    <row r="292" spans="1:11" x14ac:dyDescent="0.25">
      <c r="A292">
        <v>69.495664317786705</v>
      </c>
      <c r="B292">
        <v>119.98140924323801</v>
      </c>
      <c r="C292">
        <v>2001</v>
      </c>
    </row>
    <row r="293" spans="1:11" x14ac:dyDescent="0.25">
      <c r="A293">
        <v>99.514255074549098</v>
      </c>
      <c r="B293">
        <v>150</v>
      </c>
      <c r="C293">
        <v>2001</v>
      </c>
    </row>
    <row r="294" spans="1:11" x14ac:dyDescent="0.25">
      <c r="A294">
        <v>98.640223025651395</v>
      </c>
      <c r="B294">
        <v>150</v>
      </c>
      <c r="C294">
        <v>2000</v>
      </c>
    </row>
    <row r="295" spans="1:11" x14ac:dyDescent="0.25">
      <c r="A295" t="s">
        <v>83</v>
      </c>
    </row>
    <row r="296" spans="1:11" x14ac:dyDescent="0.25">
      <c r="A296">
        <v>481</v>
      </c>
      <c r="B296">
        <v>0</v>
      </c>
      <c r="C296">
        <v>10.787511120104901</v>
      </c>
      <c r="D296">
        <v>122.30810486396</v>
      </c>
      <c r="E296">
        <v>10</v>
      </c>
      <c r="F296">
        <v>1.5707963267949001</v>
      </c>
      <c r="G296" t="s">
        <v>81</v>
      </c>
      <c r="H296" t="s">
        <v>81</v>
      </c>
      <c r="I296">
        <v>0</v>
      </c>
      <c r="J296">
        <v>0</v>
      </c>
      <c r="K296">
        <v>0</v>
      </c>
    </row>
    <row r="297" spans="1:11" x14ac:dyDescent="0.25">
      <c r="A297" t="s">
        <v>82</v>
      </c>
    </row>
    <row r="298" spans="1:11" x14ac:dyDescent="0.25">
      <c r="A298">
        <v>63.515109656618499</v>
      </c>
      <c r="B298">
        <v>7.6279222651514802</v>
      </c>
      <c r="C298">
        <v>2000</v>
      </c>
    </row>
    <row r="299" spans="1:11" x14ac:dyDescent="0.25">
      <c r="A299">
        <v>55.887187391467002</v>
      </c>
      <c r="B299">
        <v>0</v>
      </c>
      <c r="C299">
        <v>2000</v>
      </c>
    </row>
    <row r="300" spans="1:11" x14ac:dyDescent="0.25">
      <c r="A300">
        <v>55.887187391467002</v>
      </c>
      <c r="B300">
        <v>0</v>
      </c>
      <c r="C300">
        <v>2001</v>
      </c>
    </row>
    <row r="301" spans="1:11" x14ac:dyDescent="0.25">
      <c r="A301">
        <v>63.515109656618499</v>
      </c>
      <c r="B301">
        <v>7.6279222651514802</v>
      </c>
      <c r="C301">
        <v>2001</v>
      </c>
    </row>
    <row r="302" spans="1:11" x14ac:dyDescent="0.25">
      <c r="A302">
        <v>100</v>
      </c>
      <c r="B302">
        <v>44.112812608532998</v>
      </c>
      <c r="C302">
        <v>2001</v>
      </c>
    </row>
    <row r="303" spans="1:11" x14ac:dyDescent="0.25">
      <c r="A303">
        <v>105.88718739146699</v>
      </c>
      <c r="B303">
        <v>50</v>
      </c>
      <c r="C303">
        <v>2001</v>
      </c>
    </row>
    <row r="304" spans="1:11" x14ac:dyDescent="0.25">
      <c r="A304">
        <v>150</v>
      </c>
      <c r="B304">
        <v>94.112812608532906</v>
      </c>
      <c r="C304">
        <v>2001</v>
      </c>
    </row>
    <row r="305" spans="1:11" x14ac:dyDescent="0.25">
      <c r="A305">
        <v>150</v>
      </c>
      <c r="B305">
        <v>94.112812608532906</v>
      </c>
      <c r="C305">
        <v>2000</v>
      </c>
    </row>
    <row r="306" spans="1:11" x14ac:dyDescent="0.25">
      <c r="A306">
        <v>105.88718739146699</v>
      </c>
      <c r="B306">
        <v>50</v>
      </c>
      <c r="C306">
        <v>2000</v>
      </c>
    </row>
    <row r="307" spans="1:11" x14ac:dyDescent="0.25">
      <c r="A307">
        <v>100</v>
      </c>
      <c r="B307">
        <v>44.112812608532998</v>
      </c>
      <c r="C307">
        <v>2000</v>
      </c>
    </row>
    <row r="308" spans="1:11" x14ac:dyDescent="0.25">
      <c r="A308" t="s">
        <v>83</v>
      </c>
    </row>
    <row r="309" spans="1:11" x14ac:dyDescent="0.25">
      <c r="A309">
        <v>39</v>
      </c>
      <c r="B309">
        <v>0</v>
      </c>
      <c r="C309">
        <v>1.6913277928115</v>
      </c>
      <c r="D309">
        <v>130.831561848213</v>
      </c>
      <c r="E309">
        <v>12</v>
      </c>
      <c r="F309">
        <v>1.01722196789785</v>
      </c>
      <c r="G309" t="s">
        <v>81</v>
      </c>
      <c r="H309" t="s">
        <v>84</v>
      </c>
      <c r="I309">
        <v>0</v>
      </c>
      <c r="J309">
        <v>440</v>
      </c>
      <c r="K309">
        <v>0</v>
      </c>
    </row>
    <row r="310" spans="1:11" x14ac:dyDescent="0.25">
      <c r="A310" t="s">
        <v>82</v>
      </c>
    </row>
    <row r="311" spans="1:11" x14ac:dyDescent="0.25">
      <c r="A311">
        <v>34.003862621556401</v>
      </c>
      <c r="B311">
        <v>1.1811133938968399</v>
      </c>
      <c r="C311">
        <v>2000</v>
      </c>
    </row>
    <row r="312" spans="1:11" x14ac:dyDescent="0.25">
      <c r="A312">
        <v>32.8227492276596</v>
      </c>
      <c r="B312">
        <v>0</v>
      </c>
      <c r="C312">
        <v>2000</v>
      </c>
    </row>
    <row r="313" spans="1:11" x14ac:dyDescent="0.25">
      <c r="A313">
        <v>31.9487171787619</v>
      </c>
      <c r="B313">
        <v>0</v>
      </c>
      <c r="C313">
        <v>2001</v>
      </c>
    </row>
    <row r="314" spans="1:11" x14ac:dyDescent="0.25">
      <c r="A314">
        <v>33.159502487877702</v>
      </c>
      <c r="B314">
        <v>1.2107853091157399</v>
      </c>
      <c r="C314">
        <v>2001</v>
      </c>
    </row>
    <row r="315" spans="1:11" x14ac:dyDescent="0.25">
      <c r="A315">
        <v>49.781491987775603</v>
      </c>
      <c r="B315">
        <v>17.832774809013699</v>
      </c>
      <c r="C315">
        <v>2001</v>
      </c>
    </row>
    <row r="316" spans="1:11" x14ac:dyDescent="0.25">
      <c r="A316">
        <v>82.1672251909864</v>
      </c>
      <c r="B316">
        <v>50.218508012224397</v>
      </c>
      <c r="C316">
        <v>2001</v>
      </c>
    </row>
    <row r="317" spans="1:11" x14ac:dyDescent="0.25">
      <c r="A317">
        <v>99.781491987775595</v>
      </c>
      <c r="B317">
        <v>67.8327748090136</v>
      </c>
      <c r="C317">
        <v>2001</v>
      </c>
    </row>
    <row r="318" spans="1:11" x14ac:dyDescent="0.25">
      <c r="A318">
        <v>125.87505911859201</v>
      </c>
      <c r="B318">
        <v>93.926341939829598</v>
      </c>
      <c r="C318">
        <v>2001</v>
      </c>
    </row>
    <row r="319" spans="1:11" x14ac:dyDescent="0.25">
      <c r="A319">
        <v>126.31207514304</v>
      </c>
      <c r="B319">
        <v>93.489325915380704</v>
      </c>
      <c r="C319">
        <v>2000</v>
      </c>
    </row>
    <row r="320" spans="1:11" x14ac:dyDescent="0.25">
      <c r="A320">
        <v>100.21850801222401</v>
      </c>
      <c r="B320">
        <v>67.395758784564805</v>
      </c>
      <c r="C320">
        <v>2000</v>
      </c>
    </row>
    <row r="321" spans="1:11" x14ac:dyDescent="0.25">
      <c r="A321">
        <v>82.604241215435195</v>
      </c>
      <c r="B321">
        <v>49.781491987775603</v>
      </c>
      <c r="C321">
        <v>2000</v>
      </c>
    </row>
    <row r="322" spans="1:11" x14ac:dyDescent="0.25">
      <c r="A322">
        <v>50.218508012224397</v>
      </c>
      <c r="B322">
        <v>17.395758784564901</v>
      </c>
      <c r="C322">
        <v>2000</v>
      </c>
    </row>
    <row r="323" spans="1:11" x14ac:dyDescent="0.25">
      <c r="A323" t="s">
        <v>83</v>
      </c>
    </row>
    <row r="324" spans="1:11" x14ac:dyDescent="0.25">
      <c r="A324">
        <v>108</v>
      </c>
      <c r="B324">
        <v>0</v>
      </c>
      <c r="C324">
        <v>118.183052363662</v>
      </c>
      <c r="D324">
        <v>13.4136102115528</v>
      </c>
      <c r="E324">
        <v>10</v>
      </c>
      <c r="F324">
        <v>1.01722196789785</v>
      </c>
      <c r="G324" t="s">
        <v>81</v>
      </c>
      <c r="H324" t="s">
        <v>84</v>
      </c>
      <c r="I324">
        <v>0</v>
      </c>
      <c r="J324">
        <v>84</v>
      </c>
      <c r="K324">
        <v>0</v>
      </c>
    </row>
    <row r="325" spans="1:11" x14ac:dyDescent="0.25">
      <c r="A325" t="s">
        <v>82</v>
      </c>
    </row>
    <row r="326" spans="1:11" x14ac:dyDescent="0.25">
      <c r="A326">
        <v>89.401591242007896</v>
      </c>
      <c r="B326">
        <v>83.3495297354456</v>
      </c>
      <c r="C326">
        <v>2000</v>
      </c>
    </row>
    <row r="327" spans="1:11" x14ac:dyDescent="0.25">
      <c r="A327">
        <v>55.833553494337899</v>
      </c>
      <c r="B327">
        <v>49.781491987775603</v>
      </c>
      <c r="C327">
        <v>2000</v>
      </c>
    </row>
    <row r="328" spans="1:11" x14ac:dyDescent="0.25">
      <c r="A328">
        <v>50.243046660761301</v>
      </c>
      <c r="B328">
        <v>44.190985154198998</v>
      </c>
      <c r="C328">
        <v>2000</v>
      </c>
    </row>
    <row r="329" spans="1:11" x14ac:dyDescent="0.25">
      <c r="A329">
        <v>6.0520615065622998</v>
      </c>
      <c r="B329">
        <v>0</v>
      </c>
      <c r="C329">
        <v>2000</v>
      </c>
    </row>
    <row r="330" spans="1:11" x14ac:dyDescent="0.25">
      <c r="A330">
        <v>5.17802945766464</v>
      </c>
      <c r="B330">
        <v>0</v>
      </c>
      <c r="C330">
        <v>2001</v>
      </c>
    </row>
    <row r="331" spans="1:11" x14ac:dyDescent="0.25">
      <c r="A331">
        <v>49.756953339238699</v>
      </c>
      <c r="B331">
        <v>44.578923881573999</v>
      </c>
      <c r="C331">
        <v>2001</v>
      </c>
    </row>
    <row r="332" spans="1:11" x14ac:dyDescent="0.25">
      <c r="A332">
        <v>55.396537469889097</v>
      </c>
      <c r="B332">
        <v>50.218508012224397</v>
      </c>
      <c r="C332">
        <v>2001</v>
      </c>
    </row>
    <row r="333" spans="1:11" x14ac:dyDescent="0.25">
      <c r="A333">
        <v>88.964575217559101</v>
      </c>
      <c r="B333">
        <v>83.786545759894395</v>
      </c>
      <c r="C333">
        <v>2001</v>
      </c>
    </row>
    <row r="334" spans="1:11" x14ac:dyDescent="0.25">
      <c r="A334">
        <v>98.449429958341199</v>
      </c>
      <c r="B334">
        <v>93.271400500676506</v>
      </c>
      <c r="C334">
        <v>2001</v>
      </c>
    </row>
    <row r="335" spans="1:11" x14ac:dyDescent="0.25">
      <c r="A335">
        <v>98.886445982789994</v>
      </c>
      <c r="B335">
        <v>92.834384476227697</v>
      </c>
      <c r="C335">
        <v>2000</v>
      </c>
    </row>
    <row r="336" spans="1:11" x14ac:dyDescent="0.25">
      <c r="A336" t="s">
        <v>83</v>
      </c>
    </row>
    <row r="337" spans="1:11" x14ac:dyDescent="0.25">
      <c r="A337">
        <v>345</v>
      </c>
      <c r="B337">
        <v>0</v>
      </c>
      <c r="C337">
        <v>75.976109621735702</v>
      </c>
      <c r="D337">
        <v>55.541445228566097</v>
      </c>
      <c r="E337">
        <v>12</v>
      </c>
      <c r="F337">
        <v>1.01722196789785</v>
      </c>
      <c r="G337" t="s">
        <v>84</v>
      </c>
      <c r="H337" t="s">
        <v>81</v>
      </c>
      <c r="I337">
        <v>652</v>
      </c>
      <c r="J337">
        <v>0</v>
      </c>
      <c r="K337">
        <v>0</v>
      </c>
    </row>
    <row r="338" spans="1:11" x14ac:dyDescent="0.25">
      <c r="A338" t="s">
        <v>82</v>
      </c>
    </row>
    <row r="339" spans="1:11" x14ac:dyDescent="0.25">
      <c r="A339">
        <v>75.068474158551297</v>
      </c>
      <c r="B339">
        <v>110.549615698541</v>
      </c>
      <c r="C339">
        <v>2000</v>
      </c>
    </row>
    <row r="340" spans="1:11" x14ac:dyDescent="0.25">
      <c r="A340">
        <v>64.3003504477864</v>
      </c>
      <c r="B340">
        <v>99.781491987775595</v>
      </c>
      <c r="C340">
        <v>2000</v>
      </c>
    </row>
    <row r="341" spans="1:11" x14ac:dyDescent="0.25">
      <c r="A341">
        <v>50.218508012224397</v>
      </c>
      <c r="B341">
        <v>85.6996495522136</v>
      </c>
      <c r="C341">
        <v>2000</v>
      </c>
    </row>
    <row r="342" spans="1:11" x14ac:dyDescent="0.25">
      <c r="A342">
        <v>21.3033955680643</v>
      </c>
      <c r="B342">
        <v>56.784537108053499</v>
      </c>
      <c r="C342">
        <v>2000</v>
      </c>
    </row>
    <row r="343" spans="1:11" x14ac:dyDescent="0.25">
      <c r="A343">
        <v>20.866379543615501</v>
      </c>
      <c r="B343">
        <v>57.221553132502301</v>
      </c>
      <c r="C343">
        <v>2001</v>
      </c>
    </row>
    <row r="344" spans="1:11" x14ac:dyDescent="0.25">
      <c r="A344">
        <v>49.781491987775603</v>
      </c>
      <c r="B344">
        <v>86.136665576662494</v>
      </c>
      <c r="C344">
        <v>2001</v>
      </c>
    </row>
    <row r="345" spans="1:11" x14ac:dyDescent="0.25">
      <c r="A345">
        <v>63.863334423337598</v>
      </c>
      <c r="B345">
        <v>100.21850801222401</v>
      </c>
      <c r="C345">
        <v>2001</v>
      </c>
    </row>
    <row r="346" spans="1:11" x14ac:dyDescent="0.25">
      <c r="A346">
        <v>74.547745596532096</v>
      </c>
      <c r="B346">
        <v>110.90291918541899</v>
      </c>
      <c r="C346">
        <v>2001</v>
      </c>
    </row>
    <row r="347" spans="1:11" x14ac:dyDescent="0.25">
      <c r="A347">
        <v>99.6413313899332</v>
      </c>
      <c r="B347">
        <v>135.99650497882001</v>
      </c>
      <c r="C347">
        <v>2001</v>
      </c>
    </row>
    <row r="348" spans="1:11" x14ac:dyDescent="0.25">
      <c r="A348">
        <v>113.644826411113</v>
      </c>
      <c r="B348">
        <v>150</v>
      </c>
      <c r="C348">
        <v>2001</v>
      </c>
    </row>
    <row r="349" spans="1:11" x14ac:dyDescent="0.25">
      <c r="A349">
        <v>114.518858460011</v>
      </c>
      <c r="B349">
        <v>150</v>
      </c>
      <c r="C349">
        <v>2000</v>
      </c>
    </row>
    <row r="350" spans="1:11" x14ac:dyDescent="0.25">
      <c r="A350">
        <v>100.358668610067</v>
      </c>
      <c r="B350">
        <v>135.839810150056</v>
      </c>
      <c r="C350">
        <v>2000</v>
      </c>
    </row>
    <row r="351" spans="1:11" x14ac:dyDescent="0.25">
      <c r="A351" t="s">
        <v>83</v>
      </c>
    </row>
    <row r="352" spans="1:11" x14ac:dyDescent="0.25">
      <c r="A352">
        <v>87</v>
      </c>
      <c r="B352">
        <v>0</v>
      </c>
      <c r="C352">
        <v>91.559518999643799</v>
      </c>
      <c r="D352">
        <v>39.591581811375796</v>
      </c>
      <c r="E352">
        <v>10</v>
      </c>
      <c r="F352">
        <v>1.5707963267949001</v>
      </c>
      <c r="G352" t="s">
        <v>81</v>
      </c>
      <c r="H352" t="s">
        <v>84</v>
      </c>
      <c r="I352">
        <v>0</v>
      </c>
      <c r="J352">
        <v>84</v>
      </c>
      <c r="K352">
        <v>0</v>
      </c>
    </row>
    <row r="353" spans="1:11" x14ac:dyDescent="0.25">
      <c r="A353" t="s">
        <v>82</v>
      </c>
    </row>
    <row r="354" spans="1:11" x14ac:dyDescent="0.25">
      <c r="A354">
        <v>70.987521738739503</v>
      </c>
      <c r="B354">
        <v>64.742356766826603</v>
      </c>
      <c r="C354">
        <v>2000</v>
      </c>
    </row>
    <row r="355" spans="1:11" x14ac:dyDescent="0.25">
      <c r="A355">
        <v>56.2451649719128</v>
      </c>
      <c r="B355">
        <v>50</v>
      </c>
      <c r="C355">
        <v>2000</v>
      </c>
    </row>
    <row r="356" spans="1:11" x14ac:dyDescent="0.25">
      <c r="A356">
        <v>50</v>
      </c>
      <c r="B356">
        <v>43.7548350280872</v>
      </c>
      <c r="C356">
        <v>2000</v>
      </c>
    </row>
    <row r="357" spans="1:11" x14ac:dyDescent="0.25">
      <c r="A357">
        <v>6.2451649719127698</v>
      </c>
      <c r="B357">
        <v>0</v>
      </c>
      <c r="C357">
        <v>2000</v>
      </c>
    </row>
    <row r="358" spans="1:11" x14ac:dyDescent="0.25">
      <c r="A358">
        <v>6.2451649719127698</v>
      </c>
      <c r="B358">
        <v>0</v>
      </c>
      <c r="C358">
        <v>2001</v>
      </c>
    </row>
    <row r="359" spans="1:11" x14ac:dyDescent="0.25">
      <c r="A359">
        <v>50</v>
      </c>
      <c r="B359">
        <v>43.7548350280872</v>
      </c>
      <c r="C359">
        <v>2001</v>
      </c>
    </row>
    <row r="360" spans="1:11" x14ac:dyDescent="0.25">
      <c r="A360">
        <v>56.2451649719128</v>
      </c>
      <c r="B360">
        <v>50</v>
      </c>
      <c r="C360">
        <v>2001</v>
      </c>
    </row>
    <row r="361" spans="1:11" x14ac:dyDescent="0.25">
      <c r="A361">
        <v>70.987521738739503</v>
      </c>
      <c r="B361">
        <v>64.742356766826603</v>
      </c>
      <c r="C361">
        <v>2001</v>
      </c>
    </row>
    <row r="362" spans="1:11" x14ac:dyDescent="0.25">
      <c r="A362">
        <v>98.982997715465302</v>
      </c>
      <c r="B362">
        <v>92.737832743552403</v>
      </c>
      <c r="C362">
        <v>2001</v>
      </c>
    </row>
    <row r="363" spans="1:11" x14ac:dyDescent="0.25">
      <c r="A363">
        <v>98.982997715465302</v>
      </c>
      <c r="B363">
        <v>92.737832743552403</v>
      </c>
      <c r="C363">
        <v>2000</v>
      </c>
    </row>
    <row r="364" spans="1:11" x14ac:dyDescent="0.25">
      <c r="A364" t="s">
        <v>83</v>
      </c>
    </row>
    <row r="365" spans="1:11" x14ac:dyDescent="0.25">
      <c r="A365">
        <v>425</v>
      </c>
      <c r="B365">
        <v>0</v>
      </c>
      <c r="C365">
        <v>120.01823047859401</v>
      </c>
      <c r="D365">
        <v>7.1499719800279697</v>
      </c>
      <c r="E365">
        <v>14</v>
      </c>
      <c r="F365">
        <v>1.01722196789785</v>
      </c>
      <c r="G365" t="s">
        <v>84</v>
      </c>
      <c r="H365" t="s">
        <v>84</v>
      </c>
      <c r="I365">
        <v>1</v>
      </c>
      <c r="J365">
        <v>422</v>
      </c>
      <c r="K365">
        <v>0</v>
      </c>
    </row>
    <row r="366" spans="1:11" x14ac:dyDescent="0.25">
      <c r="A366" t="s">
        <v>82</v>
      </c>
    </row>
    <row r="367" spans="1:11" x14ac:dyDescent="0.25">
      <c r="A367">
        <v>110.13842631044299</v>
      </c>
      <c r="B367">
        <v>117.008320851726</v>
      </c>
      <c r="C367">
        <v>2000</v>
      </c>
    </row>
    <row r="368" spans="1:11" x14ac:dyDescent="0.25">
      <c r="A368">
        <v>100.21850801222401</v>
      </c>
      <c r="B368">
        <v>107.088402553507</v>
      </c>
      <c r="C368">
        <v>2000</v>
      </c>
    </row>
    <row r="369" spans="1:11" x14ac:dyDescent="0.25">
      <c r="A369">
        <v>92.911597446492806</v>
      </c>
      <c r="B369">
        <v>99.781491987775595</v>
      </c>
      <c r="C369">
        <v>2000</v>
      </c>
    </row>
    <row r="370" spans="1:11" x14ac:dyDescent="0.25">
      <c r="A370">
        <v>50.218508012224397</v>
      </c>
      <c r="B370">
        <v>57.088402553507201</v>
      </c>
      <c r="C370">
        <v>2000</v>
      </c>
    </row>
    <row r="371" spans="1:11" x14ac:dyDescent="0.25">
      <c r="A371">
        <v>42.911597446492799</v>
      </c>
      <c r="B371">
        <v>49.781491987775603</v>
      </c>
      <c r="C371">
        <v>2000</v>
      </c>
    </row>
    <row r="372" spans="1:11" x14ac:dyDescent="0.25">
      <c r="A372">
        <v>25.2727216730188</v>
      </c>
      <c r="B372">
        <v>32.142616214301597</v>
      </c>
      <c r="C372">
        <v>2000</v>
      </c>
    </row>
    <row r="373" spans="1:11" x14ac:dyDescent="0.25">
      <c r="A373">
        <v>24.835705648569999</v>
      </c>
      <c r="B373">
        <v>32.579632238750399</v>
      </c>
      <c r="C373">
        <v>2001</v>
      </c>
    </row>
    <row r="374" spans="1:11" x14ac:dyDescent="0.25">
      <c r="A374">
        <v>42.474581422043997</v>
      </c>
      <c r="B374">
        <v>50.218508012224397</v>
      </c>
      <c r="C374">
        <v>2001</v>
      </c>
    </row>
    <row r="375" spans="1:11" x14ac:dyDescent="0.25">
      <c r="A375">
        <v>49.781491987775603</v>
      </c>
      <c r="B375">
        <v>57.525418577956003</v>
      </c>
      <c r="C375">
        <v>2001</v>
      </c>
    </row>
    <row r="376" spans="1:11" x14ac:dyDescent="0.25">
      <c r="A376">
        <v>92.474581422043997</v>
      </c>
      <c r="B376">
        <v>100.21850801222401</v>
      </c>
      <c r="C376">
        <v>2001</v>
      </c>
    </row>
    <row r="377" spans="1:11" x14ac:dyDescent="0.25">
      <c r="A377">
        <v>99.781491987775595</v>
      </c>
      <c r="B377">
        <v>107.525418577956</v>
      </c>
      <c r="C377">
        <v>2001</v>
      </c>
    </row>
    <row r="378" spans="1:11" x14ac:dyDescent="0.25">
      <c r="A378">
        <v>109.701410285994</v>
      </c>
      <c r="B378">
        <v>117.445336876174</v>
      </c>
      <c r="C378">
        <v>2001</v>
      </c>
    </row>
    <row r="379" spans="1:11" x14ac:dyDescent="0.25">
      <c r="A379">
        <v>114.75720395836601</v>
      </c>
      <c r="B379">
        <v>122.501130548546</v>
      </c>
      <c r="C379">
        <v>2001</v>
      </c>
    </row>
    <row r="380" spans="1:11" x14ac:dyDescent="0.25">
      <c r="A380">
        <v>115.194219982814</v>
      </c>
      <c r="B380">
        <v>122.06411452409699</v>
      </c>
      <c r="C380">
        <v>2000</v>
      </c>
    </row>
    <row r="381" spans="1:11" x14ac:dyDescent="0.25">
      <c r="A381" t="s">
        <v>83</v>
      </c>
    </row>
    <row r="382" spans="1:11" x14ac:dyDescent="0.25">
      <c r="A382">
        <v>516</v>
      </c>
      <c r="B382">
        <v>0</v>
      </c>
      <c r="C382">
        <v>26.841348178441901</v>
      </c>
      <c r="D382">
        <v>97.9647960844555</v>
      </c>
      <c r="E382">
        <v>12</v>
      </c>
      <c r="F382">
        <v>1.01722196789785</v>
      </c>
      <c r="G382" t="s">
        <v>84</v>
      </c>
      <c r="H382" t="s">
        <v>81</v>
      </c>
      <c r="I382">
        <v>496</v>
      </c>
      <c r="J382">
        <v>0</v>
      </c>
      <c r="K382">
        <v>0</v>
      </c>
    </row>
    <row r="383" spans="1:11" x14ac:dyDescent="0.25">
      <c r="A383" t="s">
        <v>82</v>
      </c>
    </row>
    <row r="384" spans="1:11" x14ac:dyDescent="0.25">
      <c r="A384">
        <v>80.509920358899706</v>
      </c>
      <c r="B384">
        <v>45.995768254616401</v>
      </c>
      <c r="C384">
        <v>2000</v>
      </c>
    </row>
    <row r="385" spans="1:11" x14ac:dyDescent="0.25">
      <c r="A385">
        <v>61.530221045734301</v>
      </c>
      <c r="B385">
        <v>27.0160689414509</v>
      </c>
      <c r="C385">
        <v>2000</v>
      </c>
    </row>
    <row r="386" spans="1:11" x14ac:dyDescent="0.25">
      <c r="A386">
        <v>61.967237070183103</v>
      </c>
      <c r="B386">
        <v>26.579052917002102</v>
      </c>
      <c r="C386">
        <v>2001</v>
      </c>
    </row>
    <row r="387" spans="1:11" x14ac:dyDescent="0.25">
      <c r="A387">
        <v>80.9469363833486</v>
      </c>
      <c r="B387">
        <v>45.558752230167599</v>
      </c>
      <c r="C387">
        <v>2001</v>
      </c>
    </row>
    <row r="388" spans="1:11" x14ac:dyDescent="0.25">
      <c r="A388">
        <v>85.169676140956597</v>
      </c>
      <c r="B388">
        <v>49.781491987775603</v>
      </c>
      <c r="C388">
        <v>2001</v>
      </c>
    </row>
    <row r="389" spans="1:11" x14ac:dyDescent="0.25">
      <c r="A389">
        <v>100.21850801222401</v>
      </c>
      <c r="B389">
        <v>64.830323859043403</v>
      </c>
      <c r="C389">
        <v>2001</v>
      </c>
    </row>
    <row r="390" spans="1:11" x14ac:dyDescent="0.25">
      <c r="A390">
        <v>135.01693393550201</v>
      </c>
      <c r="B390">
        <v>99.628749782320995</v>
      </c>
      <c r="C390">
        <v>2001</v>
      </c>
    </row>
    <row r="391" spans="1:11" x14ac:dyDescent="0.25">
      <c r="A391">
        <v>150</v>
      </c>
      <c r="B391">
        <v>114.611815846819</v>
      </c>
      <c r="C391">
        <v>2001</v>
      </c>
    </row>
    <row r="392" spans="1:11" x14ac:dyDescent="0.25">
      <c r="A392">
        <v>150</v>
      </c>
      <c r="B392">
        <v>115.485847895717</v>
      </c>
      <c r="C392">
        <v>2000</v>
      </c>
    </row>
    <row r="393" spans="1:11" x14ac:dyDescent="0.25">
      <c r="A393">
        <v>134.885402321962</v>
      </c>
      <c r="B393">
        <v>100.37125021767901</v>
      </c>
      <c r="C393">
        <v>2000</v>
      </c>
    </row>
    <row r="394" spans="1:11" x14ac:dyDescent="0.25">
      <c r="A394">
        <v>99.781491987775595</v>
      </c>
      <c r="B394">
        <v>65.267339883492198</v>
      </c>
      <c r="C394">
        <v>2000</v>
      </c>
    </row>
    <row r="395" spans="1:11" x14ac:dyDescent="0.25">
      <c r="A395">
        <v>84.732660116507802</v>
      </c>
      <c r="B395">
        <v>50.218508012224397</v>
      </c>
      <c r="C395">
        <v>2000</v>
      </c>
    </row>
    <row r="396" spans="1:11" x14ac:dyDescent="0.25">
      <c r="A396" t="s">
        <v>83</v>
      </c>
    </row>
    <row r="397" spans="1:11" x14ac:dyDescent="0.25">
      <c r="A397">
        <v>505</v>
      </c>
      <c r="B397">
        <v>0</v>
      </c>
      <c r="C397">
        <v>15.4048987058628</v>
      </c>
      <c r="D397">
        <v>106.236246982108</v>
      </c>
      <c r="E397">
        <v>10</v>
      </c>
      <c r="F397">
        <v>1.01722196789785</v>
      </c>
      <c r="G397" t="s">
        <v>81</v>
      </c>
      <c r="H397" t="s">
        <v>81</v>
      </c>
      <c r="I397">
        <v>0</v>
      </c>
      <c r="J397">
        <v>0</v>
      </c>
      <c r="K397">
        <v>0</v>
      </c>
    </row>
    <row r="398" spans="1:11" x14ac:dyDescent="0.25">
      <c r="A398" t="s">
        <v>82</v>
      </c>
    </row>
    <row r="399" spans="1:11" x14ac:dyDescent="0.25">
      <c r="A399">
        <v>75.250553427973699</v>
      </c>
      <c r="B399">
        <v>10.8268163907898</v>
      </c>
      <c r="C399">
        <v>2000</v>
      </c>
    </row>
    <row r="400" spans="1:11" x14ac:dyDescent="0.25">
      <c r="A400">
        <v>64.423737037183898</v>
      </c>
      <c r="B400">
        <v>0</v>
      </c>
      <c r="C400">
        <v>2000</v>
      </c>
    </row>
    <row r="401" spans="1:11" x14ac:dyDescent="0.25">
      <c r="A401">
        <v>63.549704988286301</v>
      </c>
      <c r="B401">
        <v>0</v>
      </c>
      <c r="C401">
        <v>2001</v>
      </c>
    </row>
    <row r="402" spans="1:11" x14ac:dyDescent="0.25">
      <c r="A402">
        <v>74.508705274311495</v>
      </c>
      <c r="B402">
        <v>10.9590002860252</v>
      </c>
      <c r="C402">
        <v>2001</v>
      </c>
    </row>
    <row r="403" spans="1:11" x14ac:dyDescent="0.25">
      <c r="A403">
        <v>99.781491987775595</v>
      </c>
      <c r="B403">
        <v>36.231786999489302</v>
      </c>
      <c r="C403">
        <v>2001</v>
      </c>
    </row>
    <row r="404" spans="1:11" x14ac:dyDescent="0.25">
      <c r="A404">
        <v>113.829337212631</v>
      </c>
      <c r="B404">
        <v>50.279632224345001</v>
      </c>
      <c r="C404">
        <v>2001</v>
      </c>
    </row>
    <row r="405" spans="1:11" x14ac:dyDescent="0.25">
      <c r="A405">
        <v>150</v>
      </c>
      <c r="B405">
        <v>86.450295011713706</v>
      </c>
      <c r="C405">
        <v>2001</v>
      </c>
    </row>
    <row r="406" spans="1:11" x14ac:dyDescent="0.25">
      <c r="A406">
        <v>150</v>
      </c>
      <c r="B406">
        <v>85.576262962816003</v>
      </c>
      <c r="C406">
        <v>2000</v>
      </c>
    </row>
    <row r="407" spans="1:11" x14ac:dyDescent="0.25">
      <c r="A407">
        <v>114.144104812839</v>
      </c>
      <c r="B407">
        <v>49.720367775654999</v>
      </c>
      <c r="C407">
        <v>2000</v>
      </c>
    </row>
    <row r="408" spans="1:11" x14ac:dyDescent="0.25">
      <c r="A408">
        <v>100.21850801222401</v>
      </c>
      <c r="B408">
        <v>35.7947709750404</v>
      </c>
      <c r="C408">
        <v>2000</v>
      </c>
    </row>
    <row r="409" spans="1:11" x14ac:dyDescent="0.25">
      <c r="A409" t="s">
        <v>83</v>
      </c>
    </row>
    <row r="410" spans="1:11" x14ac:dyDescent="0.25">
      <c r="A410">
        <v>672</v>
      </c>
      <c r="B410">
        <v>0</v>
      </c>
      <c r="C410">
        <v>48.512185993966199</v>
      </c>
      <c r="D410">
        <v>71.378577626277306</v>
      </c>
      <c r="E410">
        <v>12</v>
      </c>
      <c r="F410">
        <v>1.01722196789785</v>
      </c>
      <c r="G410" t="s">
        <v>81</v>
      </c>
      <c r="H410" t="s">
        <v>84</v>
      </c>
      <c r="I410">
        <v>0</v>
      </c>
      <c r="J410">
        <v>435</v>
      </c>
      <c r="K410">
        <v>0</v>
      </c>
    </row>
    <row r="411" spans="1:11" x14ac:dyDescent="0.25">
      <c r="A411" t="s">
        <v>82</v>
      </c>
    </row>
    <row r="412" spans="1:11" x14ac:dyDescent="0.25">
      <c r="A412">
        <v>34.4823426293596</v>
      </c>
      <c r="B412">
        <v>59.975943481920197</v>
      </c>
      <c r="C412">
        <v>2000</v>
      </c>
    </row>
    <row r="413" spans="1:11" x14ac:dyDescent="0.25">
      <c r="A413">
        <v>24.222702299950601</v>
      </c>
      <c r="B413">
        <v>49.716303152511202</v>
      </c>
      <c r="C413">
        <v>2000</v>
      </c>
    </row>
    <row r="414" spans="1:11" x14ac:dyDescent="0.25">
      <c r="A414">
        <v>0</v>
      </c>
      <c r="B414">
        <v>25.493600852560601</v>
      </c>
      <c r="C414">
        <v>2000</v>
      </c>
    </row>
    <row r="415" spans="1:11" x14ac:dyDescent="0.25">
      <c r="A415">
        <v>0</v>
      </c>
      <c r="B415">
        <v>26.3676329014583</v>
      </c>
      <c r="C415">
        <v>2001</v>
      </c>
    </row>
    <row r="416" spans="1:11" x14ac:dyDescent="0.25">
      <c r="A416">
        <v>23.916063946030501</v>
      </c>
      <c r="B416">
        <v>50.283696847488798</v>
      </c>
      <c r="C416">
        <v>2001</v>
      </c>
    </row>
    <row r="417" spans="1:11" x14ac:dyDescent="0.25">
      <c r="A417">
        <v>34.124248743673498</v>
      </c>
      <c r="B417">
        <v>60.491881645131798</v>
      </c>
      <c r="C417">
        <v>2001</v>
      </c>
    </row>
    <row r="418" spans="1:11" x14ac:dyDescent="0.25">
      <c r="A418">
        <v>49.781491987775603</v>
      </c>
      <c r="B418">
        <v>76.149124889233804</v>
      </c>
      <c r="C418">
        <v>2001</v>
      </c>
    </row>
    <row r="419" spans="1:11" x14ac:dyDescent="0.25">
      <c r="A419">
        <v>73.850875110766196</v>
      </c>
      <c r="B419">
        <v>100.21850801222401</v>
      </c>
      <c r="C419">
        <v>2001</v>
      </c>
    </row>
    <row r="420" spans="1:11" x14ac:dyDescent="0.25">
      <c r="A420">
        <v>84.557063945283204</v>
      </c>
      <c r="B420">
        <v>110.924696846741</v>
      </c>
      <c r="C420">
        <v>2001</v>
      </c>
    </row>
    <row r="421" spans="1:11" x14ac:dyDescent="0.25">
      <c r="A421">
        <v>84.994079969732098</v>
      </c>
      <c r="B421">
        <v>110.487680822293</v>
      </c>
      <c r="C421">
        <v>2000</v>
      </c>
    </row>
    <row r="422" spans="1:11" x14ac:dyDescent="0.25">
      <c r="A422">
        <v>74.287891135215006</v>
      </c>
      <c r="B422">
        <v>99.781491987775595</v>
      </c>
      <c r="C422">
        <v>2000</v>
      </c>
    </row>
    <row r="423" spans="1:11" x14ac:dyDescent="0.25">
      <c r="A423">
        <v>50.218508012224397</v>
      </c>
      <c r="B423">
        <v>75.712108864784994</v>
      </c>
      <c r="C423">
        <v>2000</v>
      </c>
    </row>
    <row r="424" spans="1:11" x14ac:dyDescent="0.25">
      <c r="A424" t="s">
        <v>83</v>
      </c>
    </row>
    <row r="425" spans="1:11" x14ac:dyDescent="0.25">
      <c r="A425">
        <v>116</v>
      </c>
      <c r="B425">
        <v>0</v>
      </c>
      <c r="C425">
        <v>44.026774119173801</v>
      </c>
      <c r="D425">
        <v>72.514530061581397</v>
      </c>
      <c r="E425">
        <v>12</v>
      </c>
      <c r="F425">
        <v>1.01722196789785</v>
      </c>
      <c r="G425" t="s">
        <v>84</v>
      </c>
      <c r="H425" t="s">
        <v>81</v>
      </c>
      <c r="I425">
        <v>494</v>
      </c>
      <c r="J425">
        <v>0</v>
      </c>
      <c r="K425">
        <v>0</v>
      </c>
    </row>
    <row r="426" spans="1:11" x14ac:dyDescent="0.25">
      <c r="A426" t="s">
        <v>82</v>
      </c>
    </row>
    <row r="427" spans="1:11" x14ac:dyDescent="0.25">
      <c r="A427">
        <v>98.942992071124394</v>
      </c>
      <c r="B427">
        <v>70.591598755028699</v>
      </c>
      <c r="C427">
        <v>2000</v>
      </c>
    </row>
    <row r="428" spans="1:11" x14ac:dyDescent="0.25">
      <c r="A428">
        <v>78.132885303871404</v>
      </c>
      <c r="B428">
        <v>49.781491987775603</v>
      </c>
      <c r="C428">
        <v>2000</v>
      </c>
    </row>
    <row r="429" spans="1:11" x14ac:dyDescent="0.25">
      <c r="A429">
        <v>67.811361537688299</v>
      </c>
      <c r="B429">
        <v>39.459968221592497</v>
      </c>
      <c r="C429">
        <v>2000</v>
      </c>
    </row>
    <row r="430" spans="1:11" x14ac:dyDescent="0.25">
      <c r="A430">
        <v>67.374345513239504</v>
      </c>
      <c r="B430">
        <v>39.896984246041299</v>
      </c>
      <c r="C430">
        <v>2001</v>
      </c>
    </row>
    <row r="431" spans="1:11" x14ac:dyDescent="0.25">
      <c r="A431">
        <v>77.695869279422595</v>
      </c>
      <c r="B431">
        <v>50.218508012224397</v>
      </c>
      <c r="C431">
        <v>2001</v>
      </c>
    </row>
    <row r="432" spans="1:11" x14ac:dyDescent="0.25">
      <c r="A432">
        <v>98.505976046675599</v>
      </c>
      <c r="B432">
        <v>71.028614779477493</v>
      </c>
      <c r="C432">
        <v>2001</v>
      </c>
    </row>
    <row r="433" spans="1:11" x14ac:dyDescent="0.25">
      <c r="A433">
        <v>99.781491987775595</v>
      </c>
      <c r="B433">
        <v>72.304130720577405</v>
      </c>
      <c r="C433">
        <v>2001</v>
      </c>
    </row>
    <row r="434" spans="1:11" x14ac:dyDescent="0.25">
      <c r="A434">
        <v>127.81785958131201</v>
      </c>
      <c r="B434">
        <v>100.340498314114</v>
      </c>
      <c r="C434">
        <v>2001</v>
      </c>
    </row>
    <row r="435" spans="1:11" x14ac:dyDescent="0.25">
      <c r="A435">
        <v>150</v>
      </c>
      <c r="B435">
        <v>122.52263873280199</v>
      </c>
      <c r="C435">
        <v>2001</v>
      </c>
    </row>
    <row r="436" spans="1:11" x14ac:dyDescent="0.25">
      <c r="A436">
        <v>150</v>
      </c>
      <c r="B436">
        <v>121.64860668390401</v>
      </c>
      <c r="C436">
        <v>2000</v>
      </c>
    </row>
    <row r="437" spans="1:11" x14ac:dyDescent="0.25">
      <c r="A437">
        <v>128.01089500198199</v>
      </c>
      <c r="B437">
        <v>99.659501685885999</v>
      </c>
      <c r="C437">
        <v>2000</v>
      </c>
    </row>
    <row r="438" spans="1:11" x14ac:dyDescent="0.25">
      <c r="A438">
        <v>100.21850801222401</v>
      </c>
      <c r="B438">
        <v>71.867114696128596</v>
      </c>
      <c r="C438">
        <v>2000</v>
      </c>
    </row>
    <row r="439" spans="1:11" x14ac:dyDescent="0.25">
      <c r="A439" t="s">
        <v>83</v>
      </c>
    </row>
    <row r="440" spans="1:11" x14ac:dyDescent="0.25">
      <c r="A440">
        <v>502</v>
      </c>
      <c r="B440">
        <v>0</v>
      </c>
      <c r="C440">
        <v>13.5282226556946</v>
      </c>
      <c r="D440">
        <v>102.96656068976</v>
      </c>
      <c r="E440">
        <v>10</v>
      </c>
      <c r="F440">
        <v>1.01722196789785</v>
      </c>
      <c r="G440" t="s">
        <v>81</v>
      </c>
      <c r="H440" t="s">
        <v>81</v>
      </c>
      <c r="I440">
        <v>0</v>
      </c>
      <c r="J440">
        <v>0</v>
      </c>
      <c r="K440">
        <v>0</v>
      </c>
    </row>
    <row r="441" spans="1:11" x14ac:dyDescent="0.25">
      <c r="A441" t="s">
        <v>82</v>
      </c>
    </row>
    <row r="442" spans="1:11" x14ac:dyDescent="0.25">
      <c r="A442">
        <v>76.8191951147612</v>
      </c>
      <c r="B442">
        <v>9.6304624156389806</v>
      </c>
      <c r="C442">
        <v>2000</v>
      </c>
    </row>
    <row r="443" spans="1:11" x14ac:dyDescent="0.25">
      <c r="A443">
        <v>67.188732699122198</v>
      </c>
      <c r="B443">
        <v>0</v>
      </c>
      <c r="C443">
        <v>2000</v>
      </c>
    </row>
    <row r="444" spans="1:11" x14ac:dyDescent="0.25">
      <c r="A444">
        <v>68.062764748019902</v>
      </c>
      <c r="B444">
        <v>0</v>
      </c>
      <c r="C444">
        <v>2001</v>
      </c>
    </row>
    <row r="445" spans="1:11" x14ac:dyDescent="0.25">
      <c r="A445">
        <v>77.564098286867207</v>
      </c>
      <c r="B445">
        <v>9.5013335388472804</v>
      </c>
      <c r="C445">
        <v>2001</v>
      </c>
    </row>
    <row r="446" spans="1:11" x14ac:dyDescent="0.25">
      <c r="A446">
        <v>100.21850801222401</v>
      </c>
      <c r="B446">
        <v>32.155743264204503</v>
      </c>
      <c r="C446">
        <v>2001</v>
      </c>
    </row>
    <row r="447" spans="1:11" x14ac:dyDescent="0.25">
      <c r="A447">
        <v>117.767229389444</v>
      </c>
      <c r="B447">
        <v>49.704464641424501</v>
      </c>
      <c r="C447">
        <v>2001</v>
      </c>
    </row>
    <row r="448" spans="1:11" x14ac:dyDescent="0.25">
      <c r="A448">
        <v>150</v>
      </c>
      <c r="B448">
        <v>81.937235251980098</v>
      </c>
      <c r="C448">
        <v>2001</v>
      </c>
    </row>
    <row r="449" spans="1:11" x14ac:dyDescent="0.25">
      <c r="A449">
        <v>150</v>
      </c>
      <c r="B449">
        <v>82.811267300877702</v>
      </c>
      <c r="C449">
        <v>2000</v>
      </c>
    </row>
    <row r="450" spans="1:11" x14ac:dyDescent="0.25">
      <c r="A450">
        <v>117.484268057698</v>
      </c>
      <c r="B450">
        <v>50.295535358575499</v>
      </c>
      <c r="C450">
        <v>2000</v>
      </c>
    </row>
    <row r="451" spans="1:11" x14ac:dyDescent="0.25">
      <c r="A451">
        <v>99.781491987775595</v>
      </c>
      <c r="B451">
        <v>32.592759288653298</v>
      </c>
      <c r="C451">
        <v>2000</v>
      </c>
    </row>
    <row r="452" spans="1:11" x14ac:dyDescent="0.25">
      <c r="A452" t="s">
        <v>83</v>
      </c>
    </row>
    <row r="453" spans="1:11" x14ac:dyDescent="0.25">
      <c r="A453">
        <v>325</v>
      </c>
      <c r="B453">
        <v>0</v>
      </c>
      <c r="C453">
        <v>106.301544946364</v>
      </c>
      <c r="D453">
        <v>9.5326765878733397</v>
      </c>
      <c r="E453">
        <v>10</v>
      </c>
      <c r="F453">
        <v>1.5707963267949001</v>
      </c>
      <c r="G453" t="s">
        <v>84</v>
      </c>
      <c r="H453" t="s">
        <v>81</v>
      </c>
      <c r="I453">
        <v>649</v>
      </c>
      <c r="J453">
        <v>0</v>
      </c>
      <c r="K453">
        <v>0</v>
      </c>
    </row>
    <row r="454" spans="1:11" x14ac:dyDescent="0.25">
      <c r="A454" t="s">
        <v>82</v>
      </c>
    </row>
    <row r="455" spans="1:11" x14ac:dyDescent="0.25">
      <c r="A455">
        <v>77.164909221308704</v>
      </c>
      <c r="B455">
        <v>143.259379741857</v>
      </c>
      <c r="C455">
        <v>2000</v>
      </c>
    </row>
    <row r="456" spans="1:11" x14ac:dyDescent="0.25">
      <c r="A456">
        <v>50</v>
      </c>
      <c r="B456">
        <v>116.094470520548</v>
      </c>
      <c r="C456">
        <v>2000</v>
      </c>
    </row>
    <row r="457" spans="1:11" x14ac:dyDescent="0.25">
      <c r="A457">
        <v>33.905529479452099</v>
      </c>
      <c r="B457">
        <v>100</v>
      </c>
      <c r="C457">
        <v>2000</v>
      </c>
    </row>
    <row r="458" spans="1:11" x14ac:dyDescent="0.25">
      <c r="A458">
        <v>1.9983659391283499</v>
      </c>
      <c r="B458">
        <v>68.092836459676207</v>
      </c>
      <c r="C458">
        <v>2000</v>
      </c>
    </row>
    <row r="459" spans="1:11" x14ac:dyDescent="0.25">
      <c r="A459">
        <v>1.9983659391283499</v>
      </c>
      <c r="B459">
        <v>68.092836459676207</v>
      </c>
      <c r="C459">
        <v>2001</v>
      </c>
    </row>
    <row r="460" spans="1:11" x14ac:dyDescent="0.25">
      <c r="A460">
        <v>33.905529479452099</v>
      </c>
      <c r="B460">
        <v>100</v>
      </c>
      <c r="C460">
        <v>2001</v>
      </c>
    </row>
    <row r="461" spans="1:11" x14ac:dyDescent="0.25">
      <c r="A461">
        <v>50</v>
      </c>
      <c r="B461">
        <v>116.094470520548</v>
      </c>
      <c r="C461">
        <v>2001</v>
      </c>
    </row>
    <row r="462" spans="1:11" x14ac:dyDescent="0.25">
      <c r="A462">
        <v>77.164909221308704</v>
      </c>
      <c r="B462">
        <v>143.259379741857</v>
      </c>
      <c r="C462">
        <v>2001</v>
      </c>
    </row>
    <row r="463" spans="1:11" x14ac:dyDescent="0.25">
      <c r="A463">
        <v>83.905529479452198</v>
      </c>
      <c r="B463">
        <v>150</v>
      </c>
      <c r="C463">
        <v>2001</v>
      </c>
    </row>
    <row r="464" spans="1:11" x14ac:dyDescent="0.25">
      <c r="A464">
        <v>83.905529479452198</v>
      </c>
      <c r="B464">
        <v>150</v>
      </c>
      <c r="C464">
        <v>2000</v>
      </c>
    </row>
    <row r="465" spans="1:11" x14ac:dyDescent="0.25">
      <c r="A465" t="s">
        <v>83</v>
      </c>
    </row>
    <row r="466" spans="1:11" x14ac:dyDescent="0.25">
      <c r="A466">
        <v>359</v>
      </c>
      <c r="B466">
        <v>0</v>
      </c>
      <c r="C466">
        <v>101.541102905987</v>
      </c>
      <c r="D466">
        <v>14.076533201178099</v>
      </c>
      <c r="E466">
        <v>10</v>
      </c>
      <c r="F466">
        <v>1.01722196789785</v>
      </c>
      <c r="G466" t="s">
        <v>81</v>
      </c>
      <c r="H466" t="s">
        <v>81</v>
      </c>
      <c r="I466">
        <v>0</v>
      </c>
      <c r="J466">
        <v>0</v>
      </c>
      <c r="K466">
        <v>0</v>
      </c>
    </row>
    <row r="467" spans="1:11" x14ac:dyDescent="0.25">
      <c r="A467" t="s">
        <v>82</v>
      </c>
    </row>
    <row r="468" spans="1:11" x14ac:dyDescent="0.25">
      <c r="A468">
        <v>72.168924945922399</v>
      </c>
      <c r="B468">
        <v>139.97789440533899</v>
      </c>
      <c r="C468">
        <v>2000</v>
      </c>
    </row>
    <row r="469" spans="1:11" x14ac:dyDescent="0.25">
      <c r="A469">
        <v>50.218508012224397</v>
      </c>
      <c r="B469">
        <v>118.02747747164101</v>
      </c>
      <c r="C469">
        <v>2000</v>
      </c>
    </row>
    <row r="470" spans="1:11" x14ac:dyDescent="0.25">
      <c r="A470">
        <v>31.892784647976001</v>
      </c>
      <c r="B470">
        <v>99.701754107392503</v>
      </c>
      <c r="C470">
        <v>2000</v>
      </c>
    </row>
    <row r="471" spans="1:11" x14ac:dyDescent="0.25">
      <c r="A471">
        <v>0</v>
      </c>
      <c r="B471">
        <v>67.808969459416502</v>
      </c>
      <c r="C471">
        <v>2000</v>
      </c>
    </row>
    <row r="472" spans="1:11" x14ac:dyDescent="0.25">
      <c r="A472">
        <v>0</v>
      </c>
      <c r="B472">
        <v>68.683001508314106</v>
      </c>
      <c r="C472">
        <v>2001</v>
      </c>
    </row>
    <row r="473" spans="1:11" x14ac:dyDescent="0.25">
      <c r="A473">
        <v>31.615244384293401</v>
      </c>
      <c r="B473">
        <v>100.298245892607</v>
      </c>
      <c r="C473">
        <v>2001</v>
      </c>
    </row>
    <row r="474" spans="1:11" x14ac:dyDescent="0.25">
      <c r="A474">
        <v>49.781491987775603</v>
      </c>
      <c r="B474">
        <v>118.46449349609</v>
      </c>
      <c r="C474">
        <v>2001</v>
      </c>
    </row>
    <row r="475" spans="1:11" x14ac:dyDescent="0.25">
      <c r="A475">
        <v>71.431879922045994</v>
      </c>
      <c r="B475">
        <v>140.11488143035999</v>
      </c>
      <c r="C475">
        <v>2001</v>
      </c>
    </row>
    <row r="476" spans="1:11" x14ac:dyDescent="0.25">
      <c r="A476">
        <v>81.316998491685894</v>
      </c>
      <c r="B476">
        <v>150</v>
      </c>
      <c r="C476">
        <v>2001</v>
      </c>
    </row>
    <row r="477" spans="1:11" x14ac:dyDescent="0.25">
      <c r="A477">
        <v>82.191030540583597</v>
      </c>
      <c r="B477">
        <v>150</v>
      </c>
      <c r="C477">
        <v>2000</v>
      </c>
    </row>
    <row r="478" spans="1:11" x14ac:dyDescent="0.25">
      <c r="A478" t="s">
        <v>83</v>
      </c>
    </row>
    <row r="479" spans="1:11" x14ac:dyDescent="0.25">
      <c r="A479">
        <v>106</v>
      </c>
      <c r="B479">
        <v>0</v>
      </c>
      <c r="C479">
        <v>44.163663181324701</v>
      </c>
      <c r="D479">
        <v>70.796001400663599</v>
      </c>
      <c r="E479">
        <v>10</v>
      </c>
      <c r="F479">
        <v>1.01722196789785</v>
      </c>
      <c r="G479" t="s">
        <v>84</v>
      </c>
      <c r="H479" t="s">
        <v>81</v>
      </c>
      <c r="I479">
        <v>82</v>
      </c>
      <c r="J479">
        <v>0</v>
      </c>
      <c r="K479">
        <v>0</v>
      </c>
    </row>
    <row r="480" spans="1:11" x14ac:dyDescent="0.25">
      <c r="A480" t="s">
        <v>82</v>
      </c>
    </row>
    <row r="481" spans="1:11" x14ac:dyDescent="0.25">
      <c r="A481">
        <v>99.721159316474001</v>
      </c>
      <c r="B481">
        <v>82.821329632220696</v>
      </c>
      <c r="C481">
        <v>2000</v>
      </c>
    </row>
    <row r="482" spans="1:11" x14ac:dyDescent="0.25">
      <c r="A482">
        <v>68.492733598920694</v>
      </c>
      <c r="B482">
        <v>51.592903914667303</v>
      </c>
      <c r="C482">
        <v>2000</v>
      </c>
    </row>
    <row r="483" spans="1:11" x14ac:dyDescent="0.25">
      <c r="A483">
        <v>68.929749623369503</v>
      </c>
      <c r="B483">
        <v>51.155887890218501</v>
      </c>
      <c r="C483">
        <v>2001</v>
      </c>
    </row>
    <row r="484" spans="1:11" x14ac:dyDescent="0.25">
      <c r="A484">
        <v>100.15817534092299</v>
      </c>
      <c r="B484">
        <v>82.384313607771901</v>
      </c>
      <c r="C484">
        <v>2001</v>
      </c>
    </row>
    <row r="485" spans="1:11" x14ac:dyDescent="0.25">
      <c r="A485">
        <v>100.21850801222401</v>
      </c>
      <c r="B485">
        <v>82.444646279073396</v>
      </c>
      <c r="C485">
        <v>2001</v>
      </c>
    </row>
    <row r="486" spans="1:11" x14ac:dyDescent="0.25">
      <c r="A486">
        <v>117.479588927046</v>
      </c>
      <c r="B486">
        <v>99.705727193894603</v>
      </c>
      <c r="C486">
        <v>2001</v>
      </c>
    </row>
    <row r="487" spans="1:11" x14ac:dyDescent="0.25">
      <c r="A487">
        <v>150</v>
      </c>
      <c r="B487">
        <v>132.22613826684901</v>
      </c>
      <c r="C487">
        <v>2001</v>
      </c>
    </row>
    <row r="488" spans="1:11" x14ac:dyDescent="0.25">
      <c r="A488">
        <v>150</v>
      </c>
      <c r="B488">
        <v>133.10017031574699</v>
      </c>
      <c r="C488">
        <v>2000</v>
      </c>
    </row>
    <row r="489" spans="1:11" x14ac:dyDescent="0.25">
      <c r="A489">
        <v>117.194102490359</v>
      </c>
      <c r="B489">
        <v>100.294272806105</v>
      </c>
      <c r="C489">
        <v>2000</v>
      </c>
    </row>
    <row r="490" spans="1:11" x14ac:dyDescent="0.25">
      <c r="A490">
        <v>99.781491987775595</v>
      </c>
      <c r="B490">
        <v>82.881662303522205</v>
      </c>
      <c r="C490">
        <v>2000</v>
      </c>
    </row>
    <row r="491" spans="1:11" x14ac:dyDescent="0.25">
      <c r="A491" t="s">
        <v>83</v>
      </c>
    </row>
    <row r="492" spans="1:11" x14ac:dyDescent="0.25">
      <c r="A492">
        <v>194</v>
      </c>
      <c r="B492">
        <v>0</v>
      </c>
      <c r="C492">
        <v>91.282042456456097</v>
      </c>
      <c r="D492">
        <v>23.465806766823899</v>
      </c>
      <c r="E492">
        <v>10</v>
      </c>
      <c r="F492">
        <v>1.01722196789785</v>
      </c>
      <c r="G492" t="s">
        <v>81</v>
      </c>
      <c r="H492" t="s">
        <v>81</v>
      </c>
      <c r="I492">
        <v>0</v>
      </c>
      <c r="J492">
        <v>0</v>
      </c>
      <c r="K492">
        <v>0</v>
      </c>
    </row>
    <row r="493" spans="1:11" x14ac:dyDescent="0.25">
      <c r="A493" t="s">
        <v>82</v>
      </c>
    </row>
    <row r="494" spans="1:11" x14ac:dyDescent="0.25">
      <c r="A494">
        <v>133.52360388133201</v>
      </c>
      <c r="B494">
        <v>64.225570169236207</v>
      </c>
      <c r="C494">
        <v>2000</v>
      </c>
    </row>
    <row r="495" spans="1:11" x14ac:dyDescent="0.25">
      <c r="A495">
        <v>119.07952569987199</v>
      </c>
      <c r="B495">
        <v>49.781491987775603</v>
      </c>
      <c r="C495">
        <v>2000</v>
      </c>
    </row>
    <row r="496" spans="1:11" x14ac:dyDescent="0.25">
      <c r="A496">
        <v>100.30093368189399</v>
      </c>
      <c r="B496">
        <v>31.0028999697976</v>
      </c>
      <c r="C496">
        <v>2000</v>
      </c>
    </row>
    <row r="497" spans="1:11" x14ac:dyDescent="0.25">
      <c r="A497">
        <v>69.298033712096</v>
      </c>
      <c r="B497">
        <v>0</v>
      </c>
      <c r="C497">
        <v>2000</v>
      </c>
    </row>
    <row r="498" spans="1:11" x14ac:dyDescent="0.25">
      <c r="A498">
        <v>68.424001663198297</v>
      </c>
      <c r="B498">
        <v>0</v>
      </c>
      <c r="C498">
        <v>2001</v>
      </c>
    </row>
    <row r="499" spans="1:11" x14ac:dyDescent="0.25">
      <c r="A499">
        <v>99.699066318106404</v>
      </c>
      <c r="B499">
        <v>31.2750646549081</v>
      </c>
      <c r="C499">
        <v>2001</v>
      </c>
    </row>
    <row r="500" spans="1:11" x14ac:dyDescent="0.25">
      <c r="A500">
        <v>118.642509675423</v>
      </c>
      <c r="B500">
        <v>50.218508012224397</v>
      </c>
      <c r="C500">
        <v>2001</v>
      </c>
    </row>
    <row r="501" spans="1:11" x14ac:dyDescent="0.25">
      <c r="A501">
        <v>133.290733936999</v>
      </c>
      <c r="B501">
        <v>64.866732273800693</v>
      </c>
      <c r="C501">
        <v>2001</v>
      </c>
    </row>
    <row r="502" spans="1:11" x14ac:dyDescent="0.25">
      <c r="A502">
        <v>150</v>
      </c>
      <c r="B502">
        <v>81.575998336801703</v>
      </c>
      <c r="C502">
        <v>2001</v>
      </c>
    </row>
    <row r="503" spans="1:11" x14ac:dyDescent="0.25">
      <c r="A503">
        <v>150</v>
      </c>
      <c r="B503">
        <v>80.701966287904</v>
      </c>
      <c r="C503">
        <v>2000</v>
      </c>
    </row>
    <row r="504" spans="1:11" x14ac:dyDescent="0.25">
      <c r="A504" t="s">
        <v>83</v>
      </c>
    </row>
    <row r="505" spans="1:11" x14ac:dyDescent="0.25">
      <c r="A505">
        <v>119</v>
      </c>
      <c r="B505">
        <v>0</v>
      </c>
      <c r="C505">
        <v>74.243075941796405</v>
      </c>
      <c r="D505">
        <v>39.722604723682998</v>
      </c>
      <c r="E505">
        <v>12</v>
      </c>
      <c r="F505">
        <v>1.01722196789785</v>
      </c>
      <c r="G505" t="s">
        <v>81</v>
      </c>
      <c r="H505" t="s">
        <v>84</v>
      </c>
      <c r="I505">
        <v>0</v>
      </c>
      <c r="J505">
        <v>162</v>
      </c>
      <c r="K505">
        <v>0</v>
      </c>
    </row>
    <row r="506" spans="1:11" x14ac:dyDescent="0.25">
      <c r="A506" t="s">
        <v>82</v>
      </c>
    </row>
    <row r="507" spans="1:11" x14ac:dyDescent="0.25">
      <c r="A507">
        <v>99.015698158659603</v>
      </c>
      <c r="B507">
        <v>52.716290466816503</v>
      </c>
      <c r="C507">
        <v>2000</v>
      </c>
    </row>
    <row r="508" spans="1:11" x14ac:dyDescent="0.25">
      <c r="A508">
        <v>96.517915704067505</v>
      </c>
      <c r="B508">
        <v>50.218508012224397</v>
      </c>
      <c r="C508">
        <v>2000</v>
      </c>
    </row>
    <row r="509" spans="1:11" x14ac:dyDescent="0.25">
      <c r="A509">
        <v>49.577246326881102</v>
      </c>
      <c r="B509">
        <v>3.2778386350379698</v>
      </c>
      <c r="C509">
        <v>2000</v>
      </c>
    </row>
    <row r="510" spans="1:11" x14ac:dyDescent="0.25">
      <c r="A510">
        <v>46.299407691843101</v>
      </c>
      <c r="B510">
        <v>0</v>
      </c>
      <c r="C510">
        <v>2000</v>
      </c>
    </row>
    <row r="511" spans="1:11" x14ac:dyDescent="0.25">
      <c r="A511">
        <v>47.173439740740797</v>
      </c>
      <c r="B511">
        <v>0</v>
      </c>
      <c r="C511">
        <v>2001</v>
      </c>
    </row>
    <row r="512" spans="1:11" x14ac:dyDescent="0.25">
      <c r="A512">
        <v>50.422753673118898</v>
      </c>
      <c r="B512">
        <v>3.2493139323781399</v>
      </c>
      <c r="C512">
        <v>2001</v>
      </c>
    </row>
    <row r="513" spans="1:11" x14ac:dyDescent="0.25">
      <c r="A513">
        <v>96.954931728516399</v>
      </c>
      <c r="B513">
        <v>49.781491987775603</v>
      </c>
      <c r="C513">
        <v>2001</v>
      </c>
    </row>
    <row r="514" spans="1:11" x14ac:dyDescent="0.25">
      <c r="A514">
        <v>99.452714183108398</v>
      </c>
      <c r="B514">
        <v>52.279274442367701</v>
      </c>
      <c r="C514">
        <v>2001</v>
      </c>
    </row>
    <row r="515" spans="1:11" x14ac:dyDescent="0.25">
      <c r="A515">
        <v>100.21850801222401</v>
      </c>
      <c r="B515">
        <v>53.045068271483601</v>
      </c>
      <c r="C515">
        <v>2001</v>
      </c>
    </row>
    <row r="516" spans="1:11" x14ac:dyDescent="0.25">
      <c r="A516">
        <v>127.540837349618</v>
      </c>
      <c r="B516">
        <v>80.367397608876701</v>
      </c>
      <c r="C516">
        <v>2001</v>
      </c>
    </row>
    <row r="517" spans="1:11" x14ac:dyDescent="0.25">
      <c r="A517">
        <v>127.10382132516899</v>
      </c>
      <c r="B517">
        <v>80.804413633325495</v>
      </c>
      <c r="C517">
        <v>2000</v>
      </c>
    </row>
    <row r="518" spans="1:11" x14ac:dyDescent="0.25">
      <c r="A518">
        <v>99.781491987775595</v>
      </c>
      <c r="B518">
        <v>53.482084295932403</v>
      </c>
      <c r="C518">
        <v>2000</v>
      </c>
    </row>
    <row r="519" spans="1:11" x14ac:dyDescent="0.25">
      <c r="A519" t="s">
        <v>83</v>
      </c>
    </row>
    <row r="520" spans="1:11" x14ac:dyDescent="0.25">
      <c r="A520">
        <v>199</v>
      </c>
      <c r="B520">
        <v>0</v>
      </c>
      <c r="C520">
        <v>73.296449080404301</v>
      </c>
      <c r="D520">
        <v>39.212338492006801</v>
      </c>
      <c r="E520">
        <v>10</v>
      </c>
      <c r="F520">
        <v>1.01722196789785</v>
      </c>
      <c r="G520" t="s">
        <v>84</v>
      </c>
      <c r="H520" t="s">
        <v>81</v>
      </c>
      <c r="I520">
        <v>491</v>
      </c>
      <c r="J520">
        <v>0</v>
      </c>
      <c r="K520">
        <v>0</v>
      </c>
    </row>
    <row r="521" spans="1:11" x14ac:dyDescent="0.25">
      <c r="A521" t="s">
        <v>82</v>
      </c>
    </row>
    <row r="522" spans="1:11" x14ac:dyDescent="0.25">
      <c r="A522">
        <v>122.109731157073</v>
      </c>
      <c r="B522">
        <v>59.725805756210903</v>
      </c>
      <c r="C522">
        <v>2000</v>
      </c>
    </row>
    <row r="523" spans="1:11" x14ac:dyDescent="0.25">
      <c r="A523">
        <v>112.602433413086</v>
      </c>
      <c r="B523">
        <v>50.218508012224397</v>
      </c>
      <c r="C523">
        <v>2000</v>
      </c>
    </row>
    <row r="524" spans="1:11" x14ac:dyDescent="0.25">
      <c r="A524">
        <v>99.781491987775595</v>
      </c>
      <c r="B524">
        <v>37.397566586913499</v>
      </c>
      <c r="C524">
        <v>2000</v>
      </c>
    </row>
    <row r="525" spans="1:11" x14ac:dyDescent="0.25">
      <c r="A525">
        <v>70.225765352246995</v>
      </c>
      <c r="B525">
        <v>7.8418399513849204</v>
      </c>
      <c r="C525">
        <v>2000</v>
      </c>
    </row>
    <row r="526" spans="1:11" x14ac:dyDescent="0.25">
      <c r="A526">
        <v>70.662781376695804</v>
      </c>
      <c r="B526">
        <v>7.4048239269360998</v>
      </c>
      <c r="C526">
        <v>2001</v>
      </c>
    </row>
    <row r="527" spans="1:11" x14ac:dyDescent="0.25">
      <c r="A527">
        <v>100.21850801222401</v>
      </c>
      <c r="B527">
        <v>36.960550562464697</v>
      </c>
      <c r="C527">
        <v>2001</v>
      </c>
    </row>
    <row r="528" spans="1:11" x14ac:dyDescent="0.25">
      <c r="A528">
        <v>113.039449437535</v>
      </c>
      <c r="B528">
        <v>49.781491987775603</v>
      </c>
      <c r="C528">
        <v>2001</v>
      </c>
    </row>
    <row r="529" spans="1:11" x14ac:dyDescent="0.25">
      <c r="A529">
        <v>122.435647935166</v>
      </c>
      <c r="B529">
        <v>59.177690485406799</v>
      </c>
      <c r="C529">
        <v>2001</v>
      </c>
    </row>
    <row r="530" spans="1:11" x14ac:dyDescent="0.25">
      <c r="A530">
        <v>150</v>
      </c>
      <c r="B530">
        <v>86.7420425502402</v>
      </c>
      <c r="C530">
        <v>2001</v>
      </c>
    </row>
    <row r="531" spans="1:11" x14ac:dyDescent="0.25">
      <c r="A531">
        <v>150</v>
      </c>
      <c r="B531">
        <v>87.616074599137903</v>
      </c>
      <c r="C531">
        <v>2000</v>
      </c>
    </row>
    <row r="532" spans="1:11" x14ac:dyDescent="0.25">
      <c r="A532" t="s">
        <v>83</v>
      </c>
    </row>
    <row r="533" spans="1:11" x14ac:dyDescent="0.25">
      <c r="A533">
        <v>680</v>
      </c>
      <c r="B533">
        <v>0</v>
      </c>
      <c r="C533">
        <v>19.8795475545495</v>
      </c>
      <c r="D533">
        <v>92.306294938954295</v>
      </c>
      <c r="E533">
        <v>12</v>
      </c>
      <c r="F533">
        <v>1.01722196789785</v>
      </c>
      <c r="G533" t="s">
        <v>84</v>
      </c>
      <c r="H533" t="s">
        <v>81</v>
      </c>
      <c r="I533">
        <v>736</v>
      </c>
      <c r="J533">
        <v>0</v>
      </c>
      <c r="K533">
        <v>0</v>
      </c>
    </row>
    <row r="534" spans="1:11" x14ac:dyDescent="0.25">
      <c r="A534" t="s">
        <v>82</v>
      </c>
    </row>
    <row r="535" spans="1:11" x14ac:dyDescent="0.25">
      <c r="A535">
        <v>44.796351733061499</v>
      </c>
      <c r="B535">
        <v>84.948100914684304</v>
      </c>
      <c r="C535">
        <v>2000</v>
      </c>
    </row>
    <row r="536" spans="1:11" x14ac:dyDescent="0.25">
      <c r="A536">
        <v>30.739388850319099</v>
      </c>
      <c r="B536">
        <v>70.891138031942006</v>
      </c>
      <c r="C536">
        <v>2000</v>
      </c>
    </row>
    <row r="537" spans="1:11" x14ac:dyDescent="0.25">
      <c r="A537">
        <v>31.176404874767901</v>
      </c>
      <c r="B537">
        <v>70.454122007493197</v>
      </c>
      <c r="C537">
        <v>2001</v>
      </c>
    </row>
    <row r="538" spans="1:11" x14ac:dyDescent="0.25">
      <c r="A538">
        <v>45.233367757510301</v>
      </c>
      <c r="B538">
        <v>84.511084890235495</v>
      </c>
      <c r="C538">
        <v>2001</v>
      </c>
    </row>
    <row r="539" spans="1:11" x14ac:dyDescent="0.25">
      <c r="A539">
        <v>50.218508012224397</v>
      </c>
      <c r="B539">
        <v>89.496225144949605</v>
      </c>
      <c r="C539">
        <v>2001</v>
      </c>
    </row>
    <row r="540" spans="1:11" x14ac:dyDescent="0.25">
      <c r="A540">
        <v>60.503774855050303</v>
      </c>
      <c r="B540">
        <v>99.781491987775595</v>
      </c>
      <c r="C540">
        <v>2001</v>
      </c>
    </row>
    <row r="541" spans="1:11" x14ac:dyDescent="0.25">
      <c r="A541">
        <v>100.392067760188</v>
      </c>
      <c r="B541">
        <v>139.66978489291401</v>
      </c>
      <c r="C541">
        <v>2001</v>
      </c>
    </row>
    <row r="542" spans="1:11" x14ac:dyDescent="0.25">
      <c r="A542">
        <v>110.722282867275</v>
      </c>
      <c r="B542">
        <v>150</v>
      </c>
      <c r="C542">
        <v>2001</v>
      </c>
    </row>
    <row r="543" spans="1:11" x14ac:dyDescent="0.25">
      <c r="A543">
        <v>109.848250818377</v>
      </c>
      <c r="B543">
        <v>150</v>
      </c>
      <c r="C543">
        <v>2000</v>
      </c>
    </row>
    <row r="544" spans="1:11" x14ac:dyDescent="0.25">
      <c r="A544">
        <v>99.607932239811603</v>
      </c>
      <c r="B544">
        <v>139.759681421435</v>
      </c>
      <c r="C544">
        <v>2000</v>
      </c>
    </row>
    <row r="545" spans="1:11" x14ac:dyDescent="0.25">
      <c r="A545">
        <v>60.066758830601501</v>
      </c>
      <c r="B545">
        <v>100.21850801222401</v>
      </c>
      <c r="C545">
        <v>2000</v>
      </c>
    </row>
    <row r="546" spans="1:11" x14ac:dyDescent="0.25">
      <c r="A546">
        <v>49.781491987775603</v>
      </c>
      <c r="B546">
        <v>89.933241169398499</v>
      </c>
      <c r="C546">
        <v>2000</v>
      </c>
    </row>
    <row r="547" spans="1:11" x14ac:dyDescent="0.25">
      <c r="A547" t="s">
        <v>83</v>
      </c>
    </row>
    <row r="548" spans="1:11" x14ac:dyDescent="0.25">
      <c r="A548">
        <v>109</v>
      </c>
      <c r="B548">
        <v>0</v>
      </c>
      <c r="C548">
        <v>20.7388729688175</v>
      </c>
      <c r="D548">
        <v>90.189946158951301</v>
      </c>
      <c r="E548">
        <v>12</v>
      </c>
      <c r="F548">
        <v>1.01722196789785</v>
      </c>
      <c r="G548" t="s">
        <v>84</v>
      </c>
      <c r="H548" t="s">
        <v>81</v>
      </c>
      <c r="I548">
        <v>645</v>
      </c>
      <c r="J548">
        <v>0</v>
      </c>
      <c r="K548">
        <v>0</v>
      </c>
    </row>
    <row r="549" spans="1:11" x14ac:dyDescent="0.25">
      <c r="A549" t="s">
        <v>82</v>
      </c>
    </row>
    <row r="550" spans="1:11" x14ac:dyDescent="0.25">
      <c r="A550">
        <v>57.046491007803397</v>
      </c>
      <c r="B550">
        <v>86.007569463931603</v>
      </c>
      <c r="C550">
        <v>2000</v>
      </c>
    </row>
    <row r="551" spans="1:11" x14ac:dyDescent="0.25">
      <c r="A551">
        <v>50.218508012224397</v>
      </c>
      <c r="B551">
        <v>79.179586468352596</v>
      </c>
      <c r="C551">
        <v>2000</v>
      </c>
    </row>
    <row r="552" spans="1:11" x14ac:dyDescent="0.25">
      <c r="A552">
        <v>42.381893297386199</v>
      </c>
      <c r="B552">
        <v>71.342971753514405</v>
      </c>
      <c r="C552">
        <v>2000</v>
      </c>
    </row>
    <row r="553" spans="1:11" x14ac:dyDescent="0.25">
      <c r="A553">
        <v>41.944877272937397</v>
      </c>
      <c r="B553">
        <v>71.7799877779632</v>
      </c>
      <c r="C553">
        <v>2001</v>
      </c>
    </row>
    <row r="554" spans="1:11" x14ac:dyDescent="0.25">
      <c r="A554">
        <v>49.781491987775603</v>
      </c>
      <c r="B554">
        <v>79.616602492801405</v>
      </c>
      <c r="C554">
        <v>2001</v>
      </c>
    </row>
    <row r="555" spans="1:11" x14ac:dyDescent="0.25">
      <c r="A555">
        <v>56.609474983354602</v>
      </c>
      <c r="B555">
        <v>86.444585488380397</v>
      </c>
      <c r="C555">
        <v>2001</v>
      </c>
    </row>
    <row r="556" spans="1:11" x14ac:dyDescent="0.25">
      <c r="A556">
        <v>70.383397507198595</v>
      </c>
      <c r="B556">
        <v>100.21850801222401</v>
      </c>
      <c r="C556">
        <v>2001</v>
      </c>
    </row>
    <row r="557" spans="1:11" x14ac:dyDescent="0.25">
      <c r="A557">
        <v>99.653017604012803</v>
      </c>
      <c r="B557">
        <v>129.488128109039</v>
      </c>
      <c r="C557">
        <v>2001</v>
      </c>
    </row>
    <row r="558" spans="1:11" x14ac:dyDescent="0.25">
      <c r="A558">
        <v>120.16488949497401</v>
      </c>
      <c r="B558">
        <v>150</v>
      </c>
      <c r="C558">
        <v>2001</v>
      </c>
    </row>
    <row r="559" spans="1:11" x14ac:dyDescent="0.25">
      <c r="A559">
        <v>121.03892154387199</v>
      </c>
      <c r="B559">
        <v>150</v>
      </c>
      <c r="C559">
        <v>2000</v>
      </c>
    </row>
    <row r="560" spans="1:11" x14ac:dyDescent="0.25">
      <c r="A560">
        <v>100.346982395987</v>
      </c>
      <c r="B560">
        <v>129.30806085211501</v>
      </c>
      <c r="C560">
        <v>2000</v>
      </c>
    </row>
    <row r="561" spans="1:11" x14ac:dyDescent="0.25">
      <c r="A561">
        <v>70.820413531647404</v>
      </c>
      <c r="B561">
        <v>99.781491987775595</v>
      </c>
      <c r="C561">
        <v>2000</v>
      </c>
    </row>
    <row r="562" spans="1:11" x14ac:dyDescent="0.25">
      <c r="A562" t="s">
        <v>83</v>
      </c>
    </row>
    <row r="563" spans="1:11" x14ac:dyDescent="0.25">
      <c r="A563">
        <v>81</v>
      </c>
      <c r="B563">
        <v>0</v>
      </c>
      <c r="C563">
        <v>87.065223688706695</v>
      </c>
      <c r="D563">
        <v>23.779252385437001</v>
      </c>
      <c r="E563">
        <v>10</v>
      </c>
      <c r="F563">
        <v>1.5707963267949001</v>
      </c>
      <c r="G563" t="s">
        <v>81</v>
      </c>
      <c r="H563" t="s">
        <v>84</v>
      </c>
      <c r="I563">
        <v>0</v>
      </c>
      <c r="J563">
        <v>330</v>
      </c>
      <c r="K563">
        <v>0</v>
      </c>
    </row>
    <row r="564" spans="1:11" x14ac:dyDescent="0.25">
      <c r="A564" t="s">
        <v>82</v>
      </c>
    </row>
    <row r="565" spans="1:11" x14ac:dyDescent="0.25">
      <c r="A565">
        <v>61.564410075808098</v>
      </c>
      <c r="B565">
        <v>82.136499745369207</v>
      </c>
      <c r="C565">
        <v>2000</v>
      </c>
    </row>
    <row r="566" spans="1:11" x14ac:dyDescent="0.25">
      <c r="A566">
        <v>50</v>
      </c>
      <c r="B566">
        <v>70.572089669561095</v>
      </c>
      <c r="C566">
        <v>2000</v>
      </c>
    </row>
    <row r="567" spans="1:11" x14ac:dyDescent="0.25">
      <c r="A567">
        <v>29.427910330438898</v>
      </c>
      <c r="B567">
        <v>50</v>
      </c>
      <c r="C567">
        <v>2000</v>
      </c>
    </row>
    <row r="568" spans="1:11" x14ac:dyDescent="0.25">
      <c r="A568">
        <v>0</v>
      </c>
      <c r="B568">
        <v>20.572089669561102</v>
      </c>
      <c r="C568">
        <v>2000</v>
      </c>
    </row>
    <row r="569" spans="1:11" x14ac:dyDescent="0.25">
      <c r="A569">
        <v>0</v>
      </c>
      <c r="B569">
        <v>20.572089669561102</v>
      </c>
      <c r="C569">
        <v>2001</v>
      </c>
    </row>
    <row r="570" spans="1:11" x14ac:dyDescent="0.25">
      <c r="A570">
        <v>29.427910330438898</v>
      </c>
      <c r="B570">
        <v>50</v>
      </c>
      <c r="C570">
        <v>2001</v>
      </c>
    </row>
    <row r="571" spans="1:11" x14ac:dyDescent="0.25">
      <c r="A571">
        <v>50</v>
      </c>
      <c r="B571">
        <v>70.572089669561095</v>
      </c>
      <c r="C571">
        <v>2001</v>
      </c>
    </row>
    <row r="572" spans="1:11" x14ac:dyDescent="0.25">
      <c r="A572">
        <v>61.564410075808098</v>
      </c>
      <c r="B572">
        <v>82.136499745369207</v>
      </c>
      <c r="C572">
        <v>2001</v>
      </c>
    </row>
    <row r="573" spans="1:11" x14ac:dyDescent="0.25">
      <c r="A573">
        <v>78.378880689097002</v>
      </c>
      <c r="B573">
        <v>98.950970358658097</v>
      </c>
      <c r="C573">
        <v>2001</v>
      </c>
    </row>
    <row r="574" spans="1:11" x14ac:dyDescent="0.25">
      <c r="A574">
        <v>78.378880689097002</v>
      </c>
      <c r="B574">
        <v>98.950970358658097</v>
      </c>
      <c r="C574">
        <v>2000</v>
      </c>
    </row>
    <row r="575" spans="1:11" x14ac:dyDescent="0.25">
      <c r="A575" t="s">
        <v>83</v>
      </c>
    </row>
    <row r="576" spans="1:11" x14ac:dyDescent="0.25">
      <c r="A576">
        <v>354</v>
      </c>
      <c r="B576">
        <v>0</v>
      </c>
      <c r="C576">
        <v>51.875730073312504</v>
      </c>
      <c r="D576">
        <v>58.058675536437299</v>
      </c>
      <c r="E576">
        <v>12</v>
      </c>
      <c r="F576">
        <v>1.01722196789785</v>
      </c>
      <c r="G576" t="s">
        <v>84</v>
      </c>
      <c r="H576" t="s">
        <v>81</v>
      </c>
      <c r="I576">
        <v>743</v>
      </c>
      <c r="J576">
        <v>0</v>
      </c>
      <c r="K576">
        <v>0</v>
      </c>
    </row>
    <row r="577" spans="1:11" x14ac:dyDescent="0.25">
      <c r="A577" t="s">
        <v>82</v>
      </c>
    </row>
    <row r="578" spans="1:11" x14ac:dyDescent="0.25">
      <c r="A578">
        <v>77.889613525572798</v>
      </c>
      <c r="B578">
        <v>109.13103711438799</v>
      </c>
      <c r="C578">
        <v>2000</v>
      </c>
    </row>
    <row r="579" spans="1:11" x14ac:dyDescent="0.25">
      <c r="A579">
        <v>68.977084423409195</v>
      </c>
      <c r="B579">
        <v>100.21850801222401</v>
      </c>
      <c r="C579">
        <v>2000</v>
      </c>
    </row>
    <row r="580" spans="1:11" x14ac:dyDescent="0.25">
      <c r="A580">
        <v>49.781491987775603</v>
      </c>
      <c r="B580">
        <v>81.022915576590805</v>
      </c>
      <c r="C580">
        <v>2000</v>
      </c>
    </row>
    <row r="581" spans="1:11" x14ac:dyDescent="0.25">
      <c r="A581">
        <v>41.241720731042598</v>
      </c>
      <c r="B581">
        <v>72.4831443198579</v>
      </c>
      <c r="C581">
        <v>2000</v>
      </c>
    </row>
    <row r="582" spans="1:11" x14ac:dyDescent="0.25">
      <c r="A582">
        <v>41.678736755491499</v>
      </c>
      <c r="B582">
        <v>72.046128295409105</v>
      </c>
      <c r="C582">
        <v>2001</v>
      </c>
    </row>
    <row r="583" spans="1:11" x14ac:dyDescent="0.25">
      <c r="A583">
        <v>50.218508012224397</v>
      </c>
      <c r="B583">
        <v>80.585899552141996</v>
      </c>
      <c r="C583">
        <v>2001</v>
      </c>
    </row>
    <row r="584" spans="1:11" x14ac:dyDescent="0.25">
      <c r="A584">
        <v>69.414100447858004</v>
      </c>
      <c r="B584">
        <v>99.781491987775595</v>
      </c>
      <c r="C584">
        <v>2001</v>
      </c>
    </row>
    <row r="585" spans="1:11" x14ac:dyDescent="0.25">
      <c r="A585">
        <v>78.394204988645598</v>
      </c>
      <c r="B585">
        <v>108.761596528563</v>
      </c>
      <c r="C585">
        <v>2001</v>
      </c>
    </row>
    <row r="586" spans="1:11" x14ac:dyDescent="0.25">
      <c r="A586">
        <v>100.33484758493699</v>
      </c>
      <c r="B586">
        <v>130.702239124854</v>
      </c>
      <c r="C586">
        <v>2001</v>
      </c>
    </row>
    <row r="587" spans="1:11" x14ac:dyDescent="0.25">
      <c r="A587">
        <v>119.632608460082</v>
      </c>
      <c r="B587">
        <v>150</v>
      </c>
      <c r="C587">
        <v>2001</v>
      </c>
    </row>
    <row r="588" spans="1:11" x14ac:dyDescent="0.25">
      <c r="A588">
        <v>118.758576411185</v>
      </c>
      <c r="B588">
        <v>150</v>
      </c>
      <c r="C588">
        <v>2000</v>
      </c>
    </row>
    <row r="589" spans="1:11" x14ac:dyDescent="0.25">
      <c r="A589">
        <v>99.665152415063403</v>
      </c>
      <c r="B589">
        <v>130.906576003879</v>
      </c>
      <c r="C589">
        <v>2000</v>
      </c>
    </row>
    <row r="590" spans="1:11" x14ac:dyDescent="0.25">
      <c r="A590" t="s">
        <v>83</v>
      </c>
    </row>
    <row r="591" spans="1:11" x14ac:dyDescent="0.25">
      <c r="A591">
        <v>186</v>
      </c>
      <c r="B591">
        <v>0</v>
      </c>
      <c r="C591">
        <v>71.982019612285896</v>
      </c>
      <c r="D591">
        <v>37.637734766302898</v>
      </c>
      <c r="E591">
        <v>10</v>
      </c>
      <c r="F591">
        <v>1.01722196789785</v>
      </c>
      <c r="G591" t="s">
        <v>81</v>
      </c>
      <c r="H591" t="s">
        <v>81</v>
      </c>
      <c r="I591">
        <v>0</v>
      </c>
      <c r="J591">
        <v>0</v>
      </c>
      <c r="K591">
        <v>0</v>
      </c>
    </row>
    <row r="592" spans="1:11" x14ac:dyDescent="0.25">
      <c r="A592" t="s">
        <v>82</v>
      </c>
    </row>
    <row r="593" spans="1:11" x14ac:dyDescent="0.25">
      <c r="A593">
        <v>123.17473418471199</v>
      </c>
      <c r="B593">
        <v>51.124621882265103</v>
      </c>
      <c r="C593">
        <v>2000</v>
      </c>
    </row>
    <row r="594" spans="1:11" x14ac:dyDescent="0.25">
      <c r="A594">
        <v>122.26862031467201</v>
      </c>
      <c r="B594">
        <v>50.218508012224397</v>
      </c>
      <c r="C594">
        <v>2000</v>
      </c>
    </row>
    <row r="595" spans="1:11" x14ac:dyDescent="0.25">
      <c r="A595">
        <v>99.683219633548703</v>
      </c>
      <c r="B595">
        <v>27.6331073311013</v>
      </c>
      <c r="C595">
        <v>2000</v>
      </c>
    </row>
    <row r="596" spans="1:11" x14ac:dyDescent="0.25">
      <c r="A596">
        <v>72.050112302447303</v>
      </c>
      <c r="B596">
        <v>0</v>
      </c>
      <c r="C596">
        <v>2000</v>
      </c>
    </row>
    <row r="597" spans="1:11" x14ac:dyDescent="0.25">
      <c r="A597">
        <v>72.924144351345006</v>
      </c>
      <c r="B597">
        <v>0</v>
      </c>
      <c r="C597">
        <v>2001</v>
      </c>
    </row>
    <row r="598" spans="1:11" x14ac:dyDescent="0.25">
      <c r="A598">
        <v>100.316780366451</v>
      </c>
      <c r="B598">
        <v>27.392636015106302</v>
      </c>
      <c r="C598">
        <v>2001</v>
      </c>
    </row>
    <row r="599" spans="1:11" x14ac:dyDescent="0.25">
      <c r="A599">
        <v>122.705636339121</v>
      </c>
      <c r="B599">
        <v>49.781491987775603</v>
      </c>
      <c r="C599">
        <v>2001</v>
      </c>
    </row>
    <row r="600" spans="1:11" x14ac:dyDescent="0.25">
      <c r="A600">
        <v>123.597470851781</v>
      </c>
      <c r="B600">
        <v>50.673326500435699</v>
      </c>
      <c r="C600">
        <v>2001</v>
      </c>
    </row>
    <row r="601" spans="1:11" x14ac:dyDescent="0.25">
      <c r="A601">
        <v>150</v>
      </c>
      <c r="B601">
        <v>77.075855648654994</v>
      </c>
      <c r="C601">
        <v>2001</v>
      </c>
    </row>
    <row r="602" spans="1:11" x14ac:dyDescent="0.25">
      <c r="A602">
        <v>150</v>
      </c>
      <c r="B602">
        <v>77.949887697552597</v>
      </c>
      <c r="C602">
        <v>2000</v>
      </c>
    </row>
    <row r="603" spans="1:11" x14ac:dyDescent="0.25">
      <c r="A603" t="s">
        <v>83</v>
      </c>
    </row>
    <row r="604" spans="1:11" x14ac:dyDescent="0.25">
      <c r="A604">
        <v>665</v>
      </c>
      <c r="B604">
        <v>0</v>
      </c>
      <c r="C604">
        <v>17.487588683357099</v>
      </c>
      <c r="D604">
        <v>91.979370017318601</v>
      </c>
      <c r="E604">
        <v>12</v>
      </c>
      <c r="F604">
        <v>1.01722196789785</v>
      </c>
      <c r="G604" t="s">
        <v>81</v>
      </c>
      <c r="H604" t="s">
        <v>84</v>
      </c>
      <c r="I604">
        <v>0</v>
      </c>
      <c r="J604">
        <v>357</v>
      </c>
      <c r="K604">
        <v>0</v>
      </c>
    </row>
    <row r="605" spans="1:11" x14ac:dyDescent="0.25">
      <c r="A605" t="s">
        <v>82</v>
      </c>
    </row>
    <row r="606" spans="1:11" x14ac:dyDescent="0.25">
      <c r="A606">
        <v>12.427334749756501</v>
      </c>
      <c r="B606">
        <v>61.2325759353809</v>
      </c>
      <c r="C606">
        <v>2000</v>
      </c>
    </row>
    <row r="607" spans="1:11" x14ac:dyDescent="0.25">
      <c r="A607">
        <v>0.77113259475880003</v>
      </c>
      <c r="B607">
        <v>49.5763737803832</v>
      </c>
      <c r="C607">
        <v>2000</v>
      </c>
    </row>
    <row r="608" spans="1:11" x14ac:dyDescent="0.25">
      <c r="A608">
        <v>0</v>
      </c>
      <c r="B608">
        <v>48.805241185624403</v>
      </c>
      <c r="C608">
        <v>2000</v>
      </c>
    </row>
    <row r="609" spans="1:11" x14ac:dyDescent="0.25">
      <c r="A609">
        <v>0</v>
      </c>
      <c r="B609">
        <v>49.679273234522</v>
      </c>
      <c r="C609">
        <v>2001</v>
      </c>
    </row>
    <row r="610" spans="1:11" x14ac:dyDescent="0.25">
      <c r="A610">
        <v>0.74435298509479697</v>
      </c>
      <c r="B610">
        <v>50.4236262196168</v>
      </c>
      <c r="C610">
        <v>2001</v>
      </c>
    </row>
    <row r="611" spans="1:11" x14ac:dyDescent="0.25">
      <c r="A611">
        <v>12.303850339449401</v>
      </c>
      <c r="B611">
        <v>61.983123573971397</v>
      </c>
      <c r="C611">
        <v>2001</v>
      </c>
    </row>
    <row r="612" spans="1:11" x14ac:dyDescent="0.25">
      <c r="A612">
        <v>49.781491987775603</v>
      </c>
      <c r="B612">
        <v>99.460765222297596</v>
      </c>
      <c r="C612">
        <v>2001</v>
      </c>
    </row>
    <row r="613" spans="1:11" x14ac:dyDescent="0.25">
      <c r="A613">
        <v>50.539234777702397</v>
      </c>
      <c r="B613">
        <v>100.21850801222401</v>
      </c>
      <c r="C613">
        <v>2001</v>
      </c>
    </row>
    <row r="614" spans="1:11" x14ac:dyDescent="0.25">
      <c r="A614">
        <v>77.186320800891096</v>
      </c>
      <c r="B614">
        <v>126.865594035413</v>
      </c>
      <c r="C614">
        <v>2001</v>
      </c>
    </row>
    <row r="615" spans="1:11" x14ac:dyDescent="0.25">
      <c r="A615">
        <v>77.623336825339905</v>
      </c>
      <c r="B615">
        <v>126.428578010964</v>
      </c>
      <c r="C615">
        <v>2000</v>
      </c>
    </row>
    <row r="616" spans="1:11" x14ac:dyDescent="0.25">
      <c r="A616">
        <v>50.976250802151199</v>
      </c>
      <c r="B616">
        <v>99.781491987775595</v>
      </c>
      <c r="C616">
        <v>2000</v>
      </c>
    </row>
    <row r="617" spans="1:11" x14ac:dyDescent="0.25">
      <c r="A617">
        <v>50.218508012224397</v>
      </c>
      <c r="B617">
        <v>99.023749197848801</v>
      </c>
      <c r="C617">
        <v>2000</v>
      </c>
    </row>
    <row r="618" spans="1:11" x14ac:dyDescent="0.25">
      <c r="A618" t="s">
        <v>83</v>
      </c>
    </row>
    <row r="619" spans="1:11" x14ac:dyDescent="0.25">
      <c r="A619">
        <v>515</v>
      </c>
      <c r="B619">
        <v>0</v>
      </c>
      <c r="C619">
        <v>18.136948965297801</v>
      </c>
      <c r="D619">
        <v>83.054311900655193</v>
      </c>
      <c r="E619">
        <v>10</v>
      </c>
      <c r="F619">
        <v>1.01722196789785</v>
      </c>
      <c r="G619" t="s">
        <v>81</v>
      </c>
      <c r="H619" t="s">
        <v>81</v>
      </c>
      <c r="I619">
        <v>0</v>
      </c>
      <c r="J619">
        <v>0</v>
      </c>
      <c r="K619">
        <v>0</v>
      </c>
    </row>
    <row r="620" spans="1:11" x14ac:dyDescent="0.25">
      <c r="A620" t="s">
        <v>82</v>
      </c>
    </row>
    <row r="621" spans="1:11" x14ac:dyDescent="0.25">
      <c r="A621">
        <v>90.964736275840906</v>
      </c>
      <c r="B621">
        <v>12.9547790554219</v>
      </c>
      <c r="C621">
        <v>2000</v>
      </c>
    </row>
    <row r="622" spans="1:11" x14ac:dyDescent="0.25">
      <c r="A622">
        <v>78.009957220418897</v>
      </c>
      <c r="B622">
        <v>0</v>
      </c>
      <c r="C622">
        <v>2000</v>
      </c>
    </row>
    <row r="623" spans="1:11" x14ac:dyDescent="0.25">
      <c r="A623">
        <v>78.883989269316501</v>
      </c>
      <c r="B623">
        <v>0</v>
      </c>
      <c r="C623">
        <v>2001</v>
      </c>
    </row>
    <row r="624" spans="1:11" x14ac:dyDescent="0.25">
      <c r="A624">
        <v>91.578729420687395</v>
      </c>
      <c r="B624">
        <v>12.694740151370899</v>
      </c>
      <c r="C624">
        <v>2001</v>
      </c>
    </row>
    <row r="625" spans="1:11" x14ac:dyDescent="0.25">
      <c r="A625">
        <v>100.21850801222401</v>
      </c>
      <c r="B625">
        <v>21.3345187429078</v>
      </c>
      <c r="C625">
        <v>2001</v>
      </c>
    </row>
    <row r="626" spans="1:11" x14ac:dyDescent="0.25">
      <c r="A626">
        <v>128.54116342554099</v>
      </c>
      <c r="B626">
        <v>49.657174156224798</v>
      </c>
      <c r="C626">
        <v>2001</v>
      </c>
    </row>
    <row r="627" spans="1:11" x14ac:dyDescent="0.25">
      <c r="A627">
        <v>150</v>
      </c>
      <c r="B627">
        <v>71.116010730683399</v>
      </c>
      <c r="C627">
        <v>2001</v>
      </c>
    </row>
    <row r="628" spans="1:11" x14ac:dyDescent="0.25">
      <c r="A628">
        <v>150</v>
      </c>
      <c r="B628">
        <v>71.990042779581003</v>
      </c>
      <c r="C628">
        <v>2000</v>
      </c>
    </row>
    <row r="629" spans="1:11" x14ac:dyDescent="0.25">
      <c r="A629">
        <v>128.352783064194</v>
      </c>
      <c r="B629">
        <v>50.342825843775103</v>
      </c>
      <c r="C629">
        <v>2000</v>
      </c>
    </row>
    <row r="630" spans="1:11" x14ac:dyDescent="0.25">
      <c r="A630">
        <v>99.781491987775595</v>
      </c>
      <c r="B630">
        <v>21.771534767356702</v>
      </c>
      <c r="C630">
        <v>2000</v>
      </c>
    </row>
    <row r="631" spans="1:11" x14ac:dyDescent="0.25">
      <c r="A631" t="s">
        <v>83</v>
      </c>
    </row>
    <row r="632" spans="1:11" x14ac:dyDescent="0.25">
      <c r="A632">
        <v>594</v>
      </c>
      <c r="B632">
        <v>0</v>
      </c>
      <c r="C632">
        <v>66.637210907879407</v>
      </c>
      <c r="D632">
        <v>33.177176064908203</v>
      </c>
      <c r="E632">
        <v>10</v>
      </c>
      <c r="F632">
        <v>1.01722196789785</v>
      </c>
      <c r="G632" t="s">
        <v>81</v>
      </c>
      <c r="H632" t="s">
        <v>81</v>
      </c>
      <c r="I632">
        <v>0</v>
      </c>
      <c r="J632">
        <v>0</v>
      </c>
      <c r="K632">
        <v>0</v>
      </c>
    </row>
    <row r="633" spans="1:11" x14ac:dyDescent="0.25">
      <c r="A633" t="s">
        <v>82</v>
      </c>
    </row>
    <row r="634" spans="1:11" x14ac:dyDescent="0.25">
      <c r="A634">
        <v>46.888963504334903</v>
      </c>
      <c r="B634">
        <v>126.746549640347</v>
      </c>
      <c r="C634">
        <v>2000</v>
      </c>
    </row>
    <row r="635" spans="1:11" x14ac:dyDescent="0.25">
      <c r="A635">
        <v>20.483996819083099</v>
      </c>
      <c r="B635">
        <v>100.341582955096</v>
      </c>
      <c r="C635">
        <v>2000</v>
      </c>
    </row>
    <row r="636" spans="1:11" x14ac:dyDescent="0.25">
      <c r="A636">
        <v>0</v>
      </c>
      <c r="B636">
        <v>79.8575861360125</v>
      </c>
      <c r="C636">
        <v>2000</v>
      </c>
    </row>
    <row r="637" spans="1:11" x14ac:dyDescent="0.25">
      <c r="A637">
        <v>0</v>
      </c>
      <c r="B637">
        <v>78.983554087114896</v>
      </c>
      <c r="C637">
        <v>2001</v>
      </c>
    </row>
    <row r="638" spans="1:11" x14ac:dyDescent="0.25">
      <c r="A638">
        <v>20.6748629577895</v>
      </c>
      <c r="B638">
        <v>99.658417044904397</v>
      </c>
      <c r="C638">
        <v>2001</v>
      </c>
    </row>
    <row r="639" spans="1:11" x14ac:dyDescent="0.25">
      <c r="A639">
        <v>47.350283920304499</v>
      </c>
      <c r="B639">
        <v>126.333838007419</v>
      </c>
      <c r="C639">
        <v>2001</v>
      </c>
    </row>
    <row r="640" spans="1:11" x14ac:dyDescent="0.25">
      <c r="A640">
        <v>50.245336251654599</v>
      </c>
      <c r="B640">
        <v>129.22889033876899</v>
      </c>
      <c r="C640">
        <v>2001</v>
      </c>
    </row>
    <row r="641" spans="1:11" x14ac:dyDescent="0.25">
      <c r="A641">
        <v>71.016445912885104</v>
      </c>
      <c r="B641">
        <v>150</v>
      </c>
      <c r="C641">
        <v>2001</v>
      </c>
    </row>
    <row r="642" spans="1:11" x14ac:dyDescent="0.25">
      <c r="A642">
        <v>70.1424138639875</v>
      </c>
      <c r="B642">
        <v>150</v>
      </c>
      <c r="C642">
        <v>2000</v>
      </c>
    </row>
    <row r="643" spans="1:11" x14ac:dyDescent="0.25">
      <c r="A643">
        <v>49.754663748345401</v>
      </c>
      <c r="B643">
        <v>129.61224988435799</v>
      </c>
      <c r="C643">
        <v>2000</v>
      </c>
    </row>
    <row r="644" spans="1:11" x14ac:dyDescent="0.25">
      <c r="A644" t="s">
        <v>83</v>
      </c>
    </row>
    <row r="645" spans="1:11" x14ac:dyDescent="0.25">
      <c r="A645">
        <v>118</v>
      </c>
      <c r="B645">
        <v>0</v>
      </c>
      <c r="C645">
        <v>98.026702396321099</v>
      </c>
      <c r="D645">
        <v>0.74973467428387197</v>
      </c>
      <c r="E645">
        <v>10</v>
      </c>
      <c r="F645">
        <v>1.01722196789785</v>
      </c>
      <c r="G645" t="s">
        <v>81</v>
      </c>
      <c r="H645" t="s">
        <v>84</v>
      </c>
      <c r="I645">
        <v>0</v>
      </c>
      <c r="J645">
        <v>107</v>
      </c>
      <c r="K645">
        <v>0</v>
      </c>
    </row>
    <row r="646" spans="1:11" x14ac:dyDescent="0.25">
      <c r="A646" t="s">
        <v>82</v>
      </c>
    </row>
    <row r="647" spans="1:11" x14ac:dyDescent="0.25">
      <c r="A647">
        <v>69.533854014018701</v>
      </c>
      <c r="B647">
        <v>93.552933719736799</v>
      </c>
      <c r="C647">
        <v>2000</v>
      </c>
    </row>
    <row r="648" spans="1:11" x14ac:dyDescent="0.25">
      <c r="A648">
        <v>50.218508012224397</v>
      </c>
      <c r="B648">
        <v>74.237587717942503</v>
      </c>
      <c r="C648">
        <v>2000</v>
      </c>
    </row>
    <row r="649" spans="1:11" x14ac:dyDescent="0.25">
      <c r="A649">
        <v>25.655535224762101</v>
      </c>
      <c r="B649">
        <v>49.674614930480203</v>
      </c>
      <c r="C649">
        <v>2000</v>
      </c>
    </row>
    <row r="650" spans="1:11" x14ac:dyDescent="0.25">
      <c r="A650">
        <v>0</v>
      </c>
      <c r="B650">
        <v>24.019079705718202</v>
      </c>
      <c r="C650">
        <v>2000</v>
      </c>
    </row>
    <row r="651" spans="1:11" x14ac:dyDescent="0.25">
      <c r="A651">
        <v>0</v>
      </c>
      <c r="B651">
        <v>24.893111754615799</v>
      </c>
      <c r="C651">
        <v>2001</v>
      </c>
    </row>
    <row r="652" spans="1:11" x14ac:dyDescent="0.25">
      <c r="A652">
        <v>25.432273314903998</v>
      </c>
      <c r="B652">
        <v>50.325385069519797</v>
      </c>
      <c r="C652">
        <v>2001</v>
      </c>
    </row>
    <row r="653" spans="1:11" x14ac:dyDescent="0.25">
      <c r="A653">
        <v>49.781491987775603</v>
      </c>
      <c r="B653">
        <v>74.674603742391398</v>
      </c>
      <c r="C653">
        <v>2001</v>
      </c>
    </row>
    <row r="654" spans="1:11" x14ac:dyDescent="0.25">
      <c r="A654">
        <v>69.096837989569906</v>
      </c>
      <c r="B654">
        <v>93.989949744185594</v>
      </c>
      <c r="C654">
        <v>2001</v>
      </c>
    </row>
    <row r="655" spans="1:11" x14ac:dyDescent="0.25">
      <c r="A655">
        <v>69.626980461846699</v>
      </c>
      <c r="B655">
        <v>94.520092216462402</v>
      </c>
      <c r="C655">
        <v>2001</v>
      </c>
    </row>
    <row r="656" spans="1:11" x14ac:dyDescent="0.25">
      <c r="A656">
        <v>70.063996486295494</v>
      </c>
      <c r="B656">
        <v>94.083076192013607</v>
      </c>
      <c r="C656">
        <v>2000</v>
      </c>
    </row>
    <row r="657" spans="1:11" x14ac:dyDescent="0.25">
      <c r="A657" t="s">
        <v>83</v>
      </c>
    </row>
    <row r="658" spans="1:11" x14ac:dyDescent="0.25">
      <c r="A658">
        <v>739</v>
      </c>
      <c r="B658">
        <v>0</v>
      </c>
      <c r="C658">
        <v>94.187592654481705</v>
      </c>
      <c r="D658">
        <v>4.0469741298429902</v>
      </c>
      <c r="E658">
        <v>10</v>
      </c>
      <c r="F658">
        <v>1.01722196789785</v>
      </c>
      <c r="G658" t="s">
        <v>81</v>
      </c>
      <c r="H658" t="s">
        <v>81</v>
      </c>
      <c r="I658">
        <v>0</v>
      </c>
      <c r="J658">
        <v>0</v>
      </c>
      <c r="K658">
        <v>0.13295790203782501</v>
      </c>
    </row>
    <row r="659" spans="1:11" x14ac:dyDescent="0.25">
      <c r="A659" t="s">
        <v>82</v>
      </c>
    </row>
    <row r="660" spans="1:11" x14ac:dyDescent="0.25">
      <c r="A660">
        <v>147.10622883059401</v>
      </c>
      <c r="B660">
        <v>67.005573175161203</v>
      </c>
      <c r="C660">
        <v>2000</v>
      </c>
    </row>
    <row r="661" spans="1:11" x14ac:dyDescent="0.25">
      <c r="A661">
        <v>130.31916366765699</v>
      </c>
      <c r="B661">
        <v>50.218508012224397</v>
      </c>
      <c r="C661">
        <v>2000</v>
      </c>
    </row>
    <row r="662" spans="1:11" x14ac:dyDescent="0.25">
      <c r="A662">
        <v>99.648037469040901</v>
      </c>
      <c r="B662">
        <v>19.547381813608499</v>
      </c>
      <c r="C662">
        <v>2000</v>
      </c>
    </row>
    <row r="663" spans="1:11" x14ac:dyDescent="0.25">
      <c r="A663">
        <v>80.100655655432405</v>
      </c>
      <c r="B663">
        <v>0</v>
      </c>
      <c r="C663">
        <v>2000</v>
      </c>
    </row>
    <row r="664" spans="1:11" x14ac:dyDescent="0.25">
      <c r="A664">
        <v>80.974687704330094</v>
      </c>
      <c r="B664">
        <v>0</v>
      </c>
      <c r="C664">
        <v>2001</v>
      </c>
    </row>
    <row r="665" spans="1:11" x14ac:dyDescent="0.25">
      <c r="A665">
        <v>100.351962530959</v>
      </c>
      <c r="B665">
        <v>19.377274826629002</v>
      </c>
      <c r="C665">
        <v>2001</v>
      </c>
    </row>
    <row r="666" spans="1:11" x14ac:dyDescent="0.25">
      <c r="A666">
        <v>130.756179692106</v>
      </c>
      <c r="B666">
        <v>49.781491987775603</v>
      </c>
      <c r="C666">
        <v>2001</v>
      </c>
    </row>
    <row r="667" spans="1:11" x14ac:dyDescent="0.25">
      <c r="A667">
        <v>147.170485468409</v>
      </c>
      <c r="B667">
        <v>66.195797764079302</v>
      </c>
      <c r="C667">
        <v>2001</v>
      </c>
    </row>
    <row r="668" spans="1:11" x14ac:dyDescent="0.25">
      <c r="A668">
        <v>150</v>
      </c>
      <c r="B668">
        <v>69.025312295669906</v>
      </c>
      <c r="C668">
        <v>2001</v>
      </c>
    </row>
    <row r="669" spans="1:11" x14ac:dyDescent="0.25">
      <c r="A669">
        <v>150</v>
      </c>
      <c r="B669">
        <v>69.899344344567595</v>
      </c>
      <c r="C669">
        <v>2000</v>
      </c>
    </row>
    <row r="670" spans="1:11" x14ac:dyDescent="0.25">
      <c r="A670" t="s">
        <v>83</v>
      </c>
    </row>
    <row r="671" spans="1:11" x14ac:dyDescent="0.25">
      <c r="A671">
        <v>101</v>
      </c>
      <c r="B671">
        <v>0</v>
      </c>
      <c r="C671">
        <v>90.713764413427398</v>
      </c>
      <c r="D671">
        <v>6.7178431336606801</v>
      </c>
      <c r="E671">
        <v>10</v>
      </c>
      <c r="F671">
        <v>1.01722196789785</v>
      </c>
      <c r="G671" t="s">
        <v>81</v>
      </c>
      <c r="H671" t="s">
        <v>84</v>
      </c>
      <c r="I671">
        <v>0</v>
      </c>
      <c r="J671">
        <v>111</v>
      </c>
      <c r="K671">
        <v>0</v>
      </c>
    </row>
    <row r="672" spans="1:11" x14ac:dyDescent="0.25">
      <c r="A672" t="s">
        <v>82</v>
      </c>
    </row>
    <row r="673" spans="1:11" x14ac:dyDescent="0.25">
      <c r="A673">
        <v>82.518334092818193</v>
      </c>
      <c r="B673">
        <v>64.362825975917801</v>
      </c>
      <c r="C673">
        <v>2000</v>
      </c>
    </row>
    <row r="674" spans="1:11" x14ac:dyDescent="0.25">
      <c r="A674">
        <v>68.374016129124698</v>
      </c>
      <c r="B674">
        <v>50.218508012224397</v>
      </c>
      <c r="C674">
        <v>2000</v>
      </c>
    </row>
    <row r="675" spans="1:11" x14ac:dyDescent="0.25">
      <c r="A675">
        <v>49.700239677928401</v>
      </c>
      <c r="B675">
        <v>31.544731561028101</v>
      </c>
      <c r="C675">
        <v>2000</v>
      </c>
    </row>
    <row r="676" spans="1:11" x14ac:dyDescent="0.25">
      <c r="A676">
        <v>18.1555081169003</v>
      </c>
      <c r="B676">
        <v>0</v>
      </c>
      <c r="C676">
        <v>2000</v>
      </c>
    </row>
    <row r="677" spans="1:11" x14ac:dyDescent="0.25">
      <c r="A677">
        <v>19.029540165797901</v>
      </c>
      <c r="B677">
        <v>0</v>
      </c>
      <c r="C677">
        <v>2001</v>
      </c>
    </row>
    <row r="678" spans="1:11" x14ac:dyDescent="0.25">
      <c r="A678">
        <v>50.299760322071599</v>
      </c>
      <c r="B678">
        <v>31.270220156273702</v>
      </c>
      <c r="C678">
        <v>2001</v>
      </c>
    </row>
    <row r="679" spans="1:11" x14ac:dyDescent="0.25">
      <c r="A679">
        <v>68.811032153573507</v>
      </c>
      <c r="B679">
        <v>49.781491987775603</v>
      </c>
      <c r="C679">
        <v>2001</v>
      </c>
    </row>
    <row r="680" spans="1:11" x14ac:dyDescent="0.25">
      <c r="A680">
        <v>82.955350117267002</v>
      </c>
      <c r="B680">
        <v>63.925809951468999</v>
      </c>
      <c r="C680">
        <v>2001</v>
      </c>
    </row>
    <row r="681" spans="1:11" x14ac:dyDescent="0.25">
      <c r="A681">
        <v>87.705582552025902</v>
      </c>
      <c r="B681">
        <v>68.676042386228005</v>
      </c>
      <c r="C681">
        <v>2001</v>
      </c>
    </row>
    <row r="682" spans="1:11" x14ac:dyDescent="0.25">
      <c r="A682">
        <v>87.268566527577093</v>
      </c>
      <c r="B682">
        <v>69.1130584106768</v>
      </c>
      <c r="C682">
        <v>2000</v>
      </c>
    </row>
    <row r="683" spans="1:11" x14ac:dyDescent="0.25">
      <c r="A683" t="s">
        <v>83</v>
      </c>
    </row>
    <row r="684" spans="1:11" x14ac:dyDescent="0.25">
      <c r="A684">
        <v>100</v>
      </c>
      <c r="B684">
        <v>0</v>
      </c>
      <c r="C684">
        <v>82.774430748049994</v>
      </c>
      <c r="D684">
        <v>14.218259683077401</v>
      </c>
      <c r="E684">
        <v>10</v>
      </c>
      <c r="F684">
        <v>1.5707963267949001</v>
      </c>
      <c r="G684" t="s">
        <v>81</v>
      </c>
      <c r="H684" t="s">
        <v>84</v>
      </c>
      <c r="I684">
        <v>0</v>
      </c>
      <c r="J684">
        <v>111</v>
      </c>
      <c r="K684">
        <v>0</v>
      </c>
    </row>
    <row r="685" spans="1:11" x14ac:dyDescent="0.25">
      <c r="A685" t="s">
        <v>82</v>
      </c>
    </row>
    <row r="686" spans="1:11" x14ac:dyDescent="0.25">
      <c r="A686">
        <v>77.7436079703009</v>
      </c>
      <c r="B686">
        <v>58.530361290802396</v>
      </c>
      <c r="C686">
        <v>2000</v>
      </c>
    </row>
    <row r="687" spans="1:11" x14ac:dyDescent="0.25">
      <c r="A687">
        <v>69.213246679498496</v>
      </c>
      <c r="B687">
        <v>50</v>
      </c>
      <c r="C687">
        <v>2000</v>
      </c>
    </row>
    <row r="688" spans="1:11" x14ac:dyDescent="0.25">
      <c r="A688">
        <v>50</v>
      </c>
      <c r="B688">
        <v>30.7867533205015</v>
      </c>
      <c r="C688">
        <v>2000</v>
      </c>
    </row>
    <row r="689" spans="1:11" x14ac:dyDescent="0.25">
      <c r="A689">
        <v>19.2132466794984</v>
      </c>
      <c r="B689">
        <v>0</v>
      </c>
      <c r="C689">
        <v>2000</v>
      </c>
    </row>
    <row r="690" spans="1:11" x14ac:dyDescent="0.25">
      <c r="A690">
        <v>19.2132466794984</v>
      </c>
      <c r="B690">
        <v>0</v>
      </c>
      <c r="C690">
        <v>2001</v>
      </c>
    </row>
    <row r="691" spans="1:11" x14ac:dyDescent="0.25">
      <c r="A691">
        <v>50</v>
      </c>
      <c r="B691">
        <v>30.7867533205015</v>
      </c>
      <c r="C691">
        <v>2001</v>
      </c>
    </row>
    <row r="692" spans="1:11" x14ac:dyDescent="0.25">
      <c r="A692">
        <v>69.213246679498496</v>
      </c>
      <c r="B692">
        <v>50</v>
      </c>
      <c r="C692">
        <v>2001</v>
      </c>
    </row>
    <row r="693" spans="1:11" x14ac:dyDescent="0.25">
      <c r="A693">
        <v>77.7436079703009</v>
      </c>
      <c r="B693">
        <v>58.530361290802396</v>
      </c>
      <c r="C693">
        <v>2001</v>
      </c>
    </row>
    <row r="694" spans="1:11" x14ac:dyDescent="0.25">
      <c r="A694">
        <v>87.797435808876202</v>
      </c>
      <c r="B694">
        <v>68.584189129377705</v>
      </c>
      <c r="C694">
        <v>2001</v>
      </c>
    </row>
    <row r="695" spans="1:11" x14ac:dyDescent="0.25">
      <c r="A695">
        <v>87.797435808876202</v>
      </c>
      <c r="B695">
        <v>68.584189129377705</v>
      </c>
      <c r="C695">
        <v>2000</v>
      </c>
    </row>
    <row r="696" spans="1:11" x14ac:dyDescent="0.25">
      <c r="A696" t="s">
        <v>83</v>
      </c>
    </row>
    <row r="697" spans="1:11" x14ac:dyDescent="0.25">
      <c r="A697">
        <v>355</v>
      </c>
      <c r="B697">
        <v>0</v>
      </c>
      <c r="C697">
        <v>81.304128058895103</v>
      </c>
      <c r="D697">
        <v>15.176233415775201</v>
      </c>
      <c r="E697">
        <v>10</v>
      </c>
      <c r="F697">
        <v>1.01722196789785</v>
      </c>
      <c r="G697" t="s">
        <v>81</v>
      </c>
      <c r="H697" t="s">
        <v>81</v>
      </c>
      <c r="I697">
        <v>0</v>
      </c>
      <c r="J697">
        <v>0</v>
      </c>
      <c r="K697">
        <v>0</v>
      </c>
    </row>
    <row r="698" spans="1:11" x14ac:dyDescent="0.25">
      <c r="A698" t="s">
        <v>82</v>
      </c>
    </row>
    <row r="699" spans="1:11" x14ac:dyDescent="0.25">
      <c r="A699">
        <v>57.799032986091298</v>
      </c>
      <c r="B699">
        <v>139.14009911157399</v>
      </c>
      <c r="C699">
        <v>2000</v>
      </c>
    </row>
    <row r="700" spans="1:11" x14ac:dyDescent="0.25">
      <c r="A700">
        <v>50.218508012224397</v>
      </c>
      <c r="B700">
        <v>131.55957413770699</v>
      </c>
      <c r="C700">
        <v>2000</v>
      </c>
    </row>
    <row r="701" spans="1:11" x14ac:dyDescent="0.25">
      <c r="A701">
        <v>18.301550551035401</v>
      </c>
      <c r="B701">
        <v>99.642616676517903</v>
      </c>
      <c r="C701">
        <v>2000</v>
      </c>
    </row>
    <row r="702" spans="1:11" x14ac:dyDescent="0.25">
      <c r="A702">
        <v>0</v>
      </c>
      <c r="B702">
        <v>81.341066125482499</v>
      </c>
      <c r="C702">
        <v>2000</v>
      </c>
    </row>
    <row r="703" spans="1:11" x14ac:dyDescent="0.25">
      <c r="A703">
        <v>0</v>
      </c>
      <c r="B703">
        <v>82.215098174380103</v>
      </c>
      <c r="C703">
        <v>2001</v>
      </c>
    </row>
    <row r="704" spans="1:11" x14ac:dyDescent="0.25">
      <c r="A704">
        <v>18.142285149102001</v>
      </c>
      <c r="B704">
        <v>100.357383323482</v>
      </c>
      <c r="C704">
        <v>2001</v>
      </c>
    </row>
    <row r="705" spans="1:11" x14ac:dyDescent="0.25">
      <c r="A705">
        <v>49.781491987775603</v>
      </c>
      <c r="B705">
        <v>131.996590162156</v>
      </c>
      <c r="C705">
        <v>2001</v>
      </c>
    </row>
    <row r="706" spans="1:11" x14ac:dyDescent="0.25">
      <c r="A706">
        <v>57.182367591717203</v>
      </c>
      <c r="B706">
        <v>139.39746576609701</v>
      </c>
      <c r="C706">
        <v>2001</v>
      </c>
    </row>
    <row r="707" spans="1:11" x14ac:dyDescent="0.25">
      <c r="A707">
        <v>67.784901825619897</v>
      </c>
      <c r="B707">
        <v>150</v>
      </c>
      <c r="C707">
        <v>2001</v>
      </c>
    </row>
    <row r="708" spans="1:11" x14ac:dyDescent="0.25">
      <c r="A708">
        <v>68.658933874517601</v>
      </c>
      <c r="B708">
        <v>150</v>
      </c>
      <c r="C708">
        <v>2000</v>
      </c>
    </row>
    <row r="709" spans="1:11" x14ac:dyDescent="0.25">
      <c r="A709" t="s">
        <v>83</v>
      </c>
    </row>
    <row r="710" spans="1:11" x14ac:dyDescent="0.25">
      <c r="A710">
        <v>747</v>
      </c>
      <c r="B710">
        <v>0</v>
      </c>
      <c r="C710">
        <v>73.230139394220402</v>
      </c>
      <c r="D710">
        <v>23.0514488170653</v>
      </c>
      <c r="E710">
        <v>14</v>
      </c>
      <c r="F710">
        <v>1.01722196789785</v>
      </c>
      <c r="G710" t="s">
        <v>84</v>
      </c>
      <c r="H710" t="s">
        <v>84</v>
      </c>
      <c r="I710">
        <v>7</v>
      </c>
      <c r="J710">
        <v>424</v>
      </c>
      <c r="K710">
        <v>0.13367256451839299</v>
      </c>
    </row>
    <row r="711" spans="1:11" x14ac:dyDescent="0.25">
      <c r="A711" t="s">
        <v>82</v>
      </c>
    </row>
    <row r="712" spans="1:11" x14ac:dyDescent="0.25">
      <c r="A712">
        <v>95.880221367753407</v>
      </c>
      <c r="B712">
        <v>100.05737421664701</v>
      </c>
      <c r="C712">
        <v>2000</v>
      </c>
    </row>
    <row r="713" spans="1:11" x14ac:dyDescent="0.25">
      <c r="A713">
        <v>95.604339138881599</v>
      </c>
      <c r="B713">
        <v>99.781491987775595</v>
      </c>
      <c r="C713">
        <v>2000</v>
      </c>
    </row>
    <row r="714" spans="1:11" x14ac:dyDescent="0.25">
      <c r="A714">
        <v>50.218508012224397</v>
      </c>
      <c r="B714">
        <v>54.395660861118401</v>
      </c>
      <c r="C714">
        <v>2000</v>
      </c>
    </row>
    <row r="715" spans="1:11" x14ac:dyDescent="0.25">
      <c r="A715">
        <v>45.604339138881599</v>
      </c>
      <c r="B715">
        <v>49.781491987775603</v>
      </c>
      <c r="C715">
        <v>2000</v>
      </c>
    </row>
    <row r="716" spans="1:11" x14ac:dyDescent="0.25">
      <c r="A716">
        <v>44.098693214863999</v>
      </c>
      <c r="B716">
        <v>48.275846063758003</v>
      </c>
      <c r="C716">
        <v>2000</v>
      </c>
    </row>
    <row r="717" spans="1:11" x14ac:dyDescent="0.25">
      <c r="A717">
        <v>43.661677190415197</v>
      </c>
      <c r="B717">
        <v>48.712862088206798</v>
      </c>
      <c r="C717">
        <v>2001</v>
      </c>
    </row>
    <row r="718" spans="1:11" x14ac:dyDescent="0.25">
      <c r="A718">
        <v>45.167323114432797</v>
      </c>
      <c r="B718">
        <v>50.218508012224397</v>
      </c>
      <c r="C718">
        <v>2001</v>
      </c>
    </row>
    <row r="719" spans="1:11" x14ac:dyDescent="0.25">
      <c r="A719">
        <v>49.781491987775603</v>
      </c>
      <c r="B719">
        <v>54.832676885567203</v>
      </c>
      <c r="C719">
        <v>2001</v>
      </c>
    </row>
    <row r="720" spans="1:11" x14ac:dyDescent="0.25">
      <c r="A720">
        <v>95.167323114432804</v>
      </c>
      <c r="B720">
        <v>100.21850801222401</v>
      </c>
      <c r="C720">
        <v>2001</v>
      </c>
    </row>
    <row r="721" spans="1:11" x14ac:dyDescent="0.25">
      <c r="A721">
        <v>95.443205343304598</v>
      </c>
      <c r="B721">
        <v>100.494390241096</v>
      </c>
      <c r="C721">
        <v>2001</v>
      </c>
    </row>
    <row r="722" spans="1:11" x14ac:dyDescent="0.25">
      <c r="A722">
        <v>99.781491987775595</v>
      </c>
      <c r="B722">
        <v>104.832676885567</v>
      </c>
      <c r="C722">
        <v>2001</v>
      </c>
    </row>
    <row r="723" spans="1:11" x14ac:dyDescent="0.25">
      <c r="A723">
        <v>111.743041118026</v>
      </c>
      <c r="B723">
        <v>116.794226015818</v>
      </c>
      <c r="C723">
        <v>2001</v>
      </c>
    </row>
    <row r="724" spans="1:11" x14ac:dyDescent="0.25">
      <c r="A724">
        <v>112.18005714247499</v>
      </c>
      <c r="B724">
        <v>116.357209991369</v>
      </c>
      <c r="C724">
        <v>2000</v>
      </c>
    </row>
    <row r="725" spans="1:11" x14ac:dyDescent="0.25">
      <c r="A725">
        <v>100.21850801222401</v>
      </c>
      <c r="B725">
        <v>104.395660861118</v>
      </c>
      <c r="C725">
        <v>2000</v>
      </c>
    </row>
    <row r="726" spans="1:11" x14ac:dyDescent="0.25">
      <c r="A726" t="s">
        <v>83</v>
      </c>
    </row>
    <row r="727" spans="1:11" x14ac:dyDescent="0.25">
      <c r="A727">
        <v>96</v>
      </c>
      <c r="B727">
        <v>0</v>
      </c>
      <c r="C727">
        <v>64.110862936045606</v>
      </c>
      <c r="D727">
        <v>31.5449525264704</v>
      </c>
      <c r="E727">
        <v>12</v>
      </c>
      <c r="F727">
        <v>1.5707963267949001</v>
      </c>
      <c r="G727" t="s">
        <v>84</v>
      </c>
      <c r="H727" t="s">
        <v>84</v>
      </c>
      <c r="I727">
        <v>1</v>
      </c>
      <c r="J727">
        <v>425</v>
      </c>
      <c r="K727">
        <v>0</v>
      </c>
    </row>
    <row r="728" spans="1:11" x14ac:dyDescent="0.25">
      <c r="A728" t="s">
        <v>82</v>
      </c>
    </row>
    <row r="729" spans="1:11" x14ac:dyDescent="0.25">
      <c r="A729">
        <v>69.772607132220898</v>
      </c>
      <c r="B729">
        <v>78.309182614697704</v>
      </c>
      <c r="C729">
        <v>2000</v>
      </c>
    </row>
    <row r="730" spans="1:11" x14ac:dyDescent="0.25">
      <c r="A730">
        <v>50</v>
      </c>
      <c r="B730">
        <v>58.536575482476799</v>
      </c>
      <c r="C730">
        <v>2000</v>
      </c>
    </row>
    <row r="731" spans="1:11" x14ac:dyDescent="0.25">
      <c r="A731">
        <v>41.463424517523201</v>
      </c>
      <c r="B731">
        <v>50</v>
      </c>
      <c r="C731">
        <v>2000</v>
      </c>
    </row>
    <row r="732" spans="1:11" x14ac:dyDescent="0.25">
      <c r="A732">
        <v>24.439381202421799</v>
      </c>
      <c r="B732">
        <v>32.975956684898598</v>
      </c>
      <c r="C732">
        <v>2000</v>
      </c>
    </row>
    <row r="733" spans="1:11" x14ac:dyDescent="0.25">
      <c r="A733">
        <v>24.439381202421799</v>
      </c>
      <c r="B733">
        <v>32.975956684898598</v>
      </c>
      <c r="C733">
        <v>2001</v>
      </c>
    </row>
    <row r="734" spans="1:11" x14ac:dyDescent="0.25">
      <c r="A734">
        <v>41.463424517523201</v>
      </c>
      <c r="B734">
        <v>50</v>
      </c>
      <c r="C734">
        <v>2001</v>
      </c>
    </row>
    <row r="735" spans="1:11" x14ac:dyDescent="0.25">
      <c r="A735">
        <v>50</v>
      </c>
      <c r="B735">
        <v>58.536575482476799</v>
      </c>
      <c r="C735">
        <v>2001</v>
      </c>
    </row>
    <row r="736" spans="1:11" x14ac:dyDescent="0.25">
      <c r="A736">
        <v>69.772607132220898</v>
      </c>
      <c r="B736">
        <v>78.309182614697704</v>
      </c>
      <c r="C736">
        <v>2001</v>
      </c>
    </row>
    <row r="737" spans="1:11" x14ac:dyDescent="0.25">
      <c r="A737">
        <v>91.463424517523293</v>
      </c>
      <c r="B737">
        <v>100</v>
      </c>
      <c r="C737">
        <v>2001</v>
      </c>
    </row>
    <row r="738" spans="1:11" x14ac:dyDescent="0.25">
      <c r="A738">
        <v>92.078256975895897</v>
      </c>
      <c r="B738">
        <v>100.614832458373</v>
      </c>
      <c r="C738">
        <v>2001</v>
      </c>
    </row>
    <row r="739" spans="1:11" x14ac:dyDescent="0.25">
      <c r="A739">
        <v>92.078256975895897</v>
      </c>
      <c r="B739">
        <v>100.614832458373</v>
      </c>
      <c r="C739">
        <v>2000</v>
      </c>
    </row>
    <row r="740" spans="1:11" x14ac:dyDescent="0.25">
      <c r="A740">
        <v>91.463424517523293</v>
      </c>
      <c r="B740">
        <v>100</v>
      </c>
      <c r="C740">
        <v>2000</v>
      </c>
    </row>
    <row r="741" spans="1:11" x14ac:dyDescent="0.25">
      <c r="A741" t="s">
        <v>83</v>
      </c>
    </row>
    <row r="742" spans="1:11" x14ac:dyDescent="0.25">
      <c r="A742">
        <v>341</v>
      </c>
      <c r="B742">
        <v>0</v>
      </c>
      <c r="C742">
        <v>84.001639025350201</v>
      </c>
      <c r="D742">
        <v>8.0294249377259899</v>
      </c>
      <c r="E742">
        <v>10</v>
      </c>
      <c r="F742">
        <v>1.01722196789785</v>
      </c>
      <c r="G742" t="s">
        <v>84</v>
      </c>
      <c r="H742" t="s">
        <v>84</v>
      </c>
      <c r="I742">
        <v>649</v>
      </c>
      <c r="J742">
        <v>349</v>
      </c>
      <c r="K742">
        <v>0</v>
      </c>
    </row>
    <row r="743" spans="1:11" x14ac:dyDescent="0.25">
      <c r="A743" t="s">
        <v>82</v>
      </c>
    </row>
    <row r="744" spans="1:11" x14ac:dyDescent="0.25">
      <c r="A744">
        <v>62.594922874395401</v>
      </c>
      <c r="B744">
        <v>126.292536695628</v>
      </c>
      <c r="C744">
        <v>2000</v>
      </c>
    </row>
    <row r="745" spans="1:11" x14ac:dyDescent="0.25">
      <c r="A745">
        <v>50.218508012224397</v>
      </c>
      <c r="B745">
        <v>113.916121833457</v>
      </c>
      <c r="C745">
        <v>2000</v>
      </c>
    </row>
    <row r="746" spans="1:11" x14ac:dyDescent="0.25">
      <c r="A746">
        <v>36.083878166542497</v>
      </c>
      <c r="B746">
        <v>99.781491987775595</v>
      </c>
      <c r="C746">
        <v>2000</v>
      </c>
    </row>
    <row r="747" spans="1:11" x14ac:dyDescent="0.25">
      <c r="A747">
        <v>3.1967942887857199</v>
      </c>
      <c r="B747">
        <v>66.894408110018901</v>
      </c>
      <c r="C747">
        <v>2000</v>
      </c>
    </row>
    <row r="748" spans="1:11" x14ac:dyDescent="0.25">
      <c r="A748">
        <v>2.7597782643369002</v>
      </c>
      <c r="B748">
        <v>67.331424134467696</v>
      </c>
      <c r="C748">
        <v>2001</v>
      </c>
    </row>
    <row r="749" spans="1:11" x14ac:dyDescent="0.25">
      <c r="A749">
        <v>35.646862142093703</v>
      </c>
      <c r="B749">
        <v>100.21850801222401</v>
      </c>
      <c r="C749">
        <v>2001</v>
      </c>
    </row>
    <row r="750" spans="1:11" x14ac:dyDescent="0.25">
      <c r="A750">
        <v>49.781491987775603</v>
      </c>
      <c r="B750">
        <v>114.35313785790601</v>
      </c>
      <c r="C750">
        <v>2001</v>
      </c>
    </row>
    <row r="751" spans="1:11" x14ac:dyDescent="0.25">
      <c r="A751">
        <v>62.157906849946599</v>
      </c>
      <c r="B751">
        <v>126.729552720077</v>
      </c>
      <c r="C751">
        <v>2001</v>
      </c>
    </row>
    <row r="752" spans="1:11" x14ac:dyDescent="0.25">
      <c r="A752">
        <v>67.835567672441002</v>
      </c>
      <c r="B752">
        <v>132.40721354257201</v>
      </c>
      <c r="C752">
        <v>2001</v>
      </c>
    </row>
    <row r="753" spans="1:11" x14ac:dyDescent="0.25">
      <c r="A753">
        <v>68.272583696889797</v>
      </c>
      <c r="B753">
        <v>131.970197518123</v>
      </c>
      <c r="C753">
        <v>2000</v>
      </c>
    </row>
    <row r="754" spans="1:11" x14ac:dyDescent="0.25">
      <c r="A754" t="s">
        <v>83</v>
      </c>
    </row>
    <row r="755" spans="1:11" x14ac:dyDescent="0.25">
      <c r="A755">
        <v>732</v>
      </c>
      <c r="B755">
        <v>0</v>
      </c>
      <c r="C755">
        <v>41.498686717266501</v>
      </c>
      <c r="D755">
        <v>48.830539152109601</v>
      </c>
      <c r="E755">
        <v>10</v>
      </c>
      <c r="F755">
        <v>1.01722196789785</v>
      </c>
      <c r="G755" t="s">
        <v>81</v>
      </c>
      <c r="H755" t="s">
        <v>81</v>
      </c>
      <c r="I755">
        <v>0</v>
      </c>
      <c r="J755">
        <v>0</v>
      </c>
      <c r="K755">
        <v>0.13222554274631901</v>
      </c>
    </row>
    <row r="756" spans="1:11" x14ac:dyDescent="0.25">
      <c r="A756" t="s">
        <v>82</v>
      </c>
    </row>
    <row r="757" spans="1:11" x14ac:dyDescent="0.25">
      <c r="A757">
        <v>29.5526204326456</v>
      </c>
      <c r="B757">
        <v>115.24319625663</v>
      </c>
      <c r="C757">
        <v>2000</v>
      </c>
    </row>
    <row r="758" spans="1:11" x14ac:dyDescent="0.25">
      <c r="A758">
        <v>13.9757080439456</v>
      </c>
      <c r="B758">
        <v>99.666283867929593</v>
      </c>
      <c r="C758">
        <v>2000</v>
      </c>
    </row>
    <row r="759" spans="1:11" x14ac:dyDescent="0.25">
      <c r="A759">
        <v>0</v>
      </c>
      <c r="B759">
        <v>85.690575823984005</v>
      </c>
      <c r="C759">
        <v>2000</v>
      </c>
    </row>
    <row r="760" spans="1:11" x14ac:dyDescent="0.25">
      <c r="A760">
        <v>0</v>
      </c>
      <c r="B760">
        <v>86.564607872881695</v>
      </c>
      <c r="C760">
        <v>2001</v>
      </c>
    </row>
    <row r="761" spans="1:11" x14ac:dyDescent="0.25">
      <c r="A761">
        <v>13.7691082591887</v>
      </c>
      <c r="B761">
        <v>100.33371613206999</v>
      </c>
      <c r="C761">
        <v>2001</v>
      </c>
    </row>
    <row r="762" spans="1:11" x14ac:dyDescent="0.25">
      <c r="A762">
        <v>29.135385143585001</v>
      </c>
      <c r="B762">
        <v>115.699993016467</v>
      </c>
      <c r="C762">
        <v>2001</v>
      </c>
    </row>
    <row r="763" spans="1:11" x14ac:dyDescent="0.25">
      <c r="A763">
        <v>49.650773501249098</v>
      </c>
      <c r="B763">
        <v>136.215381374131</v>
      </c>
      <c r="C763">
        <v>2001</v>
      </c>
    </row>
    <row r="764" spans="1:11" x14ac:dyDescent="0.25">
      <c r="A764">
        <v>63.435392127118298</v>
      </c>
      <c r="B764">
        <v>150</v>
      </c>
      <c r="C764">
        <v>2001</v>
      </c>
    </row>
    <row r="765" spans="1:11" x14ac:dyDescent="0.25">
      <c r="A765">
        <v>64.309424176015995</v>
      </c>
      <c r="B765">
        <v>150</v>
      </c>
      <c r="C765">
        <v>2000</v>
      </c>
    </row>
    <row r="766" spans="1:11" x14ac:dyDescent="0.25">
      <c r="A766">
        <v>50.349226498750802</v>
      </c>
      <c r="B766">
        <v>136.039802322735</v>
      </c>
      <c r="C766">
        <v>2000</v>
      </c>
    </row>
    <row r="767" spans="1:11" x14ac:dyDescent="0.25">
      <c r="A767" t="s">
        <v>83</v>
      </c>
    </row>
    <row r="768" spans="1:11" x14ac:dyDescent="0.25">
      <c r="A768">
        <v>358</v>
      </c>
      <c r="B768">
        <v>0</v>
      </c>
      <c r="C768">
        <v>51.179464071080801</v>
      </c>
      <c r="D768">
        <v>38.852653763434098</v>
      </c>
      <c r="E768">
        <v>12</v>
      </c>
      <c r="F768">
        <v>1.01722196789785</v>
      </c>
      <c r="G768" t="s">
        <v>84</v>
      </c>
      <c r="H768" t="s">
        <v>81</v>
      </c>
      <c r="I768">
        <v>646</v>
      </c>
      <c r="J768">
        <v>0</v>
      </c>
      <c r="K768">
        <v>0</v>
      </c>
    </row>
    <row r="769" spans="1:11" x14ac:dyDescent="0.25">
      <c r="A769" t="s">
        <v>82</v>
      </c>
    </row>
    <row r="770" spans="1:11" x14ac:dyDescent="0.25">
      <c r="A770">
        <v>80.949872005501504</v>
      </c>
      <c r="B770">
        <v>122.664144890012</v>
      </c>
      <c r="C770">
        <v>2000</v>
      </c>
    </row>
    <row r="771" spans="1:11" x14ac:dyDescent="0.25">
      <c r="A771">
        <v>58.504235127714402</v>
      </c>
      <c r="B771">
        <v>100.21850801222401</v>
      </c>
      <c r="C771">
        <v>2000</v>
      </c>
    </row>
    <row r="772" spans="1:11" x14ac:dyDescent="0.25">
      <c r="A772">
        <v>49.781491987775603</v>
      </c>
      <c r="B772">
        <v>91.495764872285605</v>
      </c>
      <c r="C772">
        <v>2000</v>
      </c>
    </row>
    <row r="773" spans="1:11" x14ac:dyDescent="0.25">
      <c r="A773">
        <v>44.841914082342498</v>
      </c>
      <c r="B773">
        <v>86.556186966852593</v>
      </c>
      <c r="C773">
        <v>2000</v>
      </c>
    </row>
    <row r="774" spans="1:11" x14ac:dyDescent="0.25">
      <c r="A774">
        <v>45.2789301067913</v>
      </c>
      <c r="B774">
        <v>86.119170942403699</v>
      </c>
      <c r="C774">
        <v>2001</v>
      </c>
    </row>
    <row r="775" spans="1:11" x14ac:dyDescent="0.25">
      <c r="A775">
        <v>50.218508012224397</v>
      </c>
      <c r="B775">
        <v>91.058748847836796</v>
      </c>
      <c r="C775">
        <v>2001</v>
      </c>
    </row>
    <row r="776" spans="1:11" x14ac:dyDescent="0.25">
      <c r="A776">
        <v>58.941251152163197</v>
      </c>
      <c r="B776">
        <v>99.781491987775595</v>
      </c>
      <c r="C776">
        <v>2001</v>
      </c>
    </row>
    <row r="777" spans="1:11" x14ac:dyDescent="0.25">
      <c r="A777">
        <v>81.549664387941405</v>
      </c>
      <c r="B777">
        <v>122.389905223554</v>
      </c>
      <c r="C777">
        <v>2001</v>
      </c>
    </row>
    <row r="778" spans="1:11" x14ac:dyDescent="0.25">
      <c r="A778">
        <v>100.36763914522101</v>
      </c>
      <c r="B778">
        <v>141.20787998083401</v>
      </c>
      <c r="C778">
        <v>2001</v>
      </c>
    </row>
    <row r="779" spans="1:11" x14ac:dyDescent="0.25">
      <c r="A779">
        <v>109.15975916438801</v>
      </c>
      <c r="B779">
        <v>150</v>
      </c>
      <c r="C779">
        <v>2001</v>
      </c>
    </row>
    <row r="780" spans="1:11" x14ac:dyDescent="0.25">
      <c r="A780">
        <v>108.28572711549</v>
      </c>
      <c r="B780">
        <v>150</v>
      </c>
      <c r="C780">
        <v>2000</v>
      </c>
    </row>
    <row r="781" spans="1:11" x14ac:dyDescent="0.25">
      <c r="A781">
        <v>99.632360854778597</v>
      </c>
      <c r="B781">
        <v>141.34663373928899</v>
      </c>
      <c r="C781">
        <v>2000</v>
      </c>
    </row>
    <row r="782" spans="1:11" x14ac:dyDescent="0.25">
      <c r="A782" t="s">
        <v>83</v>
      </c>
    </row>
    <row r="783" spans="1:11" x14ac:dyDescent="0.25">
      <c r="A783">
        <v>267</v>
      </c>
      <c r="B783">
        <v>0</v>
      </c>
      <c r="C783">
        <v>37.330347717376</v>
      </c>
      <c r="D783">
        <v>52.101081420608899</v>
      </c>
      <c r="E783">
        <v>10</v>
      </c>
      <c r="F783">
        <v>1.01722196789785</v>
      </c>
      <c r="G783" t="s">
        <v>84</v>
      </c>
      <c r="H783" t="s">
        <v>84</v>
      </c>
      <c r="I783">
        <v>504</v>
      </c>
      <c r="J783">
        <v>170</v>
      </c>
      <c r="K783">
        <v>0</v>
      </c>
    </row>
    <row r="784" spans="1:11" x14ac:dyDescent="0.25">
      <c r="A784" t="s">
        <v>82</v>
      </c>
    </row>
    <row r="785" spans="1:11" x14ac:dyDescent="0.25">
      <c r="A785">
        <v>112.85604061785401</v>
      </c>
      <c r="B785">
        <v>41.896266373752901</v>
      </c>
      <c r="C785">
        <v>2000</v>
      </c>
    </row>
    <row r="786" spans="1:11" x14ac:dyDescent="0.25">
      <c r="A786">
        <v>99.781491987775595</v>
      </c>
      <c r="B786">
        <v>28.821717743674299</v>
      </c>
      <c r="C786">
        <v>2000</v>
      </c>
    </row>
    <row r="787" spans="1:11" x14ac:dyDescent="0.25">
      <c r="A787">
        <v>86.459498602845798</v>
      </c>
      <c r="B787">
        <v>15.499724358744601</v>
      </c>
      <c r="C787">
        <v>2000</v>
      </c>
    </row>
    <row r="788" spans="1:11" x14ac:dyDescent="0.25">
      <c r="A788">
        <v>86.896514627294593</v>
      </c>
      <c r="B788">
        <v>15.062708334295699</v>
      </c>
      <c r="C788">
        <v>2001</v>
      </c>
    </row>
    <row r="789" spans="1:11" x14ac:dyDescent="0.25">
      <c r="A789">
        <v>100.21850801222401</v>
      </c>
      <c r="B789">
        <v>28.3847017192255</v>
      </c>
      <c r="C789">
        <v>2001</v>
      </c>
    </row>
    <row r="790" spans="1:11" x14ac:dyDescent="0.25">
      <c r="A790">
        <v>113.293056642303</v>
      </c>
      <c r="B790">
        <v>41.459250349304099</v>
      </c>
      <c r="C790">
        <v>2001</v>
      </c>
    </row>
    <row r="791" spans="1:11" x14ac:dyDescent="0.25">
      <c r="A791">
        <v>121.615298280774</v>
      </c>
      <c r="B791">
        <v>49.781491987775603</v>
      </c>
      <c r="C791">
        <v>2001</v>
      </c>
    </row>
    <row r="792" spans="1:11" x14ac:dyDescent="0.25">
      <c r="A792">
        <v>150.13408462196799</v>
      </c>
      <c r="B792">
        <v>78.3002783289691</v>
      </c>
      <c r="C792">
        <v>2001</v>
      </c>
    </row>
    <row r="793" spans="1:11" x14ac:dyDescent="0.25">
      <c r="A793">
        <v>149.69706859751901</v>
      </c>
      <c r="B793">
        <v>78.737294353417894</v>
      </c>
      <c r="C793">
        <v>2000</v>
      </c>
    </row>
    <row r="794" spans="1:11" x14ac:dyDescent="0.25">
      <c r="A794">
        <v>121.178282256326</v>
      </c>
      <c r="B794">
        <v>50.218508012224397</v>
      </c>
      <c r="C794">
        <v>2000</v>
      </c>
    </row>
    <row r="795" spans="1:11" x14ac:dyDescent="0.25">
      <c r="A795" t="s">
        <v>83</v>
      </c>
    </row>
    <row r="796" spans="1:11" x14ac:dyDescent="0.25">
      <c r="A796">
        <v>662</v>
      </c>
      <c r="B796">
        <v>0</v>
      </c>
      <c r="C796">
        <v>0.70057064561152105</v>
      </c>
      <c r="D796">
        <v>85.881646899140193</v>
      </c>
      <c r="E796">
        <v>12</v>
      </c>
      <c r="F796">
        <v>1.01722196789785</v>
      </c>
      <c r="G796" t="s">
        <v>84</v>
      </c>
      <c r="H796" t="s">
        <v>81</v>
      </c>
      <c r="I796">
        <v>677</v>
      </c>
      <c r="J796">
        <v>0</v>
      </c>
      <c r="K796">
        <v>0</v>
      </c>
    </row>
    <row r="797" spans="1:11" x14ac:dyDescent="0.25">
      <c r="A797" t="s">
        <v>82</v>
      </c>
    </row>
    <row r="798" spans="1:11" x14ac:dyDescent="0.25">
      <c r="A798">
        <v>42.663327783659497</v>
      </c>
      <c r="B798">
        <v>89.4910131103738</v>
      </c>
      <c r="C798">
        <v>2000</v>
      </c>
    </row>
    <row r="799" spans="1:11" x14ac:dyDescent="0.25">
      <c r="A799">
        <v>42.167949529447398</v>
      </c>
      <c r="B799">
        <v>88.995634856161701</v>
      </c>
      <c r="C799">
        <v>2000</v>
      </c>
    </row>
    <row r="800" spans="1:11" x14ac:dyDescent="0.25">
      <c r="A800">
        <v>42.6049655538962</v>
      </c>
      <c r="B800">
        <v>88.558618831712806</v>
      </c>
      <c r="C800">
        <v>2001</v>
      </c>
    </row>
    <row r="801" spans="1:11" x14ac:dyDescent="0.25">
      <c r="A801">
        <v>43.100343808108398</v>
      </c>
      <c r="B801">
        <v>89.053997085925005</v>
      </c>
      <c r="C801">
        <v>2001</v>
      </c>
    </row>
    <row r="802" spans="1:11" x14ac:dyDescent="0.25">
      <c r="A802">
        <v>50.218508012224397</v>
      </c>
      <c r="B802">
        <v>96.172161290041004</v>
      </c>
      <c r="C802">
        <v>2001</v>
      </c>
    </row>
    <row r="803" spans="1:11" x14ac:dyDescent="0.25">
      <c r="A803">
        <v>53.827838709958897</v>
      </c>
      <c r="B803">
        <v>99.781491987775595</v>
      </c>
      <c r="C803">
        <v>2001</v>
      </c>
    </row>
    <row r="804" spans="1:11" x14ac:dyDescent="0.25">
      <c r="A804">
        <v>100.421242670924</v>
      </c>
      <c r="B804">
        <v>146.374895948741</v>
      </c>
      <c r="C804">
        <v>2001</v>
      </c>
    </row>
    <row r="805" spans="1:11" x14ac:dyDescent="0.25">
      <c r="A805">
        <v>104.046346722183</v>
      </c>
      <c r="B805">
        <v>150</v>
      </c>
      <c r="C805">
        <v>2001</v>
      </c>
    </row>
    <row r="806" spans="1:11" x14ac:dyDescent="0.25">
      <c r="A806">
        <v>103.172314673286</v>
      </c>
      <c r="B806">
        <v>150</v>
      </c>
      <c r="C806">
        <v>2000</v>
      </c>
    </row>
    <row r="807" spans="1:11" x14ac:dyDescent="0.25">
      <c r="A807">
        <v>99.5787573290756</v>
      </c>
      <c r="B807">
        <v>146.40644265578999</v>
      </c>
      <c r="C807">
        <v>2000</v>
      </c>
    </row>
    <row r="808" spans="1:11" x14ac:dyDescent="0.25">
      <c r="A808">
        <v>53.390822685510102</v>
      </c>
      <c r="B808">
        <v>100.21850801222401</v>
      </c>
      <c r="C808">
        <v>2000</v>
      </c>
    </row>
    <row r="809" spans="1:11" x14ac:dyDescent="0.25">
      <c r="A809">
        <v>49.781491987775603</v>
      </c>
      <c r="B809">
        <v>96.609177314489898</v>
      </c>
      <c r="C809">
        <v>2000</v>
      </c>
    </row>
    <row r="810" spans="1:11" x14ac:dyDescent="0.25">
      <c r="A810" t="s">
        <v>83</v>
      </c>
    </row>
    <row r="811" spans="1:11" x14ac:dyDescent="0.25">
      <c r="A811">
        <v>120</v>
      </c>
      <c r="B811">
        <v>0</v>
      </c>
      <c r="C811">
        <v>1.4990088830911099</v>
      </c>
      <c r="D811">
        <v>82.782289735893897</v>
      </c>
      <c r="E811">
        <v>10</v>
      </c>
      <c r="F811">
        <v>1.01722196789785</v>
      </c>
      <c r="G811" t="s">
        <v>84</v>
      </c>
      <c r="H811" t="s">
        <v>84</v>
      </c>
      <c r="I811">
        <v>113</v>
      </c>
      <c r="J811">
        <v>722</v>
      </c>
      <c r="K811">
        <v>0</v>
      </c>
    </row>
    <row r="812" spans="1:11" x14ac:dyDescent="0.25">
      <c r="A812" t="s">
        <v>82</v>
      </c>
    </row>
    <row r="813" spans="1:11" x14ac:dyDescent="0.25">
      <c r="A813">
        <v>60.273413058502101</v>
      </c>
      <c r="B813">
        <v>61.127189066781497</v>
      </c>
      <c r="C813">
        <v>2000</v>
      </c>
    </row>
    <row r="814" spans="1:11" x14ac:dyDescent="0.25">
      <c r="A814">
        <v>59.2134537122095</v>
      </c>
      <c r="B814">
        <v>60.067229720488903</v>
      </c>
      <c r="C814">
        <v>2000</v>
      </c>
    </row>
    <row r="815" spans="1:11" x14ac:dyDescent="0.25">
      <c r="A815">
        <v>59.650469736658401</v>
      </c>
      <c r="B815">
        <v>59.630213696040101</v>
      </c>
      <c r="C815">
        <v>2001</v>
      </c>
    </row>
    <row r="816" spans="1:11" x14ac:dyDescent="0.25">
      <c r="A816">
        <v>60.710429082951002</v>
      </c>
      <c r="B816">
        <v>60.690173042332702</v>
      </c>
      <c r="C816">
        <v>2001</v>
      </c>
    </row>
    <row r="817" spans="1:11" x14ac:dyDescent="0.25">
      <c r="A817">
        <v>99.801748028393902</v>
      </c>
      <c r="B817">
        <v>99.781491987775595</v>
      </c>
      <c r="C817">
        <v>2001</v>
      </c>
    </row>
    <row r="818" spans="1:11" x14ac:dyDescent="0.25">
      <c r="A818">
        <v>100.21850801222401</v>
      </c>
      <c r="B818">
        <v>100.198251971606</v>
      </c>
      <c r="C818">
        <v>2001</v>
      </c>
    </row>
    <row r="819" spans="1:11" x14ac:dyDescent="0.25">
      <c r="A819">
        <v>119.246347517351</v>
      </c>
      <c r="B819">
        <v>119.226091476733</v>
      </c>
      <c r="C819">
        <v>2001</v>
      </c>
    </row>
    <row r="820" spans="1:11" x14ac:dyDescent="0.25">
      <c r="A820">
        <v>118.809331492902</v>
      </c>
      <c r="B820">
        <v>119.663107501182</v>
      </c>
      <c r="C820">
        <v>2000</v>
      </c>
    </row>
    <row r="821" spans="1:11" x14ac:dyDescent="0.25">
      <c r="A821">
        <v>99.781491987775595</v>
      </c>
      <c r="B821">
        <v>100.63526799605501</v>
      </c>
      <c r="C821">
        <v>2000</v>
      </c>
    </row>
    <row r="822" spans="1:11" x14ac:dyDescent="0.25">
      <c r="A822">
        <v>99.364732003945093</v>
      </c>
      <c r="B822">
        <v>100.21850801222401</v>
      </c>
      <c r="C822">
        <v>2000</v>
      </c>
    </row>
    <row r="823" spans="1:11" x14ac:dyDescent="0.25">
      <c r="A823" t="s">
        <v>83</v>
      </c>
    </row>
    <row r="824" spans="1:11" x14ac:dyDescent="0.25">
      <c r="A824">
        <v>670</v>
      </c>
      <c r="B824">
        <v>0</v>
      </c>
      <c r="C824">
        <v>9.9932862751823599</v>
      </c>
      <c r="D824">
        <v>74.122258362025306</v>
      </c>
      <c r="E824">
        <v>10</v>
      </c>
      <c r="F824">
        <v>1.01722196789785</v>
      </c>
      <c r="G824" t="s">
        <v>84</v>
      </c>
      <c r="H824" t="s">
        <v>84</v>
      </c>
      <c r="I824">
        <v>654</v>
      </c>
      <c r="J824">
        <v>322</v>
      </c>
      <c r="K824">
        <v>0</v>
      </c>
    </row>
    <row r="825" spans="1:11" x14ac:dyDescent="0.25">
      <c r="A825" t="s">
        <v>82</v>
      </c>
    </row>
    <row r="826" spans="1:11" x14ac:dyDescent="0.25">
      <c r="A826">
        <v>42.461314371074998</v>
      </c>
      <c r="B826">
        <v>81.642602984622599</v>
      </c>
      <c r="C826">
        <v>2000</v>
      </c>
    </row>
    <row r="827" spans="1:11" x14ac:dyDescent="0.25">
      <c r="A827">
        <v>35.394993879555102</v>
      </c>
      <c r="B827">
        <v>74.576282493102696</v>
      </c>
      <c r="C827">
        <v>2000</v>
      </c>
    </row>
    <row r="828" spans="1:11" x14ac:dyDescent="0.25">
      <c r="A828">
        <v>35.832009904003897</v>
      </c>
      <c r="B828">
        <v>74.139266468653901</v>
      </c>
      <c r="C828">
        <v>2001</v>
      </c>
    </row>
    <row r="829" spans="1:11" x14ac:dyDescent="0.25">
      <c r="A829">
        <v>42.8983303955238</v>
      </c>
      <c r="B829">
        <v>81.205586960173804</v>
      </c>
      <c r="C829">
        <v>2001</v>
      </c>
    </row>
    <row r="830" spans="1:11" x14ac:dyDescent="0.25">
      <c r="A830">
        <v>50.218508012224397</v>
      </c>
      <c r="B830">
        <v>88.525764576874394</v>
      </c>
      <c r="C830">
        <v>2001</v>
      </c>
    </row>
    <row r="831" spans="1:11" x14ac:dyDescent="0.25">
      <c r="A831">
        <v>61.474235423125599</v>
      </c>
      <c r="B831">
        <v>99.781491987775595</v>
      </c>
      <c r="C831">
        <v>2001</v>
      </c>
    </row>
    <row r="832" spans="1:11" x14ac:dyDescent="0.25">
      <c r="A832">
        <v>95.310681920173195</v>
      </c>
      <c r="B832">
        <v>133.61793848482299</v>
      </c>
      <c r="C832">
        <v>2001</v>
      </c>
    </row>
    <row r="833" spans="1:11" x14ac:dyDescent="0.25">
      <c r="A833">
        <v>94.8736658957244</v>
      </c>
      <c r="B833">
        <v>134.05495450927199</v>
      </c>
      <c r="C833">
        <v>2000</v>
      </c>
    </row>
    <row r="834" spans="1:11" x14ac:dyDescent="0.25">
      <c r="A834">
        <v>61.037219398676797</v>
      </c>
      <c r="B834">
        <v>100.21850801222401</v>
      </c>
      <c r="C834">
        <v>2000</v>
      </c>
    </row>
    <row r="835" spans="1:11" x14ac:dyDescent="0.25">
      <c r="A835">
        <v>49.781491987775603</v>
      </c>
      <c r="B835">
        <v>88.962780601323203</v>
      </c>
      <c r="C835">
        <v>2000</v>
      </c>
    </row>
    <row r="836" spans="1:11" x14ac:dyDescent="0.25">
      <c r="A836" t="s">
        <v>83</v>
      </c>
    </row>
    <row r="837" spans="1:11" x14ac:dyDescent="0.25">
      <c r="A837">
        <v>668</v>
      </c>
      <c r="B837">
        <v>0</v>
      </c>
      <c r="C837">
        <v>19.831637919888699</v>
      </c>
      <c r="D837">
        <v>64.151560953730595</v>
      </c>
      <c r="E837">
        <v>10</v>
      </c>
      <c r="F837">
        <v>1.01722196789785</v>
      </c>
      <c r="G837" t="s">
        <v>81</v>
      </c>
      <c r="H837" t="s">
        <v>84</v>
      </c>
      <c r="I837">
        <v>0</v>
      </c>
      <c r="J837">
        <v>329</v>
      </c>
      <c r="K837">
        <v>0</v>
      </c>
    </row>
    <row r="838" spans="1:11" x14ac:dyDescent="0.25">
      <c r="A838" t="s">
        <v>82</v>
      </c>
    </row>
    <row r="839" spans="1:11" x14ac:dyDescent="0.25">
      <c r="A839">
        <v>14.153556736360599</v>
      </c>
      <c r="B839">
        <v>90.231209370527196</v>
      </c>
      <c r="C839">
        <v>2000</v>
      </c>
    </row>
    <row r="840" spans="1:11" x14ac:dyDescent="0.25">
      <c r="A840">
        <v>0</v>
      </c>
      <c r="B840">
        <v>76.077652634166597</v>
      </c>
      <c r="C840">
        <v>2000</v>
      </c>
    </row>
    <row r="841" spans="1:11" x14ac:dyDescent="0.25">
      <c r="A841">
        <v>0</v>
      </c>
      <c r="B841">
        <v>76.951684683064201</v>
      </c>
      <c r="C841">
        <v>2001</v>
      </c>
    </row>
    <row r="842" spans="1:11" x14ac:dyDescent="0.25">
      <c r="A842">
        <v>13.892614574018699</v>
      </c>
      <c r="B842">
        <v>90.844299257082895</v>
      </c>
      <c r="C842">
        <v>2001</v>
      </c>
    </row>
    <row r="843" spans="1:11" x14ac:dyDescent="0.25">
      <c r="A843">
        <v>23.2668233291602</v>
      </c>
      <c r="B843">
        <v>100.21850801222401</v>
      </c>
      <c r="C843">
        <v>2001</v>
      </c>
    </row>
    <row r="844" spans="1:11" x14ac:dyDescent="0.25">
      <c r="A844">
        <v>49.781491987775603</v>
      </c>
      <c r="B844">
        <v>126.73317667084</v>
      </c>
      <c r="C844">
        <v>2001</v>
      </c>
    </row>
    <row r="845" spans="1:11" x14ac:dyDescent="0.25">
      <c r="A845">
        <v>59.166581417050303</v>
      </c>
      <c r="B845">
        <v>136.11826610011499</v>
      </c>
      <c r="C845">
        <v>2001</v>
      </c>
    </row>
    <row r="846" spans="1:11" x14ac:dyDescent="0.25">
      <c r="A846">
        <v>59.603597441499097</v>
      </c>
      <c r="B846">
        <v>135.68125007566599</v>
      </c>
      <c r="C846">
        <v>2000</v>
      </c>
    </row>
    <row r="847" spans="1:11" x14ac:dyDescent="0.25">
      <c r="A847">
        <v>50.218508012224397</v>
      </c>
      <c r="B847">
        <v>126.296160646391</v>
      </c>
      <c r="C847">
        <v>2000</v>
      </c>
    </row>
    <row r="848" spans="1:11" x14ac:dyDescent="0.25">
      <c r="A848">
        <v>23.703839353608998</v>
      </c>
      <c r="B848">
        <v>99.781491987775595</v>
      </c>
      <c r="C848">
        <v>2000</v>
      </c>
    </row>
    <row r="849" spans="1:11" x14ac:dyDescent="0.25">
      <c r="A849" t="s">
        <v>83</v>
      </c>
    </row>
    <row r="850" spans="1:11" x14ac:dyDescent="0.25">
      <c r="A850">
        <v>110</v>
      </c>
      <c r="B850">
        <v>0</v>
      </c>
      <c r="C850">
        <v>73.097347647827505</v>
      </c>
      <c r="D850">
        <v>10.799180611770099</v>
      </c>
      <c r="E850">
        <v>10</v>
      </c>
      <c r="F850">
        <v>1.01722196789785</v>
      </c>
      <c r="G850" t="s">
        <v>81</v>
      </c>
      <c r="H850" t="s">
        <v>84</v>
      </c>
      <c r="I850">
        <v>0</v>
      </c>
      <c r="J850">
        <v>737</v>
      </c>
      <c r="K850">
        <v>0</v>
      </c>
    </row>
    <row r="851" spans="1:11" x14ac:dyDescent="0.25">
      <c r="A851" t="s">
        <v>82</v>
      </c>
    </row>
    <row r="852" spans="1:11" x14ac:dyDescent="0.25">
      <c r="A852">
        <v>72.234700696656603</v>
      </c>
      <c r="B852">
        <v>51.906138220753803</v>
      </c>
      <c r="C852">
        <v>2000</v>
      </c>
    </row>
    <row r="853" spans="1:11" x14ac:dyDescent="0.25">
      <c r="A853">
        <v>70.547070488127304</v>
      </c>
      <c r="B853">
        <v>50.218508012224397</v>
      </c>
      <c r="C853">
        <v>2000</v>
      </c>
    </row>
    <row r="854" spans="1:11" x14ac:dyDescent="0.25">
      <c r="A854">
        <v>49.690743082159599</v>
      </c>
      <c r="B854">
        <v>29.3621806062567</v>
      </c>
      <c r="C854">
        <v>2000</v>
      </c>
    </row>
    <row r="855" spans="1:11" x14ac:dyDescent="0.25">
      <c r="A855">
        <v>20.3285624759028</v>
      </c>
      <c r="B855">
        <v>0</v>
      </c>
      <c r="C855">
        <v>2000</v>
      </c>
    </row>
    <row r="856" spans="1:11" x14ac:dyDescent="0.25">
      <c r="A856">
        <v>21.2025945248004</v>
      </c>
      <c r="B856">
        <v>0</v>
      </c>
      <c r="C856">
        <v>2001</v>
      </c>
    </row>
    <row r="857" spans="1:11" x14ac:dyDescent="0.25">
      <c r="A857">
        <v>50.309256917840401</v>
      </c>
      <c r="B857">
        <v>29.106662393040001</v>
      </c>
      <c r="C857">
        <v>2001</v>
      </c>
    </row>
    <row r="858" spans="1:11" x14ac:dyDescent="0.25">
      <c r="A858">
        <v>70.984086512576098</v>
      </c>
      <c r="B858">
        <v>49.781491987775603</v>
      </c>
      <c r="C858">
        <v>2001</v>
      </c>
    </row>
    <row r="859" spans="1:11" x14ac:dyDescent="0.25">
      <c r="A859">
        <v>72.671716721105398</v>
      </c>
      <c r="B859">
        <v>51.469122196305001</v>
      </c>
      <c r="C859">
        <v>2001</v>
      </c>
    </row>
    <row r="860" spans="1:11" x14ac:dyDescent="0.25">
      <c r="A860">
        <v>80.307890562946298</v>
      </c>
      <c r="B860">
        <v>59.105296038145902</v>
      </c>
      <c r="C860">
        <v>2001</v>
      </c>
    </row>
    <row r="861" spans="1:11" x14ac:dyDescent="0.25">
      <c r="A861">
        <v>79.870874538497503</v>
      </c>
      <c r="B861">
        <v>59.542312062594704</v>
      </c>
      <c r="C861">
        <v>2000</v>
      </c>
    </row>
    <row r="862" spans="1:11" x14ac:dyDescent="0.25">
      <c r="A862" t="s">
        <v>83</v>
      </c>
    </row>
    <row r="863" spans="1:11" x14ac:dyDescent="0.25">
      <c r="A863">
        <v>728</v>
      </c>
      <c r="B863">
        <v>0</v>
      </c>
      <c r="C863">
        <v>11.346242111688101</v>
      </c>
      <c r="D863">
        <v>71.697071437134198</v>
      </c>
      <c r="E863">
        <v>10</v>
      </c>
      <c r="F863">
        <v>1.01722196789785</v>
      </c>
      <c r="G863" t="s">
        <v>81</v>
      </c>
      <c r="H863" t="s">
        <v>84</v>
      </c>
      <c r="I863">
        <v>0</v>
      </c>
      <c r="J863">
        <v>83</v>
      </c>
      <c r="K863">
        <v>0.13160878275062499</v>
      </c>
    </row>
    <row r="864" spans="1:11" x14ac:dyDescent="0.25">
      <c r="A864" t="s">
        <v>82</v>
      </c>
    </row>
    <row r="865" spans="1:11" x14ac:dyDescent="0.25">
      <c r="A865">
        <v>19.1970423652003</v>
      </c>
      <c r="B865">
        <v>8.0686170952782703</v>
      </c>
      <c r="C865">
        <v>2000</v>
      </c>
    </row>
    <row r="866" spans="1:11" x14ac:dyDescent="0.25">
      <c r="A866">
        <v>11.128425269922101</v>
      </c>
      <c r="B866">
        <v>0</v>
      </c>
      <c r="C866">
        <v>2000</v>
      </c>
    </row>
    <row r="867" spans="1:11" x14ac:dyDescent="0.25">
      <c r="A867">
        <v>12.002457318819699</v>
      </c>
      <c r="B867">
        <v>0</v>
      </c>
      <c r="C867">
        <v>2001</v>
      </c>
    </row>
    <row r="868" spans="1:11" x14ac:dyDescent="0.25">
      <c r="A868">
        <v>19.9798496998595</v>
      </c>
      <c r="B868">
        <v>7.9773923810397598</v>
      </c>
      <c r="C868">
        <v>2001</v>
      </c>
    </row>
    <row r="869" spans="1:11" x14ac:dyDescent="0.25">
      <c r="A869">
        <v>50.218508012224397</v>
      </c>
      <c r="B869">
        <v>38.216050693404704</v>
      </c>
      <c r="C869">
        <v>2001</v>
      </c>
    </row>
    <row r="870" spans="1:11" x14ac:dyDescent="0.25">
      <c r="A870">
        <v>61.783949306595296</v>
      </c>
      <c r="B870">
        <v>49.781491987775603</v>
      </c>
      <c r="C870">
        <v>2001</v>
      </c>
    </row>
    <row r="871" spans="1:11" x14ac:dyDescent="0.25">
      <c r="A871">
        <v>70.504439449168203</v>
      </c>
      <c r="B871">
        <v>58.501982130348502</v>
      </c>
      <c r="C871">
        <v>2001</v>
      </c>
    </row>
    <row r="872" spans="1:11" x14ac:dyDescent="0.25">
      <c r="A872">
        <v>70.067423424719394</v>
      </c>
      <c r="B872">
        <v>58.938998154797297</v>
      </c>
      <c r="C872">
        <v>2000</v>
      </c>
    </row>
    <row r="873" spans="1:11" x14ac:dyDescent="0.25">
      <c r="A873">
        <v>61.346933282146502</v>
      </c>
      <c r="B873">
        <v>50.218508012224397</v>
      </c>
      <c r="C873">
        <v>2000</v>
      </c>
    </row>
    <row r="874" spans="1:11" x14ac:dyDescent="0.25">
      <c r="A874">
        <v>49.781491987775603</v>
      </c>
      <c r="B874">
        <v>38.653066717853498</v>
      </c>
      <c r="C874">
        <v>2000</v>
      </c>
    </row>
    <row r="875" spans="1:11" x14ac:dyDescent="0.25">
      <c r="A875" t="s">
        <v>83</v>
      </c>
    </row>
    <row r="876" spans="1:11" x14ac:dyDescent="0.25">
      <c r="A876">
        <v>352</v>
      </c>
      <c r="B876">
        <v>0</v>
      </c>
      <c r="C876">
        <v>60.6617904220657</v>
      </c>
      <c r="D876">
        <v>22.328717266402698</v>
      </c>
      <c r="E876">
        <v>10</v>
      </c>
      <c r="F876">
        <v>1.01722196789785</v>
      </c>
      <c r="G876" t="s">
        <v>84</v>
      </c>
      <c r="H876" t="s">
        <v>84</v>
      </c>
      <c r="I876">
        <v>33</v>
      </c>
      <c r="J876">
        <v>436</v>
      </c>
      <c r="K876">
        <v>0</v>
      </c>
    </row>
    <row r="877" spans="1:11" x14ac:dyDescent="0.25">
      <c r="A877" t="s">
        <v>82</v>
      </c>
    </row>
    <row r="878" spans="1:11" x14ac:dyDescent="0.25">
      <c r="A878">
        <v>95.536150412413505</v>
      </c>
      <c r="B878">
        <v>105.249522089613</v>
      </c>
      <c r="C878">
        <v>2000</v>
      </c>
    </row>
    <row r="879" spans="1:11" x14ac:dyDescent="0.25">
      <c r="A879">
        <v>90.068120310575907</v>
      </c>
      <c r="B879">
        <v>99.781491987775595</v>
      </c>
      <c r="C879">
        <v>2000</v>
      </c>
    </row>
    <row r="880" spans="1:11" x14ac:dyDescent="0.25">
      <c r="A880">
        <v>52.6417870460537</v>
      </c>
      <c r="B880">
        <v>62.355158723253403</v>
      </c>
      <c r="C880">
        <v>2000</v>
      </c>
    </row>
    <row r="881" spans="1:11" x14ac:dyDescent="0.25">
      <c r="A881">
        <v>52.204771021604898</v>
      </c>
      <c r="B881">
        <v>62.792174747702198</v>
      </c>
      <c r="C881">
        <v>2001</v>
      </c>
    </row>
    <row r="882" spans="1:11" x14ac:dyDescent="0.25">
      <c r="A882">
        <v>89.631104286127098</v>
      </c>
      <c r="B882">
        <v>100.21850801222401</v>
      </c>
      <c r="C882">
        <v>2001</v>
      </c>
    </row>
    <row r="883" spans="1:11" x14ac:dyDescent="0.25">
      <c r="A883">
        <v>95.099134387964696</v>
      </c>
      <c r="B883">
        <v>105.686538114062</v>
      </c>
      <c r="C883">
        <v>2001</v>
      </c>
    </row>
    <row r="884" spans="1:11" x14ac:dyDescent="0.25">
      <c r="A884">
        <v>99.781491987775595</v>
      </c>
      <c r="B884">
        <v>110.368895713873</v>
      </c>
      <c r="C884">
        <v>2001</v>
      </c>
    </row>
    <row r="885" spans="1:11" x14ac:dyDescent="0.25">
      <c r="A885">
        <v>110.887921782235</v>
      </c>
      <c r="B885">
        <v>121.475325508333</v>
      </c>
      <c r="C885">
        <v>2001</v>
      </c>
    </row>
    <row r="886" spans="1:11" x14ac:dyDescent="0.25">
      <c r="A886">
        <v>111.32493780668401</v>
      </c>
      <c r="B886">
        <v>121.03830948388401</v>
      </c>
      <c r="C886">
        <v>2000</v>
      </c>
    </row>
    <row r="887" spans="1:11" x14ac:dyDescent="0.25">
      <c r="A887">
        <v>100.21850801222401</v>
      </c>
      <c r="B887">
        <v>109.93187968942399</v>
      </c>
      <c r="C887">
        <v>2000</v>
      </c>
    </row>
    <row r="888" spans="1:11" x14ac:dyDescent="0.25">
      <c r="A888" t="s">
        <v>83</v>
      </c>
    </row>
    <row r="889" spans="1:11" x14ac:dyDescent="0.25">
      <c r="A889">
        <v>500</v>
      </c>
      <c r="B889">
        <v>0</v>
      </c>
      <c r="C889">
        <v>0.76051970101948996</v>
      </c>
      <c r="D889">
        <v>81.151960154998307</v>
      </c>
      <c r="E889">
        <v>10</v>
      </c>
      <c r="F889">
        <v>1.5707963267949001</v>
      </c>
      <c r="G889" t="s">
        <v>84</v>
      </c>
      <c r="H889" t="s">
        <v>81</v>
      </c>
      <c r="I889">
        <v>487</v>
      </c>
      <c r="J889">
        <v>0</v>
      </c>
      <c r="K889">
        <v>0</v>
      </c>
    </row>
    <row r="890" spans="1:11" x14ac:dyDescent="0.25">
      <c r="A890" t="s">
        <v>82</v>
      </c>
    </row>
    <row r="891" spans="1:11" x14ac:dyDescent="0.25">
      <c r="A891">
        <v>92.616898667820195</v>
      </c>
      <c r="B891">
        <v>40.043045750373501</v>
      </c>
      <c r="C891">
        <v>2000</v>
      </c>
    </row>
    <row r="892" spans="1:11" x14ac:dyDescent="0.25">
      <c r="A892">
        <v>92.079130030003398</v>
      </c>
      <c r="B892">
        <v>39.505277112556698</v>
      </c>
      <c r="C892">
        <v>2000</v>
      </c>
    </row>
    <row r="893" spans="1:11" x14ac:dyDescent="0.25">
      <c r="A893">
        <v>92.079130030003398</v>
      </c>
      <c r="B893">
        <v>39.505277112556698</v>
      </c>
      <c r="C893">
        <v>2001</v>
      </c>
    </row>
    <row r="894" spans="1:11" x14ac:dyDescent="0.25">
      <c r="A894">
        <v>92.616898667820195</v>
      </c>
      <c r="B894">
        <v>40.043045750373501</v>
      </c>
      <c r="C894">
        <v>2001</v>
      </c>
    </row>
    <row r="895" spans="1:11" x14ac:dyDescent="0.25">
      <c r="A895">
        <v>100</v>
      </c>
      <c r="B895">
        <v>47.4261470825533</v>
      </c>
      <c r="C895">
        <v>2001</v>
      </c>
    </row>
    <row r="896" spans="1:11" x14ac:dyDescent="0.25">
      <c r="A896">
        <v>102.573852917447</v>
      </c>
      <c r="B896">
        <v>50</v>
      </c>
      <c r="C896">
        <v>2001</v>
      </c>
    </row>
    <row r="897" spans="1:11" x14ac:dyDescent="0.25">
      <c r="A897">
        <v>150</v>
      </c>
      <c r="B897">
        <v>97.4261470825533</v>
      </c>
      <c r="C897">
        <v>2001</v>
      </c>
    </row>
    <row r="898" spans="1:11" x14ac:dyDescent="0.25">
      <c r="A898">
        <v>150</v>
      </c>
      <c r="B898">
        <v>97.4261470825533</v>
      </c>
      <c r="C898">
        <v>2000</v>
      </c>
    </row>
    <row r="899" spans="1:11" x14ac:dyDescent="0.25">
      <c r="A899">
        <v>102.573852917447</v>
      </c>
      <c r="B899">
        <v>50</v>
      </c>
      <c r="C899">
        <v>2000</v>
      </c>
    </row>
    <row r="900" spans="1:11" x14ac:dyDescent="0.25">
      <c r="A900">
        <v>100</v>
      </c>
      <c r="B900">
        <v>47.4261470825533</v>
      </c>
      <c r="C900">
        <v>2000</v>
      </c>
    </row>
    <row r="901" spans="1:11" x14ac:dyDescent="0.25">
      <c r="A901" t="s">
        <v>83</v>
      </c>
    </row>
    <row r="902" spans="1:11" x14ac:dyDescent="0.25">
      <c r="A902">
        <v>498</v>
      </c>
      <c r="B902">
        <v>0</v>
      </c>
      <c r="C902">
        <v>7.58735881370841</v>
      </c>
      <c r="D902">
        <v>74.167021146906094</v>
      </c>
      <c r="E902">
        <v>10</v>
      </c>
      <c r="F902">
        <v>1.5707963267949001</v>
      </c>
      <c r="G902" t="s">
        <v>84</v>
      </c>
      <c r="H902" t="s">
        <v>84</v>
      </c>
      <c r="I902">
        <v>484</v>
      </c>
      <c r="J902">
        <v>179</v>
      </c>
      <c r="K902">
        <v>0</v>
      </c>
    </row>
    <row r="903" spans="1:11" x14ac:dyDescent="0.25">
      <c r="A903" t="s">
        <v>82</v>
      </c>
    </row>
    <row r="904" spans="1:11" x14ac:dyDescent="0.25">
      <c r="A904">
        <v>55.414066966815902</v>
      </c>
      <c r="B904">
        <v>13.5149975486635</v>
      </c>
      <c r="C904">
        <v>2000</v>
      </c>
    </row>
    <row r="905" spans="1:11" x14ac:dyDescent="0.25">
      <c r="A905">
        <v>50.048994098347102</v>
      </c>
      <c r="B905">
        <v>8.1499246801948004</v>
      </c>
      <c r="C905">
        <v>2000</v>
      </c>
    </row>
    <row r="906" spans="1:11" x14ac:dyDescent="0.25">
      <c r="A906">
        <v>50.048994098347102</v>
      </c>
      <c r="B906">
        <v>8.1499246801948004</v>
      </c>
      <c r="C906">
        <v>2001</v>
      </c>
    </row>
    <row r="907" spans="1:11" x14ac:dyDescent="0.25">
      <c r="A907">
        <v>55.414066966815902</v>
      </c>
      <c r="B907">
        <v>13.5149975486635</v>
      </c>
      <c r="C907">
        <v>2001</v>
      </c>
    </row>
    <row r="908" spans="1:11" x14ac:dyDescent="0.25">
      <c r="A908">
        <v>91.899069418152393</v>
      </c>
      <c r="B908">
        <v>50</v>
      </c>
      <c r="C908">
        <v>2001</v>
      </c>
    </row>
    <row r="909" spans="1:11" x14ac:dyDescent="0.25">
      <c r="A909">
        <v>100</v>
      </c>
      <c r="B909">
        <v>58.100930581847599</v>
      </c>
      <c r="C909">
        <v>2001</v>
      </c>
    </row>
    <row r="910" spans="1:11" x14ac:dyDescent="0.25">
      <c r="A910">
        <v>107.858070560199</v>
      </c>
      <c r="B910">
        <v>65.959001142046901</v>
      </c>
      <c r="C910">
        <v>2001</v>
      </c>
    </row>
    <row r="911" spans="1:11" x14ac:dyDescent="0.25">
      <c r="A911">
        <v>107.858070560199</v>
      </c>
      <c r="B911">
        <v>65.959001142046901</v>
      </c>
      <c r="C911">
        <v>2000</v>
      </c>
    </row>
    <row r="912" spans="1:11" x14ac:dyDescent="0.25">
      <c r="A912">
        <v>100</v>
      </c>
      <c r="B912">
        <v>58.100930581847599</v>
      </c>
      <c r="C912">
        <v>2000</v>
      </c>
    </row>
    <row r="913" spans="1:11" x14ac:dyDescent="0.25">
      <c r="A913">
        <v>91.899069418152393</v>
      </c>
      <c r="B913">
        <v>50</v>
      </c>
      <c r="C913">
        <v>2000</v>
      </c>
    </row>
    <row r="914" spans="1:11" x14ac:dyDescent="0.25">
      <c r="A914" t="s">
        <v>83</v>
      </c>
    </row>
    <row r="915" spans="1:11" x14ac:dyDescent="0.25">
      <c r="A915">
        <v>503</v>
      </c>
      <c r="B915">
        <v>0</v>
      </c>
      <c r="C915">
        <v>49.0656144345595</v>
      </c>
      <c r="D915">
        <v>32.688765526055001</v>
      </c>
      <c r="E915">
        <v>10</v>
      </c>
      <c r="F915">
        <v>1.01722196789785</v>
      </c>
      <c r="G915" t="s">
        <v>84</v>
      </c>
      <c r="H915" t="s">
        <v>84</v>
      </c>
      <c r="I915">
        <v>484</v>
      </c>
      <c r="J915">
        <v>179</v>
      </c>
      <c r="K915">
        <v>0</v>
      </c>
    </row>
    <row r="916" spans="1:11" x14ac:dyDescent="0.25">
      <c r="A916" t="s">
        <v>82</v>
      </c>
    </row>
    <row r="917" spans="1:11" x14ac:dyDescent="0.25">
      <c r="A917">
        <v>86.099957206328597</v>
      </c>
      <c r="B917">
        <v>41.488218951736499</v>
      </c>
      <c r="C917">
        <v>2000</v>
      </c>
    </row>
    <row r="918" spans="1:11" x14ac:dyDescent="0.25">
      <c r="A918">
        <v>51.405328516567003</v>
      </c>
      <c r="B918">
        <v>6.7935902619749404</v>
      </c>
      <c r="C918">
        <v>2000</v>
      </c>
    </row>
    <row r="919" spans="1:11" x14ac:dyDescent="0.25">
      <c r="A919">
        <v>50.968312492118201</v>
      </c>
      <c r="B919">
        <v>7.2306062864237601</v>
      </c>
      <c r="C919">
        <v>2001</v>
      </c>
    </row>
    <row r="920" spans="1:11" x14ac:dyDescent="0.25">
      <c r="A920">
        <v>85.662941181879702</v>
      </c>
      <c r="B920">
        <v>41.925234976185301</v>
      </c>
      <c r="C920">
        <v>2001</v>
      </c>
    </row>
    <row r="921" spans="1:11" x14ac:dyDescent="0.25">
      <c r="A921">
        <v>93.956214217918799</v>
      </c>
      <c r="B921">
        <v>50.218508012224397</v>
      </c>
      <c r="C921">
        <v>2001</v>
      </c>
    </row>
    <row r="922" spans="1:11" x14ac:dyDescent="0.25">
      <c r="A922">
        <v>99.781491987775595</v>
      </c>
      <c r="B922">
        <v>56.043785782081102</v>
      </c>
      <c r="C922">
        <v>2001</v>
      </c>
    </row>
    <row r="923" spans="1:11" x14ac:dyDescent="0.25">
      <c r="A923">
        <v>108.77738895397</v>
      </c>
      <c r="B923">
        <v>65.039682748275794</v>
      </c>
      <c r="C923">
        <v>2001</v>
      </c>
    </row>
    <row r="924" spans="1:11" x14ac:dyDescent="0.25">
      <c r="A924">
        <v>109.214404978419</v>
      </c>
      <c r="B924">
        <v>64.602666723826999</v>
      </c>
      <c r="C924">
        <v>2000</v>
      </c>
    </row>
    <row r="925" spans="1:11" x14ac:dyDescent="0.25">
      <c r="A925">
        <v>100.21850801222401</v>
      </c>
      <c r="B925">
        <v>55.6067697576323</v>
      </c>
      <c r="C925">
        <v>2000</v>
      </c>
    </row>
    <row r="926" spans="1:11" x14ac:dyDescent="0.25">
      <c r="A926">
        <v>94.393230242367693</v>
      </c>
      <c r="B926">
        <v>49.781491987775603</v>
      </c>
      <c r="C926">
        <v>2000</v>
      </c>
    </row>
    <row r="927" spans="1:11" x14ac:dyDescent="0.25">
      <c r="A927" t="s">
        <v>83</v>
      </c>
    </row>
    <row r="928" spans="1:11" x14ac:dyDescent="0.25">
      <c r="A928">
        <v>265</v>
      </c>
      <c r="B928">
        <v>0</v>
      </c>
      <c r="C928">
        <v>46.356552926701298</v>
      </c>
      <c r="D928">
        <v>35.201329436931303</v>
      </c>
      <c r="E928">
        <v>10</v>
      </c>
      <c r="F928">
        <v>1.01722196789785</v>
      </c>
      <c r="G928" t="s">
        <v>81</v>
      </c>
      <c r="H928" t="s">
        <v>81</v>
      </c>
      <c r="I928">
        <v>0</v>
      </c>
      <c r="J928">
        <v>0</v>
      </c>
      <c r="K928">
        <v>0</v>
      </c>
    </row>
    <row r="929" spans="1:11" x14ac:dyDescent="0.25">
      <c r="A929" t="s">
        <v>82</v>
      </c>
    </row>
    <row r="930" spans="1:11" x14ac:dyDescent="0.25">
      <c r="A930">
        <v>124.911972109545</v>
      </c>
      <c r="B930">
        <v>33.019119812533603</v>
      </c>
      <c r="C930">
        <v>2000</v>
      </c>
    </row>
    <row r="931" spans="1:11" x14ac:dyDescent="0.25">
      <c r="A931">
        <v>99.614113770329297</v>
      </c>
      <c r="B931">
        <v>7.7212614733174902</v>
      </c>
      <c r="C931">
        <v>2000</v>
      </c>
    </row>
    <row r="932" spans="1:11" x14ac:dyDescent="0.25">
      <c r="A932">
        <v>91.8928522970118</v>
      </c>
      <c r="B932">
        <v>0</v>
      </c>
      <c r="C932">
        <v>2000</v>
      </c>
    </row>
    <row r="933" spans="1:11" x14ac:dyDescent="0.25">
      <c r="A933">
        <v>92.766884345909403</v>
      </c>
      <c r="B933">
        <v>0</v>
      </c>
      <c r="C933">
        <v>2001</v>
      </c>
    </row>
    <row r="934" spans="1:11" x14ac:dyDescent="0.25">
      <c r="A934">
        <v>100.385886229671</v>
      </c>
      <c r="B934">
        <v>7.6190018837612898</v>
      </c>
      <c r="C934">
        <v>2001</v>
      </c>
    </row>
    <row r="935" spans="1:11" x14ac:dyDescent="0.25">
      <c r="A935">
        <v>125.30583038718299</v>
      </c>
      <c r="B935">
        <v>32.538946041273597</v>
      </c>
      <c r="C935">
        <v>2001</v>
      </c>
    </row>
    <row r="936" spans="1:11" x14ac:dyDescent="0.25">
      <c r="A936">
        <v>142.39720103518701</v>
      </c>
      <c r="B936">
        <v>49.6303166892775</v>
      </c>
      <c r="C936">
        <v>2001</v>
      </c>
    </row>
    <row r="937" spans="1:11" x14ac:dyDescent="0.25">
      <c r="A937">
        <v>150</v>
      </c>
      <c r="B937">
        <v>57.233115654090497</v>
      </c>
      <c r="C937">
        <v>2001</v>
      </c>
    </row>
    <row r="938" spans="1:11" x14ac:dyDescent="0.25">
      <c r="A938">
        <v>150</v>
      </c>
      <c r="B938">
        <v>58.1071477029882</v>
      </c>
      <c r="C938">
        <v>2000</v>
      </c>
    </row>
    <row r="939" spans="1:11" x14ac:dyDescent="0.25">
      <c r="A939">
        <v>142.26253560773401</v>
      </c>
      <c r="B939">
        <v>50.3696833107225</v>
      </c>
      <c r="C939">
        <v>2000</v>
      </c>
    </row>
    <row r="940" spans="1:11" x14ac:dyDescent="0.25">
      <c r="A940" t="s">
        <v>83</v>
      </c>
    </row>
    <row r="941" spans="1:11" x14ac:dyDescent="0.25">
      <c r="A941">
        <v>513</v>
      </c>
      <c r="B941">
        <v>0</v>
      </c>
      <c r="C941">
        <v>65.4598877557452</v>
      </c>
      <c r="D941">
        <v>13.9924130964494</v>
      </c>
      <c r="E941">
        <v>10</v>
      </c>
      <c r="F941">
        <v>1.01722196789785</v>
      </c>
      <c r="G941" t="s">
        <v>81</v>
      </c>
      <c r="H941" t="s">
        <v>84</v>
      </c>
      <c r="I941">
        <v>0</v>
      </c>
      <c r="J941">
        <v>91</v>
      </c>
      <c r="K941">
        <v>0</v>
      </c>
    </row>
    <row r="942" spans="1:11" x14ac:dyDescent="0.25">
      <c r="A942" t="s">
        <v>82</v>
      </c>
    </row>
    <row r="943" spans="1:11" x14ac:dyDescent="0.25">
      <c r="A943">
        <v>79.560499444731207</v>
      </c>
      <c r="B943">
        <v>46.4900533283054</v>
      </c>
      <c r="C943">
        <v>2000</v>
      </c>
    </row>
    <row r="944" spans="1:11" x14ac:dyDescent="0.25">
      <c r="A944">
        <v>49.640840425563098</v>
      </c>
      <c r="B944">
        <v>16.570394309137299</v>
      </c>
      <c r="C944">
        <v>2000</v>
      </c>
    </row>
    <row r="945" spans="1:11" x14ac:dyDescent="0.25">
      <c r="A945">
        <v>33.070446116425799</v>
      </c>
      <c r="B945">
        <v>0</v>
      </c>
      <c r="C945">
        <v>2000</v>
      </c>
    </row>
    <row r="946" spans="1:11" x14ac:dyDescent="0.25">
      <c r="A946">
        <v>33.944478165323503</v>
      </c>
      <c r="B946">
        <v>0</v>
      </c>
      <c r="C946">
        <v>2001</v>
      </c>
    </row>
    <row r="947" spans="1:11" x14ac:dyDescent="0.25">
      <c r="A947">
        <v>50.359159574436902</v>
      </c>
      <c r="B947">
        <v>16.414681409113399</v>
      </c>
      <c r="C947">
        <v>2001</v>
      </c>
    </row>
    <row r="948" spans="1:11" x14ac:dyDescent="0.25">
      <c r="A948">
        <v>80.028685892613495</v>
      </c>
      <c r="B948">
        <v>46.08420772729</v>
      </c>
      <c r="C948">
        <v>2001</v>
      </c>
    </row>
    <row r="949" spans="1:11" x14ac:dyDescent="0.25">
      <c r="A949">
        <v>83.725970153099098</v>
      </c>
      <c r="B949">
        <v>49.781491987775603</v>
      </c>
      <c r="C949">
        <v>2001</v>
      </c>
    </row>
    <row r="950" spans="1:11" x14ac:dyDescent="0.25">
      <c r="A950">
        <v>89.907230866559601</v>
      </c>
      <c r="B950">
        <v>55.962752701236099</v>
      </c>
      <c r="C950">
        <v>2001</v>
      </c>
    </row>
    <row r="951" spans="1:11" x14ac:dyDescent="0.25">
      <c r="A951">
        <v>89.470214842110806</v>
      </c>
      <c r="B951">
        <v>56.399768725684901</v>
      </c>
      <c r="C951">
        <v>2000</v>
      </c>
    </row>
    <row r="952" spans="1:11" x14ac:dyDescent="0.25">
      <c r="A952">
        <v>83.288954128650303</v>
      </c>
      <c r="B952">
        <v>50.218508012224397</v>
      </c>
      <c r="C952">
        <v>2000</v>
      </c>
    </row>
    <row r="953" spans="1:11" x14ac:dyDescent="0.25">
      <c r="A953" t="s">
        <v>83</v>
      </c>
    </row>
    <row r="954" spans="1:11" x14ac:dyDescent="0.25">
      <c r="A954">
        <v>729</v>
      </c>
      <c r="B954">
        <v>0</v>
      </c>
      <c r="C954">
        <v>52.301463343591202</v>
      </c>
      <c r="D954">
        <v>26.461851927426999</v>
      </c>
      <c r="E954">
        <v>12</v>
      </c>
      <c r="F954">
        <v>1.01722196789785</v>
      </c>
      <c r="G954" t="s">
        <v>84</v>
      </c>
      <c r="H954" t="s">
        <v>84</v>
      </c>
      <c r="I954">
        <v>497</v>
      </c>
      <c r="J954">
        <v>407</v>
      </c>
      <c r="K954">
        <v>0.13160878275062499</v>
      </c>
    </row>
    <row r="955" spans="1:11" x14ac:dyDescent="0.25">
      <c r="A955" t="s">
        <v>82</v>
      </c>
    </row>
    <row r="956" spans="1:11" x14ac:dyDescent="0.25">
      <c r="A956">
        <v>98.7334746665898</v>
      </c>
      <c r="B956">
        <v>83.155349607190601</v>
      </c>
      <c r="C956">
        <v>2000</v>
      </c>
    </row>
    <row r="957" spans="1:11" x14ac:dyDescent="0.25">
      <c r="A957">
        <v>65.359617047174794</v>
      </c>
      <c r="B957">
        <v>49.781491987775603</v>
      </c>
      <c r="C957">
        <v>2000</v>
      </c>
    </row>
    <row r="958" spans="1:11" x14ac:dyDescent="0.25">
      <c r="A958">
        <v>61.750755270356798</v>
      </c>
      <c r="B958">
        <v>46.1726302109576</v>
      </c>
      <c r="C958">
        <v>2000</v>
      </c>
    </row>
    <row r="959" spans="1:11" x14ac:dyDescent="0.25">
      <c r="A959">
        <v>61.313739245908003</v>
      </c>
      <c r="B959">
        <v>46.609646235406402</v>
      </c>
      <c r="C959">
        <v>2001</v>
      </c>
    </row>
    <row r="960" spans="1:11" x14ac:dyDescent="0.25">
      <c r="A960">
        <v>64.922601022725999</v>
      </c>
      <c r="B960">
        <v>50.218508012224397</v>
      </c>
      <c r="C960">
        <v>2001</v>
      </c>
    </row>
    <row r="961" spans="1:11" x14ac:dyDescent="0.25">
      <c r="A961">
        <v>98.296458642141005</v>
      </c>
      <c r="B961">
        <v>83.592365631639396</v>
      </c>
      <c r="C961">
        <v>2001</v>
      </c>
    </row>
    <row r="962" spans="1:11" x14ac:dyDescent="0.25">
      <c r="A962">
        <v>99.781491987775595</v>
      </c>
      <c r="B962">
        <v>85.077398977274001</v>
      </c>
      <c r="C962">
        <v>2001</v>
      </c>
    </row>
    <row r="963" spans="1:11" x14ac:dyDescent="0.25">
      <c r="A963">
        <v>114.922601022726</v>
      </c>
      <c r="B963">
        <v>100.21850801222401</v>
      </c>
      <c r="C963">
        <v>2001</v>
      </c>
    </row>
    <row r="964" spans="1:11" x14ac:dyDescent="0.25">
      <c r="A964">
        <v>117.00781358277899</v>
      </c>
      <c r="B964">
        <v>102.303720572277</v>
      </c>
      <c r="C964">
        <v>2001</v>
      </c>
    </row>
    <row r="965" spans="1:11" x14ac:dyDescent="0.25">
      <c r="A965">
        <v>117.444829607228</v>
      </c>
      <c r="B965">
        <v>101.866704547829</v>
      </c>
      <c r="C965">
        <v>2000</v>
      </c>
    </row>
    <row r="966" spans="1:11" x14ac:dyDescent="0.25">
      <c r="A966">
        <v>115.35961704717501</v>
      </c>
      <c r="B966">
        <v>99.781491987775595</v>
      </c>
      <c r="C966">
        <v>2000</v>
      </c>
    </row>
    <row r="967" spans="1:11" x14ac:dyDescent="0.25">
      <c r="A967">
        <v>100.21850801222401</v>
      </c>
      <c r="B967">
        <v>84.640382952825206</v>
      </c>
      <c r="C967">
        <v>2000</v>
      </c>
    </row>
    <row r="968" spans="1:11" x14ac:dyDescent="0.25">
      <c r="A968" t="s">
        <v>83</v>
      </c>
    </row>
    <row r="969" spans="1:11" x14ac:dyDescent="0.25">
      <c r="A969">
        <v>107</v>
      </c>
      <c r="B969">
        <v>0</v>
      </c>
      <c r="C969">
        <v>1.1074940626462</v>
      </c>
      <c r="D969">
        <v>77.530219722222995</v>
      </c>
      <c r="E969">
        <v>10</v>
      </c>
      <c r="F969">
        <v>1.01722196789785</v>
      </c>
      <c r="G969" t="s">
        <v>84</v>
      </c>
      <c r="H969" t="s">
        <v>81</v>
      </c>
      <c r="I969">
        <v>92</v>
      </c>
      <c r="J969">
        <v>0</v>
      </c>
      <c r="K969">
        <v>0</v>
      </c>
    </row>
    <row r="970" spans="1:11" x14ac:dyDescent="0.25">
      <c r="A970" t="s">
        <v>82</v>
      </c>
    </row>
    <row r="971" spans="1:11" x14ac:dyDescent="0.25">
      <c r="A971">
        <v>70.7539579266423</v>
      </c>
      <c r="B971">
        <v>94.959347875308694</v>
      </c>
      <c r="C971">
        <v>2000</v>
      </c>
    </row>
    <row r="972" spans="1:11" x14ac:dyDescent="0.25">
      <c r="A972">
        <v>69.970841364821297</v>
      </c>
      <c r="B972">
        <v>94.176231313487705</v>
      </c>
      <c r="C972">
        <v>2000</v>
      </c>
    </row>
    <row r="973" spans="1:11" x14ac:dyDescent="0.25">
      <c r="A973">
        <v>69.533825340372502</v>
      </c>
      <c r="B973">
        <v>94.6132473379365</v>
      </c>
      <c r="C973">
        <v>2001</v>
      </c>
    </row>
    <row r="974" spans="1:11" x14ac:dyDescent="0.25">
      <c r="A974">
        <v>70.316941902193506</v>
      </c>
      <c r="B974">
        <v>95.396363899757503</v>
      </c>
      <c r="C974">
        <v>2001</v>
      </c>
    </row>
    <row r="975" spans="1:11" x14ac:dyDescent="0.25">
      <c r="A975">
        <v>75.139086014660407</v>
      </c>
      <c r="B975">
        <v>100.21850801222401</v>
      </c>
      <c r="C975">
        <v>2001</v>
      </c>
    </row>
    <row r="976" spans="1:11" x14ac:dyDescent="0.25">
      <c r="A976">
        <v>99.673800724863298</v>
      </c>
      <c r="B976">
        <v>124.753222722427</v>
      </c>
      <c r="C976">
        <v>2001</v>
      </c>
    </row>
    <row r="977" spans="1:11" x14ac:dyDescent="0.25">
      <c r="A977">
        <v>124.920578002436</v>
      </c>
      <c r="B977">
        <v>150</v>
      </c>
      <c r="C977">
        <v>2001</v>
      </c>
    </row>
    <row r="978" spans="1:11" x14ac:dyDescent="0.25">
      <c r="A978">
        <v>125.794610051334</v>
      </c>
      <c r="B978">
        <v>150</v>
      </c>
      <c r="C978">
        <v>2000</v>
      </c>
    </row>
    <row r="979" spans="1:11" x14ac:dyDescent="0.25">
      <c r="A979">
        <v>100.326199275137</v>
      </c>
      <c r="B979">
        <v>124.531589223803</v>
      </c>
      <c r="C979">
        <v>2000</v>
      </c>
    </row>
    <row r="980" spans="1:11" x14ac:dyDescent="0.25">
      <c r="A980">
        <v>75.576102039109202</v>
      </c>
      <c r="B980">
        <v>99.781491987775595</v>
      </c>
      <c r="C980">
        <v>2000</v>
      </c>
    </row>
    <row r="981" spans="1:11" x14ac:dyDescent="0.25">
      <c r="A981" t="s">
        <v>83</v>
      </c>
    </row>
    <row r="982" spans="1:11" x14ac:dyDescent="0.25">
      <c r="A982">
        <v>669</v>
      </c>
      <c r="B982">
        <v>0</v>
      </c>
      <c r="C982">
        <v>50.721062022526901</v>
      </c>
      <c r="D982">
        <v>27.876613319652499</v>
      </c>
      <c r="E982">
        <v>10</v>
      </c>
      <c r="F982">
        <v>1.01722196789785</v>
      </c>
      <c r="G982" t="s">
        <v>81</v>
      </c>
      <c r="H982" t="s">
        <v>84</v>
      </c>
      <c r="I982">
        <v>0</v>
      </c>
      <c r="J982">
        <v>726</v>
      </c>
      <c r="K982">
        <v>0</v>
      </c>
    </row>
    <row r="983" spans="1:11" x14ac:dyDescent="0.25">
      <c r="A983" t="s">
        <v>82</v>
      </c>
    </row>
    <row r="984" spans="1:11" x14ac:dyDescent="0.25">
      <c r="A984">
        <v>36.032484932000898</v>
      </c>
      <c r="B984">
        <v>70.487197514973701</v>
      </c>
      <c r="C984">
        <v>2000</v>
      </c>
    </row>
    <row r="985" spans="1:11" x14ac:dyDescent="0.25">
      <c r="A985">
        <v>15.200318215530601</v>
      </c>
      <c r="B985">
        <v>49.655030798503397</v>
      </c>
      <c r="C985">
        <v>2000</v>
      </c>
    </row>
    <row r="986" spans="1:11" x14ac:dyDescent="0.25">
      <c r="A986">
        <v>0</v>
      </c>
      <c r="B986">
        <v>34.454712582972803</v>
      </c>
      <c r="C986">
        <v>2000</v>
      </c>
    </row>
    <row r="987" spans="1:11" x14ac:dyDescent="0.25">
      <c r="A987">
        <v>0</v>
      </c>
      <c r="B987">
        <v>35.328744631870499</v>
      </c>
      <c r="C987">
        <v>2001</v>
      </c>
    </row>
    <row r="988" spans="1:11" x14ac:dyDescent="0.25">
      <c r="A988">
        <v>15.0162245696262</v>
      </c>
      <c r="B988">
        <v>50.344969201496603</v>
      </c>
      <c r="C988">
        <v>2001</v>
      </c>
    </row>
    <row r="989" spans="1:11" x14ac:dyDescent="0.25">
      <c r="A989">
        <v>35.6979288782235</v>
      </c>
      <c r="B989">
        <v>71.026673510094</v>
      </c>
      <c r="C989">
        <v>2001</v>
      </c>
    </row>
    <row r="990" spans="1:11" x14ac:dyDescent="0.25">
      <c r="A990">
        <v>49.781491987775603</v>
      </c>
      <c r="B990">
        <v>85.110236619646003</v>
      </c>
      <c r="C990">
        <v>2001</v>
      </c>
    </row>
    <row r="991" spans="1:11" x14ac:dyDescent="0.25">
      <c r="A991">
        <v>55.3584412077293</v>
      </c>
      <c r="B991">
        <v>90.687185839599707</v>
      </c>
      <c r="C991">
        <v>2001</v>
      </c>
    </row>
    <row r="992" spans="1:11" x14ac:dyDescent="0.25">
      <c r="A992">
        <v>55.795457232178101</v>
      </c>
      <c r="B992">
        <v>90.250169815150898</v>
      </c>
      <c r="C992">
        <v>2000</v>
      </c>
    </row>
    <row r="993" spans="1:11" x14ac:dyDescent="0.25">
      <c r="A993">
        <v>50.218508012224397</v>
      </c>
      <c r="B993">
        <v>84.673220595197193</v>
      </c>
      <c r="C993">
        <v>2000</v>
      </c>
    </row>
    <row r="994" spans="1:11" x14ac:dyDescent="0.25">
      <c r="A994" t="s">
        <v>83</v>
      </c>
    </row>
    <row r="995" spans="1:11" x14ac:dyDescent="0.25">
      <c r="A995">
        <v>569</v>
      </c>
      <c r="B995">
        <v>0</v>
      </c>
      <c r="C995">
        <v>57.020255094460602</v>
      </c>
      <c r="D995">
        <v>20.998892708266801</v>
      </c>
      <c r="E995">
        <v>10</v>
      </c>
      <c r="F995">
        <v>1.5707963267949001</v>
      </c>
      <c r="G995" t="s">
        <v>81</v>
      </c>
      <c r="H995" t="s">
        <v>84</v>
      </c>
      <c r="I995">
        <v>0</v>
      </c>
      <c r="J995">
        <v>340</v>
      </c>
      <c r="K995">
        <v>0</v>
      </c>
    </row>
    <row r="996" spans="1:11" x14ac:dyDescent="0.25">
      <c r="A996" t="s">
        <v>82</v>
      </c>
    </row>
    <row r="997" spans="1:11" x14ac:dyDescent="0.25">
      <c r="A997">
        <v>40.319409042279901</v>
      </c>
      <c r="B997">
        <v>111.238251643366</v>
      </c>
      <c r="C997">
        <v>2000</v>
      </c>
    </row>
    <row r="998" spans="1:11" x14ac:dyDescent="0.25">
      <c r="A998">
        <v>29.0811573989136</v>
      </c>
      <c r="B998">
        <v>100</v>
      </c>
      <c r="C998">
        <v>2000</v>
      </c>
    </row>
    <row r="999" spans="1:11" x14ac:dyDescent="0.25">
      <c r="A999">
        <v>0</v>
      </c>
      <c r="B999">
        <v>70.918842601086396</v>
      </c>
      <c r="C999">
        <v>2000</v>
      </c>
    </row>
    <row r="1000" spans="1:11" x14ac:dyDescent="0.25">
      <c r="A1000">
        <v>0</v>
      </c>
      <c r="B1000">
        <v>70.918842601086396</v>
      </c>
      <c r="C1000">
        <v>2001</v>
      </c>
    </row>
    <row r="1001" spans="1:11" x14ac:dyDescent="0.25">
      <c r="A1001">
        <v>29.0811573989136</v>
      </c>
      <c r="B1001">
        <v>100</v>
      </c>
      <c r="C1001">
        <v>2001</v>
      </c>
    </row>
    <row r="1002" spans="1:11" x14ac:dyDescent="0.25">
      <c r="A1002">
        <v>40.319409042279901</v>
      </c>
      <c r="B1002">
        <v>111.238251643366</v>
      </c>
      <c r="C1002">
        <v>2001</v>
      </c>
    </row>
    <row r="1003" spans="1:11" x14ac:dyDescent="0.25">
      <c r="A1003">
        <v>50</v>
      </c>
      <c r="B1003">
        <v>120.918842601086</v>
      </c>
      <c r="C1003">
        <v>2001</v>
      </c>
    </row>
    <row r="1004" spans="1:11" x14ac:dyDescent="0.25">
      <c r="A1004">
        <v>55.167868473704097</v>
      </c>
      <c r="B1004">
        <v>126.08671107479</v>
      </c>
      <c r="C1004">
        <v>2001</v>
      </c>
    </row>
    <row r="1005" spans="1:11" x14ac:dyDescent="0.25">
      <c r="A1005">
        <v>55.167868473704097</v>
      </c>
      <c r="B1005">
        <v>126.08671107479</v>
      </c>
      <c r="C1005">
        <v>2000</v>
      </c>
    </row>
    <row r="1006" spans="1:11" x14ac:dyDescent="0.25">
      <c r="A1006">
        <v>50</v>
      </c>
      <c r="B1006">
        <v>120.918842601086</v>
      </c>
      <c r="C1006">
        <v>2000</v>
      </c>
    </row>
    <row r="1007" spans="1:11" x14ac:dyDescent="0.25">
      <c r="A1007" t="s">
        <v>83</v>
      </c>
    </row>
    <row r="1008" spans="1:11" x14ac:dyDescent="0.25">
      <c r="A1008">
        <v>274</v>
      </c>
      <c r="B1008">
        <v>0</v>
      </c>
      <c r="C1008">
        <v>32.531075084375203</v>
      </c>
      <c r="D1008">
        <v>45.160485095391998</v>
      </c>
      <c r="E1008">
        <v>10</v>
      </c>
      <c r="F1008">
        <v>1.01722196789785</v>
      </c>
      <c r="G1008" t="s">
        <v>81</v>
      </c>
      <c r="H1008" t="s">
        <v>81</v>
      </c>
      <c r="I1008">
        <v>0</v>
      </c>
      <c r="J1008">
        <v>0</v>
      </c>
      <c r="K1008">
        <v>0</v>
      </c>
    </row>
    <row r="1009" spans="1:11" x14ac:dyDescent="0.25">
      <c r="A1009" t="s">
        <v>82</v>
      </c>
    </row>
    <row r="1010" spans="1:11" x14ac:dyDescent="0.25">
      <c r="A1010">
        <v>117.81945417769199</v>
      </c>
      <c r="B1010">
        <v>23.192699246217401</v>
      </c>
      <c r="C1010">
        <v>2000</v>
      </c>
    </row>
    <row r="1011" spans="1:11" x14ac:dyDescent="0.25">
      <c r="A1011">
        <v>99.609873869561497</v>
      </c>
      <c r="B1011">
        <v>4.9831189380864398</v>
      </c>
      <c r="C1011">
        <v>2000</v>
      </c>
    </row>
    <row r="1012" spans="1:11" x14ac:dyDescent="0.25">
      <c r="A1012">
        <v>94.626754931475006</v>
      </c>
      <c r="B1012">
        <v>0</v>
      </c>
      <c r="C1012">
        <v>2000</v>
      </c>
    </row>
    <row r="1013" spans="1:11" x14ac:dyDescent="0.25">
      <c r="A1013">
        <v>95.500786980372695</v>
      </c>
      <c r="B1013">
        <v>0</v>
      </c>
      <c r="C1013">
        <v>2001</v>
      </c>
    </row>
    <row r="1014" spans="1:11" x14ac:dyDescent="0.25">
      <c r="A1014">
        <v>100.390126130439</v>
      </c>
      <c r="B1014">
        <v>4.8893391500658803</v>
      </c>
      <c r="C1014">
        <v>2001</v>
      </c>
    </row>
    <row r="1015" spans="1:11" x14ac:dyDescent="0.25">
      <c r="A1015">
        <v>118.31397531705601</v>
      </c>
      <c r="B1015">
        <v>22.813188336683499</v>
      </c>
      <c r="C1015">
        <v>2001</v>
      </c>
    </row>
    <row r="1016" spans="1:11" x14ac:dyDescent="0.25">
      <c r="A1016">
        <v>145.097547799984</v>
      </c>
      <c r="B1016">
        <v>49.596760819611298</v>
      </c>
      <c r="C1016">
        <v>2001</v>
      </c>
    </row>
    <row r="1017" spans="1:11" x14ac:dyDescent="0.25">
      <c r="A1017">
        <v>150</v>
      </c>
      <c r="B1017">
        <v>54.499213019627298</v>
      </c>
      <c r="C1017">
        <v>2001</v>
      </c>
    </row>
    <row r="1018" spans="1:11" x14ac:dyDescent="0.25">
      <c r="A1018">
        <v>150</v>
      </c>
      <c r="B1018">
        <v>55.373245068525001</v>
      </c>
      <c r="C1018">
        <v>2000</v>
      </c>
    </row>
    <row r="1019" spans="1:11" x14ac:dyDescent="0.25">
      <c r="A1019">
        <v>145.029994111864</v>
      </c>
      <c r="B1019">
        <v>50.403239180388702</v>
      </c>
      <c r="C1019">
        <v>2000</v>
      </c>
    </row>
    <row r="1020" spans="1:11" x14ac:dyDescent="0.25">
      <c r="A1020" t="s">
        <v>83</v>
      </c>
    </row>
    <row r="1021" spans="1:11" x14ac:dyDescent="0.25">
      <c r="A1021">
        <v>191</v>
      </c>
      <c r="B1021">
        <v>0</v>
      </c>
      <c r="C1021">
        <v>60.290412234370102</v>
      </c>
      <c r="D1021">
        <v>16.9047817655321</v>
      </c>
      <c r="E1021">
        <v>10</v>
      </c>
      <c r="F1021">
        <v>1.01722196789785</v>
      </c>
      <c r="G1021" t="s">
        <v>84</v>
      </c>
      <c r="H1021" t="s">
        <v>81</v>
      </c>
      <c r="I1021">
        <v>733</v>
      </c>
      <c r="J1021">
        <v>0</v>
      </c>
      <c r="K1021">
        <v>0</v>
      </c>
    </row>
    <row r="1022" spans="1:11" x14ac:dyDescent="0.25">
      <c r="A1022" t="s">
        <v>82</v>
      </c>
    </row>
    <row r="1023" spans="1:11" x14ac:dyDescent="0.25">
      <c r="A1023">
        <v>138.21781379331699</v>
      </c>
      <c r="B1023">
        <v>53.028540374844603</v>
      </c>
      <c r="C1023">
        <v>2000</v>
      </c>
    </row>
    <row r="1024" spans="1:11" x14ac:dyDescent="0.25">
      <c r="A1024">
        <v>134.97076540624801</v>
      </c>
      <c r="B1024">
        <v>49.781491987775603</v>
      </c>
      <c r="C1024">
        <v>2000</v>
      </c>
    </row>
    <row r="1025" spans="1:11" x14ac:dyDescent="0.25">
      <c r="A1025">
        <v>100.21850801222401</v>
      </c>
      <c r="B1025">
        <v>15.0292345937522</v>
      </c>
      <c r="C1025">
        <v>2000</v>
      </c>
    </row>
    <row r="1026" spans="1:11" x14ac:dyDescent="0.25">
      <c r="A1026">
        <v>95.633262859882507</v>
      </c>
      <c r="B1026">
        <v>10.443989441410301</v>
      </c>
      <c r="C1026">
        <v>2000</v>
      </c>
    </row>
    <row r="1027" spans="1:11" x14ac:dyDescent="0.25">
      <c r="A1027">
        <v>95.196246835433698</v>
      </c>
      <c r="B1027">
        <v>10.881005465859101</v>
      </c>
      <c r="C1027">
        <v>2001</v>
      </c>
    </row>
    <row r="1028" spans="1:11" x14ac:dyDescent="0.25">
      <c r="A1028">
        <v>99.781491987775595</v>
      </c>
      <c r="B1028">
        <v>15.466250618201</v>
      </c>
      <c r="C1028">
        <v>2001</v>
      </c>
    </row>
    <row r="1029" spans="1:11" x14ac:dyDescent="0.25">
      <c r="A1029">
        <v>134.533749381799</v>
      </c>
      <c r="B1029">
        <v>50.218508012224397</v>
      </c>
      <c r="C1029">
        <v>2001</v>
      </c>
    </row>
    <row r="1030" spans="1:11" x14ac:dyDescent="0.25">
      <c r="A1030">
        <v>137.87521456491001</v>
      </c>
      <c r="B1030">
        <v>53.559973195335701</v>
      </c>
      <c r="C1030">
        <v>2001</v>
      </c>
    </row>
    <row r="1031" spans="1:11" x14ac:dyDescent="0.25">
      <c r="A1031">
        <v>150</v>
      </c>
      <c r="B1031">
        <v>65.684758630425407</v>
      </c>
      <c r="C1031">
        <v>2001</v>
      </c>
    </row>
    <row r="1032" spans="1:11" x14ac:dyDescent="0.25">
      <c r="A1032">
        <v>150</v>
      </c>
      <c r="B1032">
        <v>64.810726581527803</v>
      </c>
      <c r="C1032">
        <v>2000</v>
      </c>
    </row>
    <row r="1033" spans="1:11" x14ac:dyDescent="0.25">
      <c r="A1033" t="s">
        <v>83</v>
      </c>
    </row>
    <row r="1034" spans="1:11" x14ac:dyDescent="0.25">
      <c r="A1034">
        <v>344</v>
      </c>
      <c r="B1034">
        <v>0</v>
      </c>
      <c r="C1034">
        <v>8.4770139277924308</v>
      </c>
      <c r="D1034">
        <v>68.481490058525793</v>
      </c>
      <c r="E1034">
        <v>10</v>
      </c>
      <c r="F1034">
        <v>1.01722196789785</v>
      </c>
      <c r="G1034" t="s">
        <v>84</v>
      </c>
      <c r="H1034" t="s">
        <v>81</v>
      </c>
      <c r="I1034">
        <v>724</v>
      </c>
      <c r="J1034">
        <v>0</v>
      </c>
      <c r="K1034">
        <v>0</v>
      </c>
    </row>
    <row r="1035" spans="1:11" x14ac:dyDescent="0.25">
      <c r="A1035" t="s">
        <v>82</v>
      </c>
    </row>
    <row r="1036" spans="1:11" x14ac:dyDescent="0.25">
      <c r="A1036">
        <v>58.677890426478498</v>
      </c>
      <c r="B1036">
        <v>101.7879319373</v>
      </c>
      <c r="C1036">
        <v>2000</v>
      </c>
    </row>
    <row r="1037" spans="1:11" x14ac:dyDescent="0.25">
      <c r="A1037">
        <v>57.108466501402702</v>
      </c>
      <c r="B1037">
        <v>100.21850801222401</v>
      </c>
      <c r="C1037">
        <v>2000</v>
      </c>
    </row>
    <row r="1038" spans="1:11" x14ac:dyDescent="0.25">
      <c r="A1038">
        <v>52.690586462705198</v>
      </c>
      <c r="B1038">
        <v>95.8006279735269</v>
      </c>
      <c r="C1038">
        <v>2000</v>
      </c>
    </row>
    <row r="1039" spans="1:11" x14ac:dyDescent="0.25">
      <c r="A1039">
        <v>53.127602487154</v>
      </c>
      <c r="B1039">
        <v>95.363611949078106</v>
      </c>
      <c r="C1039">
        <v>2001</v>
      </c>
    </row>
    <row r="1040" spans="1:11" x14ac:dyDescent="0.25">
      <c r="A1040">
        <v>57.545482525851497</v>
      </c>
      <c r="B1040">
        <v>99.781491987775595</v>
      </c>
      <c r="C1040">
        <v>2001</v>
      </c>
    </row>
    <row r="1041" spans="1:11" x14ac:dyDescent="0.25">
      <c r="A1041">
        <v>59.1286065884903</v>
      </c>
      <c r="B1041">
        <v>101.364616050414</v>
      </c>
      <c r="C1041">
        <v>2001</v>
      </c>
    </row>
    <row r="1042" spans="1:11" x14ac:dyDescent="0.25">
      <c r="A1042">
        <v>100.403953664968</v>
      </c>
      <c r="B1042">
        <v>142.63996312689301</v>
      </c>
      <c r="C1042">
        <v>2001</v>
      </c>
    </row>
    <row r="1043" spans="1:11" x14ac:dyDescent="0.25">
      <c r="A1043">
        <v>107.763990538076</v>
      </c>
      <c r="B1043">
        <v>150</v>
      </c>
      <c r="C1043">
        <v>2001</v>
      </c>
    </row>
    <row r="1044" spans="1:11" x14ac:dyDescent="0.25">
      <c r="A1044">
        <v>106.889958489178</v>
      </c>
      <c r="B1044">
        <v>150</v>
      </c>
      <c r="C1044">
        <v>2000</v>
      </c>
    </row>
    <row r="1045" spans="1:11" x14ac:dyDescent="0.25">
      <c r="A1045">
        <v>99.596046335031502</v>
      </c>
      <c r="B1045">
        <v>142.70608784585301</v>
      </c>
      <c r="C1045">
        <v>2000</v>
      </c>
    </row>
    <row r="1046" spans="1:11" x14ac:dyDescent="0.25">
      <c r="A1046" t="s">
        <v>83</v>
      </c>
    </row>
    <row r="1047" spans="1:11" x14ac:dyDescent="0.25">
      <c r="A1047">
        <v>353</v>
      </c>
      <c r="B1047">
        <v>0</v>
      </c>
      <c r="C1047">
        <v>21.708542132421901</v>
      </c>
      <c r="D1047">
        <v>54.4776367762692</v>
      </c>
      <c r="E1047">
        <v>10</v>
      </c>
      <c r="F1047">
        <v>1.01722196789785</v>
      </c>
      <c r="G1047" t="s">
        <v>84</v>
      </c>
      <c r="H1047" t="s">
        <v>81</v>
      </c>
      <c r="I1047">
        <v>659</v>
      </c>
      <c r="J1047">
        <v>0</v>
      </c>
      <c r="K1047">
        <v>0</v>
      </c>
    </row>
    <row r="1048" spans="1:11" x14ac:dyDescent="0.25">
      <c r="A1048" t="s">
        <v>82</v>
      </c>
    </row>
    <row r="1049" spans="1:11" x14ac:dyDescent="0.25">
      <c r="A1049">
        <v>53.245564537617298</v>
      </c>
      <c r="B1049">
        <v>111.275827914994</v>
      </c>
      <c r="C1049">
        <v>2000</v>
      </c>
    </row>
    <row r="1050" spans="1:11" x14ac:dyDescent="0.25">
      <c r="A1050">
        <v>50.218508012224397</v>
      </c>
      <c r="B1050">
        <v>108.248771389601</v>
      </c>
      <c r="C1050">
        <v>2000</v>
      </c>
    </row>
    <row r="1051" spans="1:11" x14ac:dyDescent="0.25">
      <c r="A1051">
        <v>41.751228610398996</v>
      </c>
      <c r="B1051">
        <v>99.781491987775595</v>
      </c>
      <c r="C1051">
        <v>2000</v>
      </c>
    </row>
    <row r="1052" spans="1:11" x14ac:dyDescent="0.25">
      <c r="A1052">
        <v>37.8794648713721</v>
      </c>
      <c r="B1052">
        <v>95.909728248748706</v>
      </c>
      <c r="C1052">
        <v>2000</v>
      </c>
    </row>
    <row r="1053" spans="1:11" x14ac:dyDescent="0.25">
      <c r="A1053">
        <v>37.442448846923199</v>
      </c>
      <c r="B1053">
        <v>96.346744273197501</v>
      </c>
      <c r="C1053">
        <v>2001</v>
      </c>
    </row>
    <row r="1054" spans="1:11" x14ac:dyDescent="0.25">
      <c r="A1054">
        <v>41.314212585950202</v>
      </c>
      <c r="B1054">
        <v>100.21850801222401</v>
      </c>
      <c r="C1054">
        <v>2001</v>
      </c>
    </row>
    <row r="1055" spans="1:11" x14ac:dyDescent="0.25">
      <c r="A1055">
        <v>49.781491987775603</v>
      </c>
      <c r="B1055">
        <v>108.68578741405</v>
      </c>
      <c r="C1055">
        <v>2001</v>
      </c>
    </row>
    <row r="1056" spans="1:11" x14ac:dyDescent="0.25">
      <c r="A1056">
        <v>52.776863883696798</v>
      </c>
      <c r="B1056">
        <v>111.68115930997099</v>
      </c>
      <c r="C1056">
        <v>2001</v>
      </c>
    </row>
    <row r="1057" spans="1:11" x14ac:dyDescent="0.25">
      <c r="A1057">
        <v>91.095704573725797</v>
      </c>
      <c r="B1057">
        <v>150</v>
      </c>
      <c r="C1057">
        <v>2001</v>
      </c>
    </row>
    <row r="1058" spans="1:11" x14ac:dyDescent="0.25">
      <c r="A1058">
        <v>91.969736622623401</v>
      </c>
      <c r="B1058">
        <v>150</v>
      </c>
      <c r="C1058">
        <v>2000</v>
      </c>
    </row>
    <row r="1059" spans="1:11" x14ac:dyDescent="0.25">
      <c r="A1059" t="s">
        <v>83</v>
      </c>
    </row>
    <row r="1060" spans="1:11" x14ac:dyDescent="0.25">
      <c r="A1060">
        <v>266</v>
      </c>
      <c r="B1060">
        <v>0</v>
      </c>
      <c r="C1060">
        <v>53.493379315193501</v>
      </c>
      <c r="D1060">
        <v>22.114901522671801</v>
      </c>
      <c r="E1060">
        <v>10</v>
      </c>
      <c r="F1060">
        <v>1.01722196789785</v>
      </c>
      <c r="G1060" t="s">
        <v>81</v>
      </c>
      <c r="H1060" t="s">
        <v>81</v>
      </c>
      <c r="I1060">
        <v>0</v>
      </c>
      <c r="J1060">
        <v>0</v>
      </c>
      <c r="K1060">
        <v>0</v>
      </c>
    </row>
    <row r="1061" spans="1:11" x14ac:dyDescent="0.25">
      <c r="A1061" t="s">
        <v>82</v>
      </c>
    </row>
    <row r="1062" spans="1:11" x14ac:dyDescent="0.25">
      <c r="A1062">
        <v>134.217577859241</v>
      </c>
      <c r="B1062">
        <v>38.117721978000802</v>
      </c>
      <c r="C1062">
        <v>2000</v>
      </c>
    </row>
    <row r="1063" spans="1:11" x14ac:dyDescent="0.25">
      <c r="A1063">
        <v>99.582989543502507</v>
      </c>
      <c r="B1063">
        <v>3.48313366226277</v>
      </c>
      <c r="C1063">
        <v>2000</v>
      </c>
    </row>
    <row r="1064" spans="1:11" x14ac:dyDescent="0.25">
      <c r="A1064">
        <v>96.099855881239804</v>
      </c>
      <c r="B1064">
        <v>0</v>
      </c>
      <c r="C1064">
        <v>2000</v>
      </c>
    </row>
    <row r="1065" spans="1:11" x14ac:dyDescent="0.25">
      <c r="A1065">
        <v>96.973887930137394</v>
      </c>
      <c r="B1065">
        <v>0</v>
      </c>
      <c r="C1065">
        <v>2001</v>
      </c>
    </row>
    <row r="1066" spans="1:11" x14ac:dyDescent="0.25">
      <c r="A1066">
        <v>100.417010456497</v>
      </c>
      <c r="B1066">
        <v>3.4431225263599998</v>
      </c>
      <c r="C1066">
        <v>2001</v>
      </c>
    </row>
    <row r="1067" spans="1:11" x14ac:dyDescent="0.25">
      <c r="A1067">
        <v>134.50722847685199</v>
      </c>
      <c r="B1067">
        <v>37.533340546714101</v>
      </c>
      <c r="C1067">
        <v>2001</v>
      </c>
    </row>
    <row r="1068" spans="1:11" x14ac:dyDescent="0.25">
      <c r="A1068">
        <v>146.585263051982</v>
      </c>
      <c r="B1068">
        <v>49.611375121844198</v>
      </c>
      <c r="C1068">
        <v>2001</v>
      </c>
    </row>
    <row r="1069" spans="1:11" x14ac:dyDescent="0.25">
      <c r="A1069">
        <v>150</v>
      </c>
      <c r="B1069">
        <v>53.026112069862599</v>
      </c>
      <c r="C1069">
        <v>2001</v>
      </c>
    </row>
    <row r="1070" spans="1:11" x14ac:dyDescent="0.25">
      <c r="A1070">
        <v>150</v>
      </c>
      <c r="B1070">
        <v>53.900144118760203</v>
      </c>
      <c r="C1070">
        <v>2000</v>
      </c>
    </row>
    <row r="1071" spans="1:11" x14ac:dyDescent="0.25">
      <c r="A1071">
        <v>146.488480759396</v>
      </c>
      <c r="B1071">
        <v>50.388624878155802</v>
      </c>
      <c r="C1071">
        <v>2000</v>
      </c>
    </row>
    <row r="1072" spans="1:11" x14ac:dyDescent="0.25">
      <c r="A1072" t="s">
        <v>83</v>
      </c>
    </row>
    <row r="1073" spans="1:11" x14ac:dyDescent="0.25">
      <c r="A1073">
        <v>724</v>
      </c>
      <c r="B1073">
        <v>0</v>
      </c>
      <c r="C1073">
        <v>66.242385026037098</v>
      </c>
      <c r="D1073">
        <v>7.9881250551216603</v>
      </c>
      <c r="E1073">
        <v>10</v>
      </c>
      <c r="F1073">
        <v>1.01722196789785</v>
      </c>
      <c r="G1073" t="s">
        <v>81</v>
      </c>
      <c r="H1073" t="s">
        <v>84</v>
      </c>
      <c r="I1073">
        <v>0</v>
      </c>
      <c r="J1073">
        <v>344</v>
      </c>
      <c r="K1073">
        <v>0.13160878275062499</v>
      </c>
    </row>
    <row r="1074" spans="1:11" x14ac:dyDescent="0.25">
      <c r="A1074" t="s">
        <v>82</v>
      </c>
    </row>
    <row r="1075" spans="1:11" x14ac:dyDescent="0.25">
      <c r="A1075">
        <v>47.045278723532498</v>
      </c>
      <c r="B1075">
        <v>90.121683036668202</v>
      </c>
      <c r="C1075">
        <v>2000</v>
      </c>
    </row>
    <row r="1076" spans="1:11" x14ac:dyDescent="0.25">
      <c r="A1076">
        <v>6.5168391911184997</v>
      </c>
      <c r="B1076">
        <v>49.593243504254197</v>
      </c>
      <c r="C1076">
        <v>2000</v>
      </c>
    </row>
    <row r="1077" spans="1:11" x14ac:dyDescent="0.25">
      <c r="A1077">
        <v>0</v>
      </c>
      <c r="B1077">
        <v>43.076404313135697</v>
      </c>
      <c r="C1077">
        <v>2000</v>
      </c>
    </row>
    <row r="1078" spans="1:11" x14ac:dyDescent="0.25">
      <c r="A1078">
        <v>0</v>
      </c>
      <c r="B1078">
        <v>43.9504363620334</v>
      </c>
      <c r="C1078">
        <v>2001</v>
      </c>
    </row>
    <row r="1079" spans="1:11" x14ac:dyDescent="0.25">
      <c r="A1079">
        <v>6.4563201337124196</v>
      </c>
      <c r="B1079">
        <v>50.406756495745803</v>
      </c>
      <c r="C1079">
        <v>2001</v>
      </c>
    </row>
    <row r="1080" spans="1:11" x14ac:dyDescent="0.25">
      <c r="A1080">
        <v>46.635600584229699</v>
      </c>
      <c r="B1080">
        <v>90.586036946263107</v>
      </c>
      <c r="C1080">
        <v>2001</v>
      </c>
    </row>
    <row r="1081" spans="1:11" x14ac:dyDescent="0.25">
      <c r="A1081">
        <v>49.781491987775603</v>
      </c>
      <c r="B1081">
        <v>93.731928349808896</v>
      </c>
      <c r="C1081">
        <v>2001</v>
      </c>
    </row>
    <row r="1082" spans="1:11" x14ac:dyDescent="0.25">
      <c r="A1082">
        <v>52.270389037099399</v>
      </c>
      <c r="B1082">
        <v>96.220825399132707</v>
      </c>
      <c r="C1082">
        <v>2001</v>
      </c>
    </row>
    <row r="1083" spans="1:11" x14ac:dyDescent="0.25">
      <c r="A1083">
        <v>52.707405061548201</v>
      </c>
      <c r="B1083">
        <v>95.783809374683898</v>
      </c>
      <c r="C1083">
        <v>2000</v>
      </c>
    </row>
    <row r="1084" spans="1:11" x14ac:dyDescent="0.25">
      <c r="A1084">
        <v>50.218508012224397</v>
      </c>
      <c r="B1084">
        <v>93.294912325360102</v>
      </c>
      <c r="C1084">
        <v>2000</v>
      </c>
    </row>
    <row r="1085" spans="1:11" x14ac:dyDescent="0.25">
      <c r="A1085" t="s">
        <v>83</v>
      </c>
    </row>
    <row r="1086" spans="1:11" x14ac:dyDescent="0.25">
      <c r="A1086">
        <v>33</v>
      </c>
      <c r="B1086">
        <v>0</v>
      </c>
      <c r="C1086">
        <v>13.1900648580629</v>
      </c>
      <c r="D1086">
        <v>60.644017635739203</v>
      </c>
      <c r="E1086">
        <v>10</v>
      </c>
      <c r="F1086">
        <v>1.01722196789785</v>
      </c>
      <c r="G1086" t="s">
        <v>81</v>
      </c>
      <c r="H1086" t="s">
        <v>84</v>
      </c>
      <c r="I1086">
        <v>0</v>
      </c>
      <c r="J1086">
        <v>352</v>
      </c>
      <c r="K1086">
        <v>0</v>
      </c>
    </row>
    <row r="1087" spans="1:11" x14ac:dyDescent="0.25">
      <c r="A1087" t="s">
        <v>82</v>
      </c>
    </row>
    <row r="1088" spans="1:11" x14ac:dyDescent="0.25">
      <c r="A1088">
        <v>9.2750855235710894</v>
      </c>
      <c r="B1088">
        <v>20.291886489218101</v>
      </c>
      <c r="C1088">
        <v>2000</v>
      </c>
    </row>
    <row r="1089" spans="1:11" x14ac:dyDescent="0.25">
      <c r="A1089">
        <v>0</v>
      </c>
      <c r="B1089">
        <v>11.016800965647001</v>
      </c>
      <c r="C1089">
        <v>2000</v>
      </c>
    </row>
    <row r="1090" spans="1:11" x14ac:dyDescent="0.25">
      <c r="A1090">
        <v>0</v>
      </c>
      <c r="B1090">
        <v>10.1427689167494</v>
      </c>
      <c r="C1090">
        <v>2001</v>
      </c>
    </row>
    <row r="1091" spans="1:11" x14ac:dyDescent="0.25">
      <c r="A1091">
        <v>9.3784830872822305</v>
      </c>
      <c r="B1091">
        <v>19.521252004031599</v>
      </c>
      <c r="C1091">
        <v>2001</v>
      </c>
    </row>
    <row r="1092" spans="1:11" x14ac:dyDescent="0.25">
      <c r="A1092">
        <v>39.638723071026199</v>
      </c>
      <c r="B1092">
        <v>49.781491987775603</v>
      </c>
      <c r="C1092">
        <v>2001</v>
      </c>
    </row>
    <row r="1093" spans="1:11" x14ac:dyDescent="0.25">
      <c r="A1093">
        <v>50.218508012224397</v>
      </c>
      <c r="B1093">
        <v>60.361276928973801</v>
      </c>
      <c r="C1093">
        <v>2001</v>
      </c>
    </row>
    <row r="1094" spans="1:11" x14ac:dyDescent="0.25">
      <c r="A1094">
        <v>52.4270884262789</v>
      </c>
      <c r="B1094">
        <v>62.569857343028197</v>
      </c>
      <c r="C1094">
        <v>2001</v>
      </c>
    </row>
    <row r="1095" spans="1:11" x14ac:dyDescent="0.25">
      <c r="A1095">
        <v>51.990072401829998</v>
      </c>
      <c r="B1095">
        <v>63.006873367476999</v>
      </c>
      <c r="C1095">
        <v>2000</v>
      </c>
    </row>
    <row r="1096" spans="1:11" x14ac:dyDescent="0.25">
      <c r="A1096">
        <v>49.781491987775603</v>
      </c>
      <c r="B1096">
        <v>60.798292953422603</v>
      </c>
      <c r="C1096">
        <v>2000</v>
      </c>
    </row>
    <row r="1097" spans="1:11" x14ac:dyDescent="0.25">
      <c r="A1097">
        <v>39.201707046577397</v>
      </c>
      <c r="B1097">
        <v>50.218508012224397</v>
      </c>
      <c r="C1097">
        <v>2000</v>
      </c>
    </row>
    <row r="1098" spans="1:11" x14ac:dyDescent="0.25">
      <c r="A1098" t="s">
        <v>83</v>
      </c>
    </row>
    <row r="1099" spans="1:11" x14ac:dyDescent="0.25">
      <c r="A1099">
        <v>730</v>
      </c>
      <c r="B1099">
        <v>0</v>
      </c>
      <c r="C1099">
        <v>37.987836002611303</v>
      </c>
      <c r="D1099">
        <v>34.950010627348902</v>
      </c>
      <c r="E1099">
        <v>10</v>
      </c>
      <c r="F1099">
        <v>1.01722196789785</v>
      </c>
      <c r="G1099" t="s">
        <v>84</v>
      </c>
      <c r="H1099" t="s">
        <v>84</v>
      </c>
      <c r="I1099">
        <v>667</v>
      </c>
      <c r="J1099">
        <v>328</v>
      </c>
      <c r="K1099">
        <v>0.13222554274631901</v>
      </c>
    </row>
    <row r="1100" spans="1:11" x14ac:dyDescent="0.25">
      <c r="A1100" t="s">
        <v>82</v>
      </c>
    </row>
    <row r="1101" spans="1:11" x14ac:dyDescent="0.25">
      <c r="A1101">
        <v>65.377351792234805</v>
      </c>
      <c r="B1101">
        <v>122.134754207984</v>
      </c>
      <c r="C1101">
        <v>2000</v>
      </c>
    </row>
    <row r="1102" spans="1:11" x14ac:dyDescent="0.25">
      <c r="A1102">
        <v>50.218508012224397</v>
      </c>
      <c r="B1102">
        <v>106.97591042797301</v>
      </c>
      <c r="C1102">
        <v>2000</v>
      </c>
    </row>
    <row r="1103" spans="1:11" x14ac:dyDescent="0.25">
      <c r="A1103">
        <v>43.024089572026597</v>
      </c>
      <c r="B1103">
        <v>99.781491987775595</v>
      </c>
      <c r="C1103">
        <v>2000</v>
      </c>
    </row>
    <row r="1104" spans="1:11" x14ac:dyDescent="0.25">
      <c r="A1104">
        <v>38.5158953521859</v>
      </c>
      <c r="B1104">
        <v>95.273297767934906</v>
      </c>
      <c r="C1104">
        <v>2000</v>
      </c>
    </row>
    <row r="1105" spans="1:11" x14ac:dyDescent="0.25">
      <c r="A1105">
        <v>38.078879327737098</v>
      </c>
      <c r="B1105">
        <v>95.710313792383701</v>
      </c>
      <c r="C1105">
        <v>2001</v>
      </c>
    </row>
    <row r="1106" spans="1:11" x14ac:dyDescent="0.25">
      <c r="A1106">
        <v>42.587073547577802</v>
      </c>
      <c r="B1106">
        <v>100.21850801222401</v>
      </c>
      <c r="C1106">
        <v>2001</v>
      </c>
    </row>
    <row r="1107" spans="1:11" x14ac:dyDescent="0.25">
      <c r="A1107">
        <v>49.781491987775603</v>
      </c>
      <c r="B1107">
        <v>107.412926452422</v>
      </c>
      <c r="C1107">
        <v>2001</v>
      </c>
    </row>
    <row r="1108" spans="1:11" x14ac:dyDescent="0.25">
      <c r="A1108">
        <v>64.940335767785996</v>
      </c>
      <c r="B1108">
        <v>122.571770232433</v>
      </c>
      <c r="C1108">
        <v>2001</v>
      </c>
    </row>
    <row r="1109" spans="1:11" x14ac:dyDescent="0.25">
      <c r="A1109">
        <v>89.653725284926296</v>
      </c>
      <c r="B1109">
        <v>147.28515974957301</v>
      </c>
      <c r="C1109">
        <v>2001</v>
      </c>
    </row>
    <row r="1110" spans="1:11" x14ac:dyDescent="0.25">
      <c r="A1110">
        <v>90.090741309375105</v>
      </c>
      <c r="B1110">
        <v>146.848143725124</v>
      </c>
      <c r="C1110">
        <v>2000</v>
      </c>
    </row>
    <row r="1111" spans="1:11" x14ac:dyDescent="0.25">
      <c r="A1111" t="s">
        <v>83</v>
      </c>
    </row>
    <row r="1112" spans="1:11" x14ac:dyDescent="0.25">
      <c r="A1112">
        <v>507</v>
      </c>
      <c r="B1112">
        <v>0</v>
      </c>
      <c r="C1112">
        <v>17.030901619819499</v>
      </c>
      <c r="D1112">
        <v>55.602943840973403</v>
      </c>
      <c r="E1112">
        <v>10</v>
      </c>
      <c r="F1112">
        <v>1.01722196789785</v>
      </c>
      <c r="G1112" t="s">
        <v>84</v>
      </c>
      <c r="H1112" t="s">
        <v>84</v>
      </c>
      <c r="I1112">
        <v>28</v>
      </c>
      <c r="J1112">
        <v>734</v>
      </c>
      <c r="K1112">
        <v>0</v>
      </c>
    </row>
    <row r="1113" spans="1:11" x14ac:dyDescent="0.25">
      <c r="A1113" t="s">
        <v>82</v>
      </c>
    </row>
    <row r="1114" spans="1:11" x14ac:dyDescent="0.25">
      <c r="A1114">
        <v>57.785978385143203</v>
      </c>
      <c r="B1114">
        <v>47.934701289024296</v>
      </c>
      <c r="C1114">
        <v>2000</v>
      </c>
    </row>
    <row r="1115" spans="1:11" x14ac:dyDescent="0.25">
      <c r="A1115">
        <v>50.218508012224397</v>
      </c>
      <c r="B1115">
        <v>40.367230916105598</v>
      </c>
      <c r="C1115">
        <v>2000</v>
      </c>
    </row>
    <row r="1116" spans="1:11" x14ac:dyDescent="0.25">
      <c r="A1116">
        <v>45.743312360047803</v>
      </c>
      <c r="B1116">
        <v>35.892035263929003</v>
      </c>
      <c r="C1116">
        <v>2000</v>
      </c>
    </row>
    <row r="1117" spans="1:11" x14ac:dyDescent="0.25">
      <c r="A1117">
        <v>45.306296335599001</v>
      </c>
      <c r="B1117">
        <v>36.329051288377798</v>
      </c>
      <c r="C1117">
        <v>2001</v>
      </c>
    </row>
    <row r="1118" spans="1:11" x14ac:dyDescent="0.25">
      <c r="A1118">
        <v>49.781491987775603</v>
      </c>
      <c r="B1118">
        <v>40.8042469405544</v>
      </c>
      <c r="C1118">
        <v>2001</v>
      </c>
    </row>
    <row r="1119" spans="1:11" x14ac:dyDescent="0.25">
      <c r="A1119">
        <v>57.348962360694301</v>
      </c>
      <c r="B1119">
        <v>48.371717313473198</v>
      </c>
      <c r="C1119">
        <v>2001</v>
      </c>
    </row>
    <row r="1120" spans="1:11" x14ac:dyDescent="0.25">
      <c r="A1120">
        <v>59.1957530594456</v>
      </c>
      <c r="B1120">
        <v>50.218508012224397</v>
      </c>
      <c r="C1120">
        <v>2001</v>
      </c>
    </row>
    <row r="1121" spans="1:11" x14ac:dyDescent="0.25">
      <c r="A1121">
        <v>96.666181004581404</v>
      </c>
      <c r="B1121">
        <v>87.688935957360201</v>
      </c>
      <c r="C1121">
        <v>2001</v>
      </c>
    </row>
    <row r="1122" spans="1:11" x14ac:dyDescent="0.25">
      <c r="A1122">
        <v>97.103197029030198</v>
      </c>
      <c r="B1122">
        <v>87.251919932911406</v>
      </c>
      <c r="C1122">
        <v>2000</v>
      </c>
    </row>
    <row r="1123" spans="1:11" x14ac:dyDescent="0.25">
      <c r="A1123">
        <v>59.632769083894402</v>
      </c>
      <c r="B1123">
        <v>49.781491987775603</v>
      </c>
      <c r="C1123">
        <v>2000</v>
      </c>
    </row>
    <row r="1124" spans="1:11" x14ac:dyDescent="0.25">
      <c r="A1124" t="s">
        <v>83</v>
      </c>
    </row>
    <row r="1125" spans="1:11" x14ac:dyDescent="0.25">
      <c r="A1125">
        <v>253</v>
      </c>
      <c r="B1125">
        <v>0</v>
      </c>
      <c r="C1125">
        <v>57.553185826861402</v>
      </c>
      <c r="D1125">
        <v>14.972438157824699</v>
      </c>
      <c r="E1125">
        <v>10</v>
      </c>
      <c r="F1125">
        <v>1.5707963267949001</v>
      </c>
      <c r="G1125" t="s">
        <v>81</v>
      </c>
      <c r="H1125" t="s">
        <v>81</v>
      </c>
      <c r="I1125">
        <v>0</v>
      </c>
      <c r="J1125">
        <v>0</v>
      </c>
      <c r="K1125">
        <v>0</v>
      </c>
    </row>
    <row r="1126" spans="1:11" x14ac:dyDescent="0.25">
      <c r="A1126" t="s">
        <v>82</v>
      </c>
    </row>
    <row r="1127" spans="1:11" x14ac:dyDescent="0.25">
      <c r="A1127">
        <v>139.412887447706</v>
      </c>
      <c r="B1127">
        <v>40.696247977063202</v>
      </c>
      <c r="C1127">
        <v>2000</v>
      </c>
    </row>
    <row r="1128" spans="1:11" x14ac:dyDescent="0.25">
      <c r="A1128">
        <v>100</v>
      </c>
      <c r="B1128">
        <v>1.2833605293572701</v>
      </c>
      <c r="C1128">
        <v>2000</v>
      </c>
    </row>
    <row r="1129" spans="1:11" x14ac:dyDescent="0.25">
      <c r="A1129">
        <v>98.716639470642704</v>
      </c>
      <c r="B1129">
        <v>0</v>
      </c>
      <c r="C1129">
        <v>2000</v>
      </c>
    </row>
    <row r="1130" spans="1:11" x14ac:dyDescent="0.25">
      <c r="A1130">
        <v>98.716639470642704</v>
      </c>
      <c r="B1130">
        <v>0</v>
      </c>
      <c r="C1130">
        <v>2001</v>
      </c>
    </row>
    <row r="1131" spans="1:11" x14ac:dyDescent="0.25">
      <c r="A1131">
        <v>100</v>
      </c>
      <c r="B1131">
        <v>1.2833605293572701</v>
      </c>
      <c r="C1131">
        <v>2001</v>
      </c>
    </row>
    <row r="1132" spans="1:11" x14ac:dyDescent="0.25">
      <c r="A1132">
        <v>139.412887447706</v>
      </c>
      <c r="B1132">
        <v>40.696247977063202</v>
      </c>
      <c r="C1132">
        <v>2001</v>
      </c>
    </row>
    <row r="1133" spans="1:11" x14ac:dyDescent="0.25">
      <c r="A1133">
        <v>148.716639470643</v>
      </c>
      <c r="B1133">
        <v>50</v>
      </c>
      <c r="C1133">
        <v>2001</v>
      </c>
    </row>
    <row r="1134" spans="1:11" x14ac:dyDescent="0.25">
      <c r="A1134">
        <v>150</v>
      </c>
      <c r="B1134">
        <v>51.283360529357203</v>
      </c>
      <c r="C1134">
        <v>2001</v>
      </c>
    </row>
    <row r="1135" spans="1:11" x14ac:dyDescent="0.25">
      <c r="A1135">
        <v>150</v>
      </c>
      <c r="B1135">
        <v>51.283360529357203</v>
      </c>
      <c r="C1135">
        <v>2000</v>
      </c>
    </row>
    <row r="1136" spans="1:11" x14ac:dyDescent="0.25">
      <c r="A1136">
        <v>148.716639470643</v>
      </c>
      <c r="B1136">
        <v>50</v>
      </c>
      <c r="C1136">
        <v>2000</v>
      </c>
    </row>
    <row r="1137" spans="1:11" x14ac:dyDescent="0.25">
      <c r="A1137" t="s">
        <v>83</v>
      </c>
    </row>
    <row r="1138" spans="1:11" x14ac:dyDescent="0.25">
      <c r="A1138">
        <v>188</v>
      </c>
      <c r="B1138">
        <v>0</v>
      </c>
      <c r="C1138">
        <v>21.876963619958801</v>
      </c>
      <c r="D1138">
        <v>49.636073955662802</v>
      </c>
      <c r="E1138">
        <v>12</v>
      </c>
      <c r="F1138">
        <v>1.01722196789785</v>
      </c>
      <c r="G1138" t="s">
        <v>84</v>
      </c>
      <c r="H1138" t="s">
        <v>81</v>
      </c>
      <c r="I1138">
        <v>512</v>
      </c>
      <c r="J1138">
        <v>0</v>
      </c>
      <c r="K1138">
        <v>0</v>
      </c>
    </row>
    <row r="1139" spans="1:11" x14ac:dyDescent="0.25">
      <c r="A1139" t="s">
        <v>82</v>
      </c>
    </row>
    <row r="1140" spans="1:11" x14ac:dyDescent="0.25">
      <c r="A1140">
        <v>114.748597855349</v>
      </c>
      <c r="B1140">
        <v>65.210474907295605</v>
      </c>
      <c r="C1140">
        <v>2000</v>
      </c>
    </row>
    <row r="1141" spans="1:11" x14ac:dyDescent="0.25">
      <c r="A1141">
        <v>99.781491987775595</v>
      </c>
      <c r="B1141">
        <v>50.243369039722602</v>
      </c>
      <c r="C1141">
        <v>2000</v>
      </c>
    </row>
    <row r="1142" spans="1:11" x14ac:dyDescent="0.25">
      <c r="A1142">
        <v>99.756630960277406</v>
      </c>
      <c r="B1142">
        <v>50.218508012224397</v>
      </c>
      <c r="C1142">
        <v>2000</v>
      </c>
    </row>
    <row r="1143" spans="1:11" x14ac:dyDescent="0.25">
      <c r="A1143">
        <v>99.2141381748052</v>
      </c>
      <c r="B1143">
        <v>49.676015226752199</v>
      </c>
      <c r="C1143">
        <v>2000</v>
      </c>
    </row>
    <row r="1144" spans="1:11" x14ac:dyDescent="0.25">
      <c r="A1144">
        <v>99.651154199253995</v>
      </c>
      <c r="B1144">
        <v>49.238999202303397</v>
      </c>
      <c r="C1144">
        <v>2001</v>
      </c>
    </row>
    <row r="1145" spans="1:11" x14ac:dyDescent="0.25">
      <c r="A1145">
        <v>100.193646984726</v>
      </c>
      <c r="B1145">
        <v>49.781491987775603</v>
      </c>
      <c r="C1145">
        <v>2001</v>
      </c>
    </row>
    <row r="1146" spans="1:11" x14ac:dyDescent="0.25">
      <c r="A1146">
        <v>100.21850801222401</v>
      </c>
      <c r="B1146">
        <v>49.8063530152738</v>
      </c>
      <c r="C1146">
        <v>2001</v>
      </c>
    </row>
    <row r="1147" spans="1:11" x14ac:dyDescent="0.25">
      <c r="A1147">
        <v>115.120503526698</v>
      </c>
      <c r="B1147">
        <v>64.708348529747695</v>
      </c>
      <c r="C1147">
        <v>2001</v>
      </c>
    </row>
    <row r="1148" spans="1:11" x14ac:dyDescent="0.25">
      <c r="A1148">
        <v>150.193646984726</v>
      </c>
      <c r="B1148">
        <v>99.781491987775595</v>
      </c>
      <c r="C1148">
        <v>2001</v>
      </c>
    </row>
    <row r="1149" spans="1:11" x14ac:dyDescent="0.25">
      <c r="A1149">
        <v>150.21850801222399</v>
      </c>
      <c r="B1149">
        <v>99.8063530152738</v>
      </c>
      <c r="C1149">
        <v>2001</v>
      </c>
    </row>
    <row r="1150" spans="1:11" x14ac:dyDescent="0.25">
      <c r="A1150">
        <v>150</v>
      </c>
      <c r="B1150">
        <v>100.461877051947</v>
      </c>
      <c r="C1150">
        <v>2000</v>
      </c>
    </row>
    <row r="1151" spans="1:11" x14ac:dyDescent="0.25">
      <c r="A1151">
        <v>149.97498419636099</v>
      </c>
      <c r="B1151">
        <v>100.436861248307</v>
      </c>
      <c r="C1151">
        <v>2000</v>
      </c>
    </row>
    <row r="1152" spans="1:11" x14ac:dyDescent="0.25">
      <c r="A1152" t="s">
        <v>83</v>
      </c>
    </row>
    <row r="1153" spans="1:11" x14ac:dyDescent="0.25">
      <c r="A1153">
        <v>597</v>
      </c>
      <c r="B1153">
        <v>0</v>
      </c>
      <c r="C1153">
        <v>21.8446706744474</v>
      </c>
      <c r="D1153">
        <v>49.412441460270898</v>
      </c>
      <c r="E1153">
        <v>10</v>
      </c>
      <c r="F1153">
        <v>1.01722196789785</v>
      </c>
      <c r="G1153" t="s">
        <v>84</v>
      </c>
      <c r="H1153" t="s">
        <v>81</v>
      </c>
      <c r="I1153">
        <v>661</v>
      </c>
      <c r="J1153">
        <v>0</v>
      </c>
      <c r="K1153">
        <v>0</v>
      </c>
    </row>
    <row r="1154" spans="1:11" x14ac:dyDescent="0.25">
      <c r="A1154" t="s">
        <v>82</v>
      </c>
    </row>
    <row r="1155" spans="1:11" x14ac:dyDescent="0.25">
      <c r="A1155">
        <v>41.961328412671399</v>
      </c>
      <c r="B1155">
        <v>114.875059142477</v>
      </c>
      <c r="C1155">
        <v>2000</v>
      </c>
    </row>
    <row r="1156" spans="1:11" x14ac:dyDescent="0.25">
      <c r="A1156">
        <v>26.8677612579698</v>
      </c>
      <c r="B1156">
        <v>99.781491987775595</v>
      </c>
      <c r="C1156">
        <v>2000</v>
      </c>
    </row>
    <row r="1157" spans="1:11" x14ac:dyDescent="0.25">
      <c r="A1157">
        <v>26.4813740597404</v>
      </c>
      <c r="B1157">
        <v>99.395104789546195</v>
      </c>
      <c r="C1157">
        <v>2000</v>
      </c>
    </row>
    <row r="1158" spans="1:11" x14ac:dyDescent="0.25">
      <c r="A1158">
        <v>26.044358035291602</v>
      </c>
      <c r="B1158">
        <v>99.832120813995004</v>
      </c>
      <c r="C1158">
        <v>2001</v>
      </c>
    </row>
    <row r="1159" spans="1:11" x14ac:dyDescent="0.25">
      <c r="A1159">
        <v>26.430745233521002</v>
      </c>
      <c r="B1159">
        <v>100.21850801222401</v>
      </c>
      <c r="C1159">
        <v>2001</v>
      </c>
    </row>
    <row r="1160" spans="1:11" x14ac:dyDescent="0.25">
      <c r="A1160">
        <v>41.4574332157379</v>
      </c>
      <c r="B1160">
        <v>115.245195994441</v>
      </c>
      <c r="C1160">
        <v>2001</v>
      </c>
    </row>
    <row r="1161" spans="1:11" x14ac:dyDescent="0.25">
      <c r="A1161">
        <v>49.729643867209397</v>
      </c>
      <c r="B1161">
        <v>123.517406645913</v>
      </c>
      <c r="C1161">
        <v>2001</v>
      </c>
    </row>
    <row r="1162" spans="1:11" x14ac:dyDescent="0.25">
      <c r="A1162">
        <v>76.212237221296604</v>
      </c>
      <c r="B1162">
        <v>150</v>
      </c>
      <c r="C1162">
        <v>2001</v>
      </c>
    </row>
    <row r="1163" spans="1:11" x14ac:dyDescent="0.25">
      <c r="A1163">
        <v>77.086269270194293</v>
      </c>
      <c r="B1163">
        <v>150</v>
      </c>
      <c r="C1163">
        <v>2000</v>
      </c>
    </row>
    <row r="1164" spans="1:11" x14ac:dyDescent="0.25">
      <c r="A1164">
        <v>50.270356132790603</v>
      </c>
      <c r="B1164">
        <v>123.184086862596</v>
      </c>
      <c r="C1164">
        <v>2000</v>
      </c>
    </row>
    <row r="1165" spans="1:11" x14ac:dyDescent="0.25">
      <c r="A1165" t="s">
        <v>83</v>
      </c>
    </row>
    <row r="1166" spans="1:11" x14ac:dyDescent="0.25">
      <c r="A1166">
        <v>512</v>
      </c>
      <c r="B1166">
        <v>0</v>
      </c>
      <c r="C1166">
        <v>47.761125926284301</v>
      </c>
      <c r="D1166">
        <v>22.143041797658999</v>
      </c>
      <c r="E1166">
        <v>6</v>
      </c>
      <c r="F1166">
        <v>1.01722196789785</v>
      </c>
      <c r="G1166" t="s">
        <v>81</v>
      </c>
      <c r="H1166" t="s">
        <v>84</v>
      </c>
      <c r="I1166">
        <v>0</v>
      </c>
      <c r="J1166">
        <v>188</v>
      </c>
      <c r="K1166">
        <v>0</v>
      </c>
    </row>
    <row r="1167" spans="1:11" x14ac:dyDescent="0.25">
      <c r="A1167" t="s">
        <v>82</v>
      </c>
    </row>
    <row r="1168" spans="1:11" x14ac:dyDescent="0.25">
      <c r="A1168">
        <v>83.5844393473091</v>
      </c>
      <c r="B1168">
        <v>33.990724031804596</v>
      </c>
      <c r="C1168">
        <v>2000</v>
      </c>
    </row>
    <row r="1169" spans="1:11" x14ac:dyDescent="0.25">
      <c r="A1169">
        <v>49.812223327728802</v>
      </c>
      <c r="B1169">
        <v>0.21850801222441099</v>
      </c>
      <c r="C1169">
        <v>2000</v>
      </c>
    </row>
    <row r="1170" spans="1:11" x14ac:dyDescent="0.25">
      <c r="A1170">
        <v>50.467747364402001</v>
      </c>
      <c r="B1170">
        <v>0</v>
      </c>
      <c r="C1170">
        <v>2001</v>
      </c>
    </row>
    <row r="1171" spans="1:11" x14ac:dyDescent="0.25">
      <c r="A1171">
        <v>84.090670587464601</v>
      </c>
      <c r="B1171">
        <v>33.6229232230625</v>
      </c>
      <c r="C1171">
        <v>2001</v>
      </c>
    </row>
    <row r="1172" spans="1:11" x14ac:dyDescent="0.25">
      <c r="A1172">
        <v>99.678950382979707</v>
      </c>
      <c r="B1172">
        <v>49.211203018577599</v>
      </c>
      <c r="C1172">
        <v>2001</v>
      </c>
    </row>
    <row r="1173" spans="1:11" x14ac:dyDescent="0.25">
      <c r="A1173">
        <v>99.241934358530898</v>
      </c>
      <c r="B1173">
        <v>49.648219043026501</v>
      </c>
      <c r="C1173">
        <v>2000</v>
      </c>
    </row>
    <row r="1174" spans="1:11" x14ac:dyDescent="0.25">
      <c r="A1174" t="s">
        <v>83</v>
      </c>
    </row>
    <row r="1175" spans="1:11" x14ac:dyDescent="0.25">
      <c r="A1175">
        <v>180</v>
      </c>
      <c r="B1175">
        <v>0</v>
      </c>
      <c r="C1175">
        <v>61.884539182328098</v>
      </c>
      <c r="D1175">
        <v>7.3370679247207997</v>
      </c>
      <c r="E1175">
        <v>10</v>
      </c>
      <c r="F1175">
        <v>1.5707963267949001</v>
      </c>
      <c r="G1175" t="s">
        <v>84</v>
      </c>
      <c r="H1175" t="s">
        <v>84</v>
      </c>
      <c r="I1175">
        <v>91</v>
      </c>
      <c r="J1175">
        <v>409</v>
      </c>
      <c r="K1175">
        <v>0</v>
      </c>
    </row>
    <row r="1176" spans="1:11" x14ac:dyDescent="0.25">
      <c r="A1176" t="s">
        <v>82</v>
      </c>
    </row>
    <row r="1177" spans="1:11" x14ac:dyDescent="0.25">
      <c r="A1177">
        <v>134.55699894556599</v>
      </c>
      <c r="B1177">
        <v>98.830939235087001</v>
      </c>
      <c r="C1177">
        <v>2000</v>
      </c>
    </row>
    <row r="1178" spans="1:11" x14ac:dyDescent="0.25">
      <c r="A1178">
        <v>100</v>
      </c>
      <c r="B1178">
        <v>64.273940289520596</v>
      </c>
      <c r="C1178">
        <v>2000</v>
      </c>
    </row>
    <row r="1179" spans="1:11" x14ac:dyDescent="0.25">
      <c r="A1179">
        <v>90.798021639137502</v>
      </c>
      <c r="B1179">
        <v>55.071961928658197</v>
      </c>
      <c r="C1179">
        <v>2000</v>
      </c>
    </row>
    <row r="1180" spans="1:11" x14ac:dyDescent="0.25">
      <c r="A1180">
        <v>90.798021639137502</v>
      </c>
      <c r="B1180">
        <v>55.071961928658197</v>
      </c>
      <c r="C1180">
        <v>2001</v>
      </c>
    </row>
    <row r="1181" spans="1:11" x14ac:dyDescent="0.25">
      <c r="A1181">
        <v>100</v>
      </c>
      <c r="B1181">
        <v>64.273940289520596</v>
      </c>
      <c r="C1181">
        <v>2001</v>
      </c>
    </row>
    <row r="1182" spans="1:11" x14ac:dyDescent="0.25">
      <c r="A1182">
        <v>134.55699894556599</v>
      </c>
      <c r="B1182">
        <v>98.830939235087001</v>
      </c>
      <c r="C1182">
        <v>2001</v>
      </c>
    </row>
    <row r="1183" spans="1:11" x14ac:dyDescent="0.25">
      <c r="A1183">
        <v>135.72605971047901</v>
      </c>
      <c r="B1183">
        <v>100</v>
      </c>
      <c r="C1183">
        <v>2001</v>
      </c>
    </row>
    <row r="1184" spans="1:11" x14ac:dyDescent="0.25">
      <c r="A1184">
        <v>139.74508942916299</v>
      </c>
      <c r="B1184">
        <v>104.019029718683</v>
      </c>
      <c r="C1184">
        <v>2001</v>
      </c>
    </row>
    <row r="1185" spans="1:11" x14ac:dyDescent="0.25">
      <c r="A1185">
        <v>139.74508942916299</v>
      </c>
      <c r="B1185">
        <v>104.019029718683</v>
      </c>
      <c r="C1185">
        <v>2000</v>
      </c>
    </row>
    <row r="1186" spans="1:11" x14ac:dyDescent="0.25">
      <c r="A1186">
        <v>135.72605971047901</v>
      </c>
      <c r="B1186">
        <v>100</v>
      </c>
      <c r="C1186">
        <v>2000</v>
      </c>
    </row>
    <row r="1187" spans="1:11" x14ac:dyDescent="0.25">
      <c r="A1187" t="s">
        <v>83</v>
      </c>
    </row>
    <row r="1188" spans="1:11" x14ac:dyDescent="0.25">
      <c r="A1188">
        <v>269</v>
      </c>
      <c r="B1188">
        <v>0</v>
      </c>
      <c r="C1188">
        <v>26.1621177499396</v>
      </c>
      <c r="D1188">
        <v>43.052233548172303</v>
      </c>
      <c r="E1188">
        <v>6</v>
      </c>
      <c r="F1188">
        <v>1.01722196789785</v>
      </c>
      <c r="G1188" t="s">
        <v>81</v>
      </c>
      <c r="H1188" t="s">
        <v>81</v>
      </c>
      <c r="I1188">
        <v>0</v>
      </c>
      <c r="J1188">
        <v>0</v>
      </c>
      <c r="K1188">
        <v>0</v>
      </c>
    </row>
    <row r="1189" spans="1:11" x14ac:dyDescent="0.25">
      <c r="A1189" t="s">
        <v>82</v>
      </c>
    </row>
    <row r="1190" spans="1:11" x14ac:dyDescent="0.25">
      <c r="A1190">
        <v>119.829303407078</v>
      </c>
      <c r="B1190">
        <v>18.334224540952398</v>
      </c>
      <c r="C1190">
        <v>2000</v>
      </c>
    </row>
    <row r="1191" spans="1:11" x14ac:dyDescent="0.25">
      <c r="A1191">
        <v>101.49507886612599</v>
      </c>
      <c r="B1191">
        <v>0</v>
      </c>
      <c r="C1191">
        <v>2000</v>
      </c>
    </row>
    <row r="1192" spans="1:11" x14ac:dyDescent="0.25">
      <c r="A1192">
        <v>100.62104681722801</v>
      </c>
      <c r="B1192">
        <v>0</v>
      </c>
      <c r="C1192">
        <v>2001</v>
      </c>
    </row>
    <row r="1193" spans="1:11" x14ac:dyDescent="0.25">
      <c r="A1193">
        <v>119.285644018642</v>
      </c>
      <c r="B1193">
        <v>18.664597201414001</v>
      </c>
      <c r="C1193">
        <v>2001</v>
      </c>
    </row>
    <row r="1194" spans="1:11" x14ac:dyDescent="0.25">
      <c r="A1194">
        <v>150</v>
      </c>
      <c r="B1194">
        <v>49.378953182771703</v>
      </c>
      <c r="C1194">
        <v>2001</v>
      </c>
    </row>
    <row r="1195" spans="1:11" x14ac:dyDescent="0.25">
      <c r="A1195">
        <v>150</v>
      </c>
      <c r="B1195">
        <v>48.504921133873999</v>
      </c>
      <c r="C1195">
        <v>2000</v>
      </c>
    </row>
    <row r="1196" spans="1:11" x14ac:dyDescent="0.25">
      <c r="A1196" t="s">
        <v>83</v>
      </c>
    </row>
    <row r="1197" spans="1:11" x14ac:dyDescent="0.25">
      <c r="A1197">
        <v>117</v>
      </c>
      <c r="B1197">
        <v>0</v>
      </c>
      <c r="C1197">
        <v>23.9857369914406</v>
      </c>
      <c r="D1197">
        <v>45.071701048767203</v>
      </c>
      <c r="E1197">
        <v>10</v>
      </c>
      <c r="F1197">
        <v>1.01722196789785</v>
      </c>
      <c r="G1197" t="s">
        <v>84</v>
      </c>
      <c r="H1197" t="s">
        <v>84</v>
      </c>
      <c r="I1197">
        <v>731</v>
      </c>
      <c r="J1197">
        <v>430</v>
      </c>
      <c r="K1197">
        <v>0</v>
      </c>
    </row>
    <row r="1198" spans="1:11" x14ac:dyDescent="0.25">
      <c r="A1198" t="s">
        <v>82</v>
      </c>
    </row>
    <row r="1199" spans="1:11" x14ac:dyDescent="0.25">
      <c r="A1199">
        <v>62.4854128130223</v>
      </c>
      <c r="B1199">
        <v>85.592577789716003</v>
      </c>
      <c r="C1199">
        <v>2000</v>
      </c>
    </row>
    <row r="1200" spans="1:11" x14ac:dyDescent="0.25">
      <c r="A1200">
        <v>49.781491987775603</v>
      </c>
      <c r="B1200">
        <v>72.888656964469305</v>
      </c>
      <c r="C1200">
        <v>2000</v>
      </c>
    </row>
    <row r="1201" spans="1:11" x14ac:dyDescent="0.25">
      <c r="A1201">
        <v>45.524935534617597</v>
      </c>
      <c r="B1201">
        <v>68.632100511311293</v>
      </c>
      <c r="C1201">
        <v>2000</v>
      </c>
    </row>
    <row r="1202" spans="1:11" x14ac:dyDescent="0.25">
      <c r="A1202">
        <v>45.961951559066399</v>
      </c>
      <c r="B1202">
        <v>68.195084486862498</v>
      </c>
      <c r="C1202">
        <v>2001</v>
      </c>
    </row>
    <row r="1203" spans="1:11" x14ac:dyDescent="0.25">
      <c r="A1203">
        <v>50.218508012224397</v>
      </c>
      <c r="B1203">
        <v>72.451640940020496</v>
      </c>
      <c r="C1203">
        <v>2001</v>
      </c>
    </row>
    <row r="1204" spans="1:11" x14ac:dyDescent="0.25">
      <c r="A1204">
        <v>62.922428837471102</v>
      </c>
      <c r="B1204">
        <v>85.155561765267194</v>
      </c>
      <c r="C1204">
        <v>2001</v>
      </c>
    </row>
    <row r="1205" spans="1:11" x14ac:dyDescent="0.25">
      <c r="A1205">
        <v>77.548359059979603</v>
      </c>
      <c r="B1205">
        <v>99.781491987775595</v>
      </c>
      <c r="C1205">
        <v>2001</v>
      </c>
    </row>
    <row r="1206" spans="1:11" x14ac:dyDescent="0.25">
      <c r="A1206">
        <v>94.792934288667198</v>
      </c>
      <c r="B1206">
        <v>117.02606721646301</v>
      </c>
      <c r="C1206">
        <v>2001</v>
      </c>
    </row>
    <row r="1207" spans="1:11" x14ac:dyDescent="0.25">
      <c r="A1207">
        <v>94.355918264218403</v>
      </c>
      <c r="B1207">
        <v>117.463083240912</v>
      </c>
      <c r="C1207">
        <v>2000</v>
      </c>
    </row>
    <row r="1208" spans="1:11" x14ac:dyDescent="0.25">
      <c r="A1208">
        <v>77.111343035530695</v>
      </c>
      <c r="B1208">
        <v>100.21850801222401</v>
      </c>
      <c r="C1208">
        <v>2000</v>
      </c>
    </row>
    <row r="1209" spans="1:11" x14ac:dyDescent="0.25">
      <c r="A1209" t="s">
        <v>83</v>
      </c>
    </row>
    <row r="1210" spans="1:11" x14ac:dyDescent="0.25">
      <c r="A1210">
        <v>255</v>
      </c>
      <c r="B1210">
        <v>0</v>
      </c>
      <c r="C1210">
        <v>41.208035398500499</v>
      </c>
      <c r="D1210">
        <v>26.366930327446401</v>
      </c>
      <c r="E1210">
        <v>6</v>
      </c>
      <c r="F1210">
        <v>1.5707963267949001</v>
      </c>
      <c r="G1210" t="s">
        <v>81</v>
      </c>
      <c r="H1210" t="s">
        <v>81</v>
      </c>
      <c r="I1210">
        <v>0</v>
      </c>
      <c r="J1210">
        <v>0</v>
      </c>
      <c r="K1210">
        <v>0</v>
      </c>
    </row>
    <row r="1211" spans="1:11" x14ac:dyDescent="0.25">
      <c r="A1211" t="s">
        <v>82</v>
      </c>
    </row>
    <row r="1212" spans="1:11" x14ac:dyDescent="0.25">
      <c r="A1212">
        <v>131.355764766389</v>
      </c>
      <c r="B1212">
        <v>29.138481269654999</v>
      </c>
      <c r="C1212">
        <v>2000</v>
      </c>
    </row>
    <row r="1213" spans="1:11" x14ac:dyDescent="0.25">
      <c r="A1213">
        <v>102.217283496734</v>
      </c>
      <c r="B1213">
        <v>0</v>
      </c>
      <c r="C1213">
        <v>2000</v>
      </c>
    </row>
    <row r="1214" spans="1:11" x14ac:dyDescent="0.25">
      <c r="A1214">
        <v>102.217283496734</v>
      </c>
      <c r="B1214">
        <v>0</v>
      </c>
      <c r="C1214">
        <v>2001</v>
      </c>
    </row>
    <row r="1215" spans="1:11" x14ac:dyDescent="0.25">
      <c r="A1215">
        <v>131.355764766389</v>
      </c>
      <c r="B1215">
        <v>29.138481269654999</v>
      </c>
      <c r="C1215">
        <v>2001</v>
      </c>
    </row>
    <row r="1216" spans="1:11" x14ac:dyDescent="0.25">
      <c r="A1216">
        <v>150</v>
      </c>
      <c r="B1216">
        <v>47.782716503265597</v>
      </c>
      <c r="C1216">
        <v>2001</v>
      </c>
    </row>
    <row r="1217" spans="1:11" x14ac:dyDescent="0.25">
      <c r="A1217">
        <v>150</v>
      </c>
      <c r="B1217">
        <v>47.782716503265597</v>
      </c>
      <c r="C1217">
        <v>2000</v>
      </c>
    </row>
    <row r="1218" spans="1:11" x14ac:dyDescent="0.25">
      <c r="A1218" t="s">
        <v>83</v>
      </c>
    </row>
    <row r="1219" spans="1:11" x14ac:dyDescent="0.25">
      <c r="A1219">
        <v>582</v>
      </c>
      <c r="B1219">
        <v>0</v>
      </c>
      <c r="C1219">
        <v>17.864856599691901</v>
      </c>
      <c r="D1219">
        <v>49.085342831057403</v>
      </c>
      <c r="E1219">
        <v>8</v>
      </c>
      <c r="F1219">
        <v>1.01722196789785</v>
      </c>
      <c r="G1219" t="s">
        <v>84</v>
      </c>
      <c r="H1219" t="s">
        <v>81</v>
      </c>
      <c r="I1219">
        <v>738</v>
      </c>
      <c r="J1219">
        <v>0</v>
      </c>
      <c r="K1219">
        <v>0</v>
      </c>
    </row>
    <row r="1220" spans="1:11" x14ac:dyDescent="0.25">
      <c r="A1220" t="s">
        <v>82</v>
      </c>
    </row>
    <row r="1221" spans="1:11" x14ac:dyDescent="0.25">
      <c r="A1221">
        <v>19.378717188650999</v>
      </c>
      <c r="B1221">
        <v>115.45377671434601</v>
      </c>
      <c r="C1221">
        <v>2000</v>
      </c>
    </row>
    <row r="1222" spans="1:11" x14ac:dyDescent="0.25">
      <c r="A1222">
        <v>6.8025084672552003</v>
      </c>
      <c r="B1222">
        <v>102.87756799295001</v>
      </c>
      <c r="C1222">
        <v>2000</v>
      </c>
    </row>
    <row r="1223" spans="1:11" x14ac:dyDescent="0.25">
      <c r="A1223">
        <v>7.23952449170402</v>
      </c>
      <c r="B1223">
        <v>102.440551968501</v>
      </c>
      <c r="C1223">
        <v>2001</v>
      </c>
    </row>
    <row r="1224" spans="1:11" x14ac:dyDescent="0.25">
      <c r="A1224">
        <v>19.928038263443</v>
      </c>
      <c r="B1224">
        <v>115.12906574023999</v>
      </c>
      <c r="C1224">
        <v>2001</v>
      </c>
    </row>
    <row r="1225" spans="1:11" x14ac:dyDescent="0.25">
      <c r="A1225">
        <v>50.409555307886698</v>
      </c>
      <c r="B1225">
        <v>145.610582784684</v>
      </c>
      <c r="C1225">
        <v>2001</v>
      </c>
    </row>
    <row r="1226" spans="1:11" x14ac:dyDescent="0.25">
      <c r="A1226">
        <v>54.798972523202998</v>
      </c>
      <c r="B1226">
        <v>150</v>
      </c>
      <c r="C1226">
        <v>2001</v>
      </c>
    </row>
    <row r="1227" spans="1:11" x14ac:dyDescent="0.25">
      <c r="A1227">
        <v>53.924940474305302</v>
      </c>
      <c r="B1227">
        <v>150</v>
      </c>
      <c r="C1227">
        <v>2000</v>
      </c>
    </row>
    <row r="1228" spans="1:11" x14ac:dyDescent="0.25">
      <c r="A1228">
        <v>49.590444692113302</v>
      </c>
      <c r="B1228">
        <v>145.66550421780801</v>
      </c>
      <c r="C1228">
        <v>2000</v>
      </c>
    </row>
    <row r="1229" spans="1:11" x14ac:dyDescent="0.25">
      <c r="A1229" t="s">
        <v>83</v>
      </c>
    </row>
    <row r="1230" spans="1:11" x14ac:dyDescent="0.25">
      <c r="A1230">
        <v>735</v>
      </c>
      <c r="B1230">
        <v>0</v>
      </c>
      <c r="C1230">
        <v>9.9102836862220194</v>
      </c>
      <c r="D1230">
        <v>56.564936664103101</v>
      </c>
      <c r="E1230">
        <v>8</v>
      </c>
      <c r="F1230">
        <v>1.01722196789785</v>
      </c>
      <c r="G1230" t="s">
        <v>84</v>
      </c>
      <c r="H1230" t="s">
        <v>81</v>
      </c>
      <c r="I1230">
        <v>111</v>
      </c>
      <c r="J1230">
        <v>0</v>
      </c>
      <c r="K1230">
        <v>0.13222554274631901</v>
      </c>
    </row>
    <row r="1231" spans="1:11" x14ac:dyDescent="0.25">
      <c r="A1231" t="s">
        <v>82</v>
      </c>
    </row>
    <row r="1232" spans="1:11" x14ac:dyDescent="0.25">
      <c r="A1232">
        <v>109.805048706013</v>
      </c>
      <c r="B1232">
        <v>91.718486562324898</v>
      </c>
      <c r="C1232">
        <v>2000</v>
      </c>
    </row>
    <row r="1233" spans="1:11" x14ac:dyDescent="0.25">
      <c r="A1233">
        <v>102.77641289719099</v>
      </c>
      <c r="B1233">
        <v>84.689850753502697</v>
      </c>
      <c r="C1233">
        <v>2000</v>
      </c>
    </row>
    <row r="1234" spans="1:11" x14ac:dyDescent="0.25">
      <c r="A1234">
        <v>103.21342892163899</v>
      </c>
      <c r="B1234">
        <v>84.252834729053902</v>
      </c>
      <c r="C1234">
        <v>2001</v>
      </c>
    </row>
    <row r="1235" spans="1:11" x14ac:dyDescent="0.25">
      <c r="A1235">
        <v>110.200050708837</v>
      </c>
      <c r="B1235">
        <v>91.239456516251707</v>
      </c>
      <c r="C1235">
        <v>2001</v>
      </c>
    </row>
    <row r="1236" spans="1:11" x14ac:dyDescent="0.25">
      <c r="A1236">
        <v>118.695535388312</v>
      </c>
      <c r="B1236">
        <v>99.734941195726606</v>
      </c>
      <c r="C1236">
        <v>2001</v>
      </c>
    </row>
    <row r="1237" spans="1:11" x14ac:dyDescent="0.25">
      <c r="A1237">
        <v>150</v>
      </c>
      <c r="B1237">
        <v>131.039405807414</v>
      </c>
      <c r="C1237">
        <v>2001</v>
      </c>
    </row>
    <row r="1238" spans="1:11" x14ac:dyDescent="0.25">
      <c r="A1238">
        <v>150</v>
      </c>
      <c r="B1238">
        <v>131.91343785631199</v>
      </c>
      <c r="C1238">
        <v>2000</v>
      </c>
    </row>
    <row r="1239" spans="1:11" x14ac:dyDescent="0.25">
      <c r="A1239">
        <v>118.351620947961</v>
      </c>
      <c r="B1239">
        <v>100.265058804273</v>
      </c>
      <c r="C1239">
        <v>2000</v>
      </c>
    </row>
    <row r="1240" spans="1:11" x14ac:dyDescent="0.25">
      <c r="A1240" t="s">
        <v>83</v>
      </c>
    </row>
    <row r="1241" spans="1:11" x14ac:dyDescent="0.25">
      <c r="A1241">
        <v>174</v>
      </c>
      <c r="B1241">
        <v>0</v>
      </c>
      <c r="C1241">
        <v>8.7353964902239607</v>
      </c>
      <c r="D1241">
        <v>57.130139337205399</v>
      </c>
      <c r="E1241">
        <v>8</v>
      </c>
      <c r="F1241">
        <v>1.5707963267949001</v>
      </c>
      <c r="G1241" t="s">
        <v>84</v>
      </c>
      <c r="H1241" t="s">
        <v>81</v>
      </c>
      <c r="I1241">
        <v>111</v>
      </c>
      <c r="J1241">
        <v>0</v>
      </c>
      <c r="K1241">
        <v>0</v>
      </c>
    </row>
    <row r="1242" spans="1:11" x14ac:dyDescent="0.25">
      <c r="A1242" t="s">
        <v>82</v>
      </c>
    </row>
    <row r="1243" spans="1:11" x14ac:dyDescent="0.25">
      <c r="A1243">
        <v>109.60289106453</v>
      </c>
      <c r="B1243">
        <v>90.217088775344706</v>
      </c>
      <c r="C1243">
        <v>2000</v>
      </c>
    </row>
    <row r="1244" spans="1:11" x14ac:dyDescent="0.25">
      <c r="A1244">
        <v>103.426032969939</v>
      </c>
      <c r="B1244">
        <v>84.040230680754206</v>
      </c>
      <c r="C1244">
        <v>2000</v>
      </c>
    </row>
    <row r="1245" spans="1:11" x14ac:dyDescent="0.25">
      <c r="A1245">
        <v>103.426032969939</v>
      </c>
      <c r="B1245">
        <v>84.040230680754206</v>
      </c>
      <c r="C1245">
        <v>2001</v>
      </c>
    </row>
    <row r="1246" spans="1:11" x14ac:dyDescent="0.25">
      <c r="A1246">
        <v>109.60289106453</v>
      </c>
      <c r="B1246">
        <v>90.217088775344706</v>
      </c>
      <c r="C1246">
        <v>2001</v>
      </c>
    </row>
    <row r="1247" spans="1:11" x14ac:dyDescent="0.25">
      <c r="A1247">
        <v>119.38580228918499</v>
      </c>
      <c r="B1247">
        <v>100</v>
      </c>
      <c r="C1247">
        <v>2001</v>
      </c>
    </row>
    <row r="1248" spans="1:11" x14ac:dyDescent="0.25">
      <c r="A1248">
        <v>150</v>
      </c>
      <c r="B1248">
        <v>130.61419771081501</v>
      </c>
      <c r="C1248">
        <v>2001</v>
      </c>
    </row>
    <row r="1249" spans="1:11" x14ac:dyDescent="0.25">
      <c r="A1249">
        <v>150</v>
      </c>
      <c r="B1249">
        <v>130.61419771081501</v>
      </c>
      <c r="C1249">
        <v>2000</v>
      </c>
    </row>
    <row r="1250" spans="1:11" x14ac:dyDescent="0.25">
      <c r="A1250">
        <v>119.38580228918499</v>
      </c>
      <c r="B1250">
        <v>100</v>
      </c>
      <c r="C1250">
        <v>2000</v>
      </c>
    </row>
    <row r="1251" spans="1:11" x14ac:dyDescent="0.25">
      <c r="A1251" t="s">
        <v>83</v>
      </c>
    </row>
    <row r="1252" spans="1:11" x14ac:dyDescent="0.25">
      <c r="A1252">
        <v>587</v>
      </c>
      <c r="B1252">
        <v>0</v>
      </c>
      <c r="C1252">
        <v>49.485000717374703</v>
      </c>
      <c r="D1252">
        <v>15.3235466777295</v>
      </c>
      <c r="E1252">
        <v>8</v>
      </c>
      <c r="F1252">
        <v>1.01722196789785</v>
      </c>
      <c r="G1252" t="s">
        <v>81</v>
      </c>
      <c r="H1252" t="s">
        <v>84</v>
      </c>
      <c r="I1252">
        <v>0</v>
      </c>
      <c r="J1252">
        <v>568</v>
      </c>
      <c r="K1252">
        <v>0</v>
      </c>
    </row>
    <row r="1253" spans="1:11" x14ac:dyDescent="0.25">
      <c r="A1253" t="s">
        <v>82</v>
      </c>
    </row>
    <row r="1254" spans="1:11" x14ac:dyDescent="0.25">
      <c r="A1254">
        <v>35.163018957442397</v>
      </c>
      <c r="B1254">
        <v>123.820595395797</v>
      </c>
      <c r="C1254">
        <v>2000</v>
      </c>
    </row>
    <row r="1255" spans="1:11" x14ac:dyDescent="0.25">
      <c r="A1255">
        <v>10.973508097178801</v>
      </c>
      <c r="B1255">
        <v>99.631084535533503</v>
      </c>
      <c r="C1255">
        <v>2000</v>
      </c>
    </row>
    <row r="1256" spans="1:11" x14ac:dyDescent="0.25">
      <c r="A1256">
        <v>0</v>
      </c>
      <c r="B1256">
        <v>88.657576438354695</v>
      </c>
      <c r="C1256">
        <v>2000</v>
      </c>
    </row>
    <row r="1257" spans="1:11" x14ac:dyDescent="0.25">
      <c r="A1257">
        <v>0</v>
      </c>
      <c r="B1257">
        <v>89.531608487252299</v>
      </c>
      <c r="C1257">
        <v>2001</v>
      </c>
    </row>
    <row r="1258" spans="1:11" x14ac:dyDescent="0.25">
      <c r="A1258">
        <v>10.837306977214199</v>
      </c>
      <c r="B1258">
        <v>100.368915464466</v>
      </c>
      <c r="C1258">
        <v>2001</v>
      </c>
    </row>
    <row r="1259" spans="1:11" x14ac:dyDescent="0.25">
      <c r="A1259">
        <v>34.819340191111301</v>
      </c>
      <c r="B1259">
        <v>124.35094867836401</v>
      </c>
      <c r="C1259">
        <v>2001</v>
      </c>
    </row>
    <row r="1260" spans="1:11" x14ac:dyDescent="0.25">
      <c r="A1260">
        <v>45.608055329703603</v>
      </c>
      <c r="B1260">
        <v>135.13966381695599</v>
      </c>
      <c r="C1260">
        <v>2001</v>
      </c>
    </row>
    <row r="1261" spans="1:11" x14ac:dyDescent="0.25">
      <c r="A1261">
        <v>46.045071354152398</v>
      </c>
      <c r="B1261">
        <v>134.70264779250701</v>
      </c>
      <c r="C1261">
        <v>2000</v>
      </c>
    </row>
    <row r="1262" spans="1:11" x14ac:dyDescent="0.25">
      <c r="A1262" t="s">
        <v>83</v>
      </c>
    </row>
    <row r="1263" spans="1:11" x14ac:dyDescent="0.25">
      <c r="A1263">
        <v>196</v>
      </c>
      <c r="B1263">
        <v>0</v>
      </c>
      <c r="C1263">
        <v>63.974549721676297</v>
      </c>
      <c r="D1263">
        <v>0.51550192393494898</v>
      </c>
      <c r="E1263">
        <v>10</v>
      </c>
      <c r="F1263">
        <v>1.01722196789785</v>
      </c>
      <c r="G1263" t="s">
        <v>84</v>
      </c>
      <c r="H1263" t="s">
        <v>84</v>
      </c>
      <c r="I1263">
        <v>490</v>
      </c>
      <c r="J1263">
        <v>200</v>
      </c>
      <c r="K1263">
        <v>0</v>
      </c>
    </row>
    <row r="1264" spans="1:11" x14ac:dyDescent="0.25">
      <c r="A1264" t="s">
        <v>82</v>
      </c>
    </row>
    <row r="1265" spans="1:11" x14ac:dyDescent="0.25">
      <c r="A1265">
        <v>111.56370573190701</v>
      </c>
      <c r="B1265">
        <v>88.321715351348402</v>
      </c>
      <c r="C1265">
        <v>2000</v>
      </c>
    </row>
    <row r="1266" spans="1:11" x14ac:dyDescent="0.25">
      <c r="A1266">
        <v>100.21850801222401</v>
      </c>
      <c r="B1266">
        <v>76.976517631665899</v>
      </c>
      <c r="C1266">
        <v>2000</v>
      </c>
    </row>
    <row r="1267" spans="1:11" x14ac:dyDescent="0.25">
      <c r="A1267">
        <v>73.023482368334101</v>
      </c>
      <c r="B1267">
        <v>49.781491987775603</v>
      </c>
      <c r="C1267">
        <v>2000</v>
      </c>
    </row>
    <row r="1268" spans="1:11" x14ac:dyDescent="0.25">
      <c r="A1268">
        <v>66.326867800353696</v>
      </c>
      <c r="B1268">
        <v>43.084877419795099</v>
      </c>
      <c r="C1268">
        <v>2000</v>
      </c>
    </row>
    <row r="1269" spans="1:11" x14ac:dyDescent="0.25">
      <c r="A1269">
        <v>65.889851775904802</v>
      </c>
      <c r="B1269">
        <v>43.521893444244</v>
      </c>
      <c r="C1269">
        <v>2001</v>
      </c>
    </row>
    <row r="1270" spans="1:11" x14ac:dyDescent="0.25">
      <c r="A1270">
        <v>72.586466343885306</v>
      </c>
      <c r="B1270">
        <v>50.218508012224397</v>
      </c>
      <c r="C1270">
        <v>2001</v>
      </c>
    </row>
    <row r="1271" spans="1:11" x14ac:dyDescent="0.25">
      <c r="A1271">
        <v>99.781491987775595</v>
      </c>
      <c r="B1271">
        <v>77.413533656114694</v>
      </c>
      <c r="C1271">
        <v>2001</v>
      </c>
    </row>
    <row r="1272" spans="1:11" x14ac:dyDescent="0.25">
      <c r="A1272">
        <v>111.126689707458</v>
      </c>
      <c r="B1272">
        <v>88.758731375797197</v>
      </c>
      <c r="C1272">
        <v>2001</v>
      </c>
    </row>
    <row r="1273" spans="1:11" x14ac:dyDescent="0.25">
      <c r="A1273">
        <v>111.491204613587</v>
      </c>
      <c r="B1273">
        <v>89.123246281926399</v>
      </c>
      <c r="C1273">
        <v>2001</v>
      </c>
    </row>
    <row r="1274" spans="1:11" x14ac:dyDescent="0.25">
      <c r="A1274">
        <v>111.928220638036</v>
      </c>
      <c r="B1274">
        <v>88.686230257477504</v>
      </c>
      <c r="C1274">
        <v>2000</v>
      </c>
    </row>
    <row r="1275" spans="1:11" x14ac:dyDescent="0.25">
      <c r="A1275" t="s">
        <v>83</v>
      </c>
    </row>
    <row r="1276" spans="1:11" x14ac:dyDescent="0.25">
      <c r="A1276">
        <v>755</v>
      </c>
      <c r="B1276">
        <v>0</v>
      </c>
      <c r="C1276">
        <v>32.577422592289899</v>
      </c>
      <c r="D1276">
        <v>31.575048603189199</v>
      </c>
      <c r="E1276">
        <v>8</v>
      </c>
      <c r="F1276">
        <v>1.5707963267949001</v>
      </c>
      <c r="G1276" t="s">
        <v>84</v>
      </c>
      <c r="H1276" t="s">
        <v>81</v>
      </c>
      <c r="I1276">
        <v>483</v>
      </c>
      <c r="J1276">
        <v>0</v>
      </c>
      <c r="K1276">
        <v>0.38517947599598501</v>
      </c>
    </row>
    <row r="1277" spans="1:11" x14ac:dyDescent="0.25">
      <c r="A1277" t="s">
        <v>82</v>
      </c>
    </row>
    <row r="1278" spans="1:11" x14ac:dyDescent="0.25">
      <c r="A1278">
        <v>127.67306901639</v>
      </c>
      <c r="B1278">
        <v>37.482697778606202</v>
      </c>
      <c r="C1278">
        <v>2000</v>
      </c>
    </row>
    <row r="1279" spans="1:11" x14ac:dyDescent="0.25">
      <c r="A1279">
        <v>104.637352587802</v>
      </c>
      <c r="B1279">
        <v>14.446981350018101</v>
      </c>
      <c r="C1279">
        <v>2000</v>
      </c>
    </row>
    <row r="1280" spans="1:11" x14ac:dyDescent="0.25">
      <c r="A1280">
        <v>104.637352587802</v>
      </c>
      <c r="B1280">
        <v>14.446981350018101</v>
      </c>
      <c r="C1280">
        <v>2001</v>
      </c>
    </row>
    <row r="1281" spans="1:11" x14ac:dyDescent="0.25">
      <c r="A1281">
        <v>127.67306901639</v>
      </c>
      <c r="B1281">
        <v>37.482697778606202</v>
      </c>
      <c r="C1281">
        <v>2001</v>
      </c>
    </row>
    <row r="1282" spans="1:11" x14ac:dyDescent="0.25">
      <c r="A1282">
        <v>140.19037123778401</v>
      </c>
      <c r="B1282">
        <v>50</v>
      </c>
      <c r="C1282">
        <v>2001</v>
      </c>
    </row>
    <row r="1283" spans="1:11" x14ac:dyDescent="0.25">
      <c r="A1283">
        <v>150</v>
      </c>
      <c r="B1283">
        <v>59.8096287622161</v>
      </c>
      <c r="C1283">
        <v>2001</v>
      </c>
    </row>
    <row r="1284" spans="1:11" x14ac:dyDescent="0.25">
      <c r="A1284">
        <v>150</v>
      </c>
      <c r="B1284">
        <v>59.8096287622161</v>
      </c>
      <c r="C1284">
        <v>2000</v>
      </c>
    </row>
    <row r="1285" spans="1:11" x14ac:dyDescent="0.25">
      <c r="A1285">
        <v>140.19037123778401</v>
      </c>
      <c r="B1285">
        <v>50</v>
      </c>
      <c r="C1285">
        <v>2000</v>
      </c>
    </row>
    <row r="1286" spans="1:11" x14ac:dyDescent="0.25">
      <c r="A1286" t="s">
        <v>83</v>
      </c>
    </row>
    <row r="1287" spans="1:11" x14ac:dyDescent="0.25">
      <c r="A1287">
        <v>247</v>
      </c>
      <c r="B1287">
        <v>0</v>
      </c>
      <c r="C1287">
        <v>46.291596072037201</v>
      </c>
      <c r="D1287">
        <v>17.4970718889127</v>
      </c>
      <c r="E1287">
        <v>6</v>
      </c>
      <c r="F1287">
        <v>1.5707963267949001</v>
      </c>
      <c r="G1287" t="s">
        <v>81</v>
      </c>
      <c r="H1287" t="s">
        <v>81</v>
      </c>
      <c r="I1287">
        <v>0</v>
      </c>
      <c r="J1287">
        <v>0</v>
      </c>
      <c r="K1287">
        <v>0</v>
      </c>
    </row>
    <row r="1288" spans="1:11" x14ac:dyDescent="0.25">
      <c r="A1288" t="s">
        <v>82</v>
      </c>
    </row>
    <row r="1289" spans="1:11" x14ac:dyDescent="0.25">
      <c r="A1289">
        <v>137.627701816441</v>
      </c>
      <c r="B1289">
        <v>32.733101494486</v>
      </c>
      <c r="C1289">
        <v>2000</v>
      </c>
    </row>
    <row r="1290" spans="1:11" x14ac:dyDescent="0.25">
      <c r="A1290">
        <v>104.894600321955</v>
      </c>
      <c r="B1290">
        <v>0</v>
      </c>
      <c r="C1290">
        <v>2000</v>
      </c>
    </row>
    <row r="1291" spans="1:11" x14ac:dyDescent="0.25">
      <c r="A1291">
        <v>104.894600321955</v>
      </c>
      <c r="B1291">
        <v>0</v>
      </c>
      <c r="C1291">
        <v>2001</v>
      </c>
    </row>
    <row r="1292" spans="1:11" x14ac:dyDescent="0.25">
      <c r="A1292">
        <v>137.627701816441</v>
      </c>
      <c r="B1292">
        <v>32.733101494486</v>
      </c>
      <c r="C1292">
        <v>2001</v>
      </c>
    </row>
    <row r="1293" spans="1:11" x14ac:dyDescent="0.25">
      <c r="A1293">
        <v>150</v>
      </c>
      <c r="B1293">
        <v>45.105399678044698</v>
      </c>
      <c r="C1293">
        <v>2001</v>
      </c>
    </row>
    <row r="1294" spans="1:11" x14ac:dyDescent="0.25">
      <c r="A1294">
        <v>150</v>
      </c>
      <c r="B1294">
        <v>45.105399678044698</v>
      </c>
      <c r="C1294">
        <v>2000</v>
      </c>
    </row>
    <row r="1295" spans="1:11" x14ac:dyDescent="0.25">
      <c r="A1295" t="s">
        <v>83</v>
      </c>
    </row>
    <row r="1296" spans="1:11" x14ac:dyDescent="0.25">
      <c r="A1296">
        <v>105</v>
      </c>
      <c r="B1296">
        <v>0</v>
      </c>
      <c r="C1296">
        <v>9.9051969251389096</v>
      </c>
      <c r="D1296">
        <v>53.739638033410401</v>
      </c>
      <c r="E1296">
        <v>10</v>
      </c>
      <c r="F1296">
        <v>1.01722196789785</v>
      </c>
      <c r="G1296" t="s">
        <v>84</v>
      </c>
      <c r="H1296" t="s">
        <v>84</v>
      </c>
      <c r="I1296">
        <v>89</v>
      </c>
      <c r="J1296">
        <v>419</v>
      </c>
      <c r="K1296">
        <v>0</v>
      </c>
    </row>
    <row r="1297" spans="1:11" x14ac:dyDescent="0.25">
      <c r="A1297" t="s">
        <v>82</v>
      </c>
    </row>
    <row r="1298" spans="1:11" x14ac:dyDescent="0.25">
      <c r="A1298">
        <v>70.280580119356003</v>
      </c>
      <c r="B1298">
        <v>73.584379286316207</v>
      </c>
      <c r="C1298">
        <v>2000</v>
      </c>
    </row>
    <row r="1299" spans="1:11" x14ac:dyDescent="0.25">
      <c r="A1299">
        <v>63.2765482046022</v>
      </c>
      <c r="B1299">
        <v>66.580347371562397</v>
      </c>
      <c r="C1299">
        <v>2000</v>
      </c>
    </row>
    <row r="1300" spans="1:11" x14ac:dyDescent="0.25">
      <c r="A1300">
        <v>62.839532180153398</v>
      </c>
      <c r="B1300">
        <v>67.017363396011206</v>
      </c>
      <c r="C1300">
        <v>2001</v>
      </c>
    </row>
    <row r="1301" spans="1:11" x14ac:dyDescent="0.25">
      <c r="A1301">
        <v>69.843564094907194</v>
      </c>
      <c r="B1301">
        <v>74.021395310765001</v>
      </c>
      <c r="C1301">
        <v>2001</v>
      </c>
    </row>
    <row r="1302" spans="1:11" x14ac:dyDescent="0.25">
      <c r="A1302">
        <v>96.040676796366597</v>
      </c>
      <c r="B1302">
        <v>100.21850801222401</v>
      </c>
      <c r="C1302">
        <v>2001</v>
      </c>
    </row>
    <row r="1303" spans="1:11" x14ac:dyDescent="0.25">
      <c r="A1303">
        <v>99.781491987775595</v>
      </c>
      <c r="B1303">
        <v>103.95932320363301</v>
      </c>
      <c r="C1303">
        <v>2001</v>
      </c>
    </row>
    <row r="1304" spans="1:11" x14ac:dyDescent="0.25">
      <c r="A1304">
        <v>107.84322656684201</v>
      </c>
      <c r="B1304">
        <v>112.0210577827</v>
      </c>
      <c r="C1304">
        <v>2001</v>
      </c>
    </row>
    <row r="1305" spans="1:11" x14ac:dyDescent="0.25">
      <c r="A1305">
        <v>108.280242591291</v>
      </c>
      <c r="B1305">
        <v>111.584041758251</v>
      </c>
      <c r="C1305">
        <v>2000</v>
      </c>
    </row>
    <row r="1306" spans="1:11" x14ac:dyDescent="0.25">
      <c r="A1306">
        <v>100.21850801222401</v>
      </c>
      <c r="B1306">
        <v>103.52230717918501</v>
      </c>
      <c r="C1306">
        <v>2000</v>
      </c>
    </row>
    <row r="1307" spans="1:11" x14ac:dyDescent="0.25">
      <c r="A1307">
        <v>96.477692820815406</v>
      </c>
      <c r="B1307">
        <v>99.781491987775595</v>
      </c>
      <c r="C1307">
        <v>2000</v>
      </c>
    </row>
    <row r="1308" spans="1:11" x14ac:dyDescent="0.25">
      <c r="A1308" t="s">
        <v>83</v>
      </c>
    </row>
    <row r="1309" spans="1:11" x14ac:dyDescent="0.25">
      <c r="A1309">
        <v>94</v>
      </c>
      <c r="B1309">
        <v>0</v>
      </c>
      <c r="C1309">
        <v>48.731381297604798</v>
      </c>
      <c r="D1309">
        <v>14.875733980924799</v>
      </c>
      <c r="E1309">
        <v>8</v>
      </c>
      <c r="F1309">
        <v>1.5707963267949001</v>
      </c>
      <c r="G1309" t="s">
        <v>84</v>
      </c>
      <c r="H1309" t="s">
        <v>84</v>
      </c>
      <c r="I1309">
        <v>35</v>
      </c>
      <c r="J1309">
        <v>734</v>
      </c>
      <c r="K1309">
        <v>0</v>
      </c>
    </row>
    <row r="1310" spans="1:11" x14ac:dyDescent="0.25">
      <c r="A1310" t="s">
        <v>82</v>
      </c>
    </row>
    <row r="1311" spans="1:11" x14ac:dyDescent="0.25">
      <c r="A1311">
        <v>86.0911417804151</v>
      </c>
      <c r="B1311">
        <v>77.226510435448304</v>
      </c>
      <c r="C1311">
        <v>2000</v>
      </c>
    </row>
    <row r="1312" spans="1:11" x14ac:dyDescent="0.25">
      <c r="A1312">
        <v>58.864631344966902</v>
      </c>
      <c r="B1312">
        <v>50</v>
      </c>
      <c r="C1312">
        <v>2000</v>
      </c>
    </row>
    <row r="1313" spans="1:11" x14ac:dyDescent="0.25">
      <c r="A1313">
        <v>51.632851608291503</v>
      </c>
      <c r="B1313">
        <v>42.768220263324601</v>
      </c>
      <c r="C1313">
        <v>2000</v>
      </c>
    </row>
    <row r="1314" spans="1:11" x14ac:dyDescent="0.25">
      <c r="A1314">
        <v>51.632851608291503</v>
      </c>
      <c r="B1314">
        <v>42.768220263324601</v>
      </c>
      <c r="C1314">
        <v>2001</v>
      </c>
    </row>
    <row r="1315" spans="1:11" x14ac:dyDescent="0.25">
      <c r="A1315">
        <v>58.864631344966902</v>
      </c>
      <c r="B1315">
        <v>50</v>
      </c>
      <c r="C1315">
        <v>2001</v>
      </c>
    </row>
    <row r="1316" spans="1:11" x14ac:dyDescent="0.25">
      <c r="A1316">
        <v>86.0911417804151</v>
      </c>
      <c r="B1316">
        <v>77.226510435448304</v>
      </c>
      <c r="C1316">
        <v>2001</v>
      </c>
    </row>
    <row r="1317" spans="1:11" x14ac:dyDescent="0.25">
      <c r="A1317">
        <v>96.6098741534543</v>
      </c>
      <c r="B1317">
        <v>87.745242808487404</v>
      </c>
      <c r="C1317">
        <v>2001</v>
      </c>
    </row>
    <row r="1318" spans="1:11" x14ac:dyDescent="0.25">
      <c r="A1318">
        <v>96.6098741534543</v>
      </c>
      <c r="B1318">
        <v>87.745242808487404</v>
      </c>
      <c r="C1318">
        <v>2000</v>
      </c>
    </row>
    <row r="1319" spans="1:11" x14ac:dyDescent="0.25">
      <c r="A1319" t="s">
        <v>83</v>
      </c>
    </row>
    <row r="1320" spans="1:11" x14ac:dyDescent="0.25">
      <c r="A1320">
        <v>112</v>
      </c>
      <c r="B1320">
        <v>0</v>
      </c>
      <c r="C1320">
        <v>26.8219987895976</v>
      </c>
      <c r="D1320">
        <v>36.785116488932097</v>
      </c>
      <c r="E1320">
        <v>8</v>
      </c>
      <c r="F1320">
        <v>1.01722196789785</v>
      </c>
      <c r="G1320" t="s">
        <v>84</v>
      </c>
      <c r="H1320" t="s">
        <v>84</v>
      </c>
      <c r="I1320">
        <v>35</v>
      </c>
      <c r="J1320">
        <v>734</v>
      </c>
      <c r="K1320">
        <v>0</v>
      </c>
    </row>
    <row r="1321" spans="1:11" x14ac:dyDescent="0.25">
      <c r="A1321" t="s">
        <v>82</v>
      </c>
    </row>
    <row r="1322" spans="1:11" x14ac:dyDescent="0.25">
      <c r="A1322">
        <v>70.470363427168095</v>
      </c>
      <c r="B1322">
        <v>61.862742902651597</v>
      </c>
      <c r="C1322">
        <v>2000</v>
      </c>
    </row>
    <row r="1323" spans="1:11" x14ac:dyDescent="0.25">
      <c r="A1323">
        <v>58.389112512292101</v>
      </c>
      <c r="B1323">
        <v>49.781491987775603</v>
      </c>
      <c r="C1323">
        <v>2000</v>
      </c>
    </row>
    <row r="1324" spans="1:11" x14ac:dyDescent="0.25">
      <c r="A1324">
        <v>51.504346198066301</v>
      </c>
      <c r="B1324">
        <v>42.896725673549803</v>
      </c>
      <c r="C1324">
        <v>2000</v>
      </c>
    </row>
    <row r="1325" spans="1:11" x14ac:dyDescent="0.25">
      <c r="A1325">
        <v>51.067330173617499</v>
      </c>
      <c r="B1325">
        <v>43.333741697998597</v>
      </c>
      <c r="C1325">
        <v>2001</v>
      </c>
    </row>
    <row r="1326" spans="1:11" x14ac:dyDescent="0.25">
      <c r="A1326">
        <v>57.952096487843299</v>
      </c>
      <c r="B1326">
        <v>50.218508012224397</v>
      </c>
      <c r="C1326">
        <v>2001</v>
      </c>
    </row>
    <row r="1327" spans="1:11" x14ac:dyDescent="0.25">
      <c r="A1327">
        <v>70.033347402719301</v>
      </c>
      <c r="B1327">
        <v>62.299758927100399</v>
      </c>
      <c r="C1327">
        <v>2001</v>
      </c>
    </row>
    <row r="1328" spans="1:11" x14ac:dyDescent="0.25">
      <c r="A1328">
        <v>96.044352718780303</v>
      </c>
      <c r="B1328">
        <v>88.310764243161401</v>
      </c>
      <c r="C1328">
        <v>2001</v>
      </c>
    </row>
    <row r="1329" spans="1:11" x14ac:dyDescent="0.25">
      <c r="A1329">
        <v>96.481368743229098</v>
      </c>
      <c r="B1329">
        <v>87.873748218712606</v>
      </c>
      <c r="C1329">
        <v>2000</v>
      </c>
    </row>
    <row r="1330" spans="1:11" x14ac:dyDescent="0.25">
      <c r="A1330" t="s">
        <v>83</v>
      </c>
    </row>
    <row r="1331" spans="1:11" x14ac:dyDescent="0.25">
      <c r="A1331">
        <v>175</v>
      </c>
      <c r="B1331">
        <v>0</v>
      </c>
      <c r="C1331">
        <v>31.230667757517601</v>
      </c>
      <c r="D1331">
        <v>31.7465204881121</v>
      </c>
      <c r="E1331">
        <v>8</v>
      </c>
      <c r="F1331">
        <v>1.5707963267949001</v>
      </c>
      <c r="G1331" t="s">
        <v>84</v>
      </c>
      <c r="H1331" t="s">
        <v>81</v>
      </c>
      <c r="I1331">
        <v>258</v>
      </c>
      <c r="J1331">
        <v>0</v>
      </c>
      <c r="K1331">
        <v>0</v>
      </c>
    </row>
    <row r="1332" spans="1:11" x14ac:dyDescent="0.25">
      <c r="A1332" t="s">
        <v>82</v>
      </c>
    </row>
    <row r="1333" spans="1:11" x14ac:dyDescent="0.25">
      <c r="A1333">
        <v>127.551820083778</v>
      </c>
      <c r="B1333">
        <v>52.851598676225002</v>
      </c>
      <c r="C1333">
        <v>2000</v>
      </c>
    </row>
    <row r="1334" spans="1:11" x14ac:dyDescent="0.25">
      <c r="A1334">
        <v>124.700221407553</v>
      </c>
      <c r="B1334">
        <v>50</v>
      </c>
      <c r="C1334">
        <v>2000</v>
      </c>
    </row>
    <row r="1335" spans="1:11" x14ac:dyDescent="0.25">
      <c r="A1335">
        <v>105.468403131453</v>
      </c>
      <c r="B1335">
        <v>30.768181723900199</v>
      </c>
      <c r="C1335">
        <v>2000</v>
      </c>
    </row>
    <row r="1336" spans="1:11" x14ac:dyDescent="0.25">
      <c r="A1336">
        <v>105.468403131453</v>
      </c>
      <c r="B1336">
        <v>30.768181723900199</v>
      </c>
      <c r="C1336">
        <v>2001</v>
      </c>
    </row>
    <row r="1337" spans="1:11" x14ac:dyDescent="0.25">
      <c r="A1337">
        <v>124.700221407553</v>
      </c>
      <c r="B1337">
        <v>50</v>
      </c>
      <c r="C1337">
        <v>2001</v>
      </c>
    </row>
    <row r="1338" spans="1:11" x14ac:dyDescent="0.25">
      <c r="A1338">
        <v>127.551820083778</v>
      </c>
      <c r="B1338">
        <v>52.851598676225002</v>
      </c>
      <c r="C1338">
        <v>2001</v>
      </c>
    </row>
    <row r="1339" spans="1:11" x14ac:dyDescent="0.25">
      <c r="A1339">
        <v>150</v>
      </c>
      <c r="B1339">
        <v>75.2997785924467</v>
      </c>
      <c r="C1339">
        <v>2001</v>
      </c>
    </row>
    <row r="1340" spans="1:11" x14ac:dyDescent="0.25">
      <c r="A1340">
        <v>150</v>
      </c>
      <c r="B1340">
        <v>75.2997785924467</v>
      </c>
      <c r="C1340">
        <v>2000</v>
      </c>
    </row>
    <row r="1341" spans="1:11" x14ac:dyDescent="0.25">
      <c r="A1341" t="s">
        <v>83</v>
      </c>
    </row>
    <row r="1342" spans="1:11" x14ac:dyDescent="0.25">
      <c r="A1342">
        <v>40</v>
      </c>
      <c r="B1342">
        <v>0</v>
      </c>
      <c r="C1342">
        <v>33.494623526789297</v>
      </c>
      <c r="D1342">
        <v>29.2015208245795</v>
      </c>
      <c r="E1342">
        <v>8</v>
      </c>
      <c r="F1342">
        <v>1.01722196789785</v>
      </c>
      <c r="G1342" t="s">
        <v>81</v>
      </c>
      <c r="H1342" t="s">
        <v>84</v>
      </c>
      <c r="I1342">
        <v>0</v>
      </c>
      <c r="J1342">
        <v>497</v>
      </c>
      <c r="K1342">
        <v>0</v>
      </c>
    </row>
    <row r="1343" spans="1:11" x14ac:dyDescent="0.25">
      <c r="A1343" t="s">
        <v>82</v>
      </c>
    </row>
    <row r="1344" spans="1:11" x14ac:dyDescent="0.25">
      <c r="A1344">
        <v>40.073127202880997</v>
      </c>
      <c r="B1344">
        <v>23.531594201870501</v>
      </c>
      <c r="C1344">
        <v>2000</v>
      </c>
    </row>
    <row r="1345" spans="1:11" x14ac:dyDescent="0.25">
      <c r="A1345">
        <v>16.5415330010104</v>
      </c>
      <c r="B1345">
        <v>0</v>
      </c>
      <c r="C1345">
        <v>2000</v>
      </c>
    </row>
    <row r="1346" spans="1:11" x14ac:dyDescent="0.25">
      <c r="A1346">
        <v>15.6675009521128</v>
      </c>
      <c r="B1346">
        <v>0</v>
      </c>
      <c r="C1346">
        <v>2001</v>
      </c>
    </row>
    <row r="1347" spans="1:11" x14ac:dyDescent="0.25">
      <c r="A1347">
        <v>39.5044576084086</v>
      </c>
      <c r="B1347">
        <v>23.836956656295801</v>
      </c>
      <c r="C1347">
        <v>2001</v>
      </c>
    </row>
    <row r="1348" spans="1:11" x14ac:dyDescent="0.25">
      <c r="A1348">
        <v>49.781491987775603</v>
      </c>
      <c r="B1348">
        <v>34.113991035662799</v>
      </c>
      <c r="C1348">
        <v>2001</v>
      </c>
    </row>
    <row r="1349" spans="1:11" x14ac:dyDescent="0.25">
      <c r="A1349">
        <v>60.218877789440697</v>
      </c>
      <c r="B1349">
        <v>44.551376837327901</v>
      </c>
      <c r="C1349">
        <v>2001</v>
      </c>
    </row>
    <row r="1350" spans="1:11" x14ac:dyDescent="0.25">
      <c r="A1350">
        <v>60.655893813889499</v>
      </c>
      <c r="B1350">
        <v>44.114360812879099</v>
      </c>
      <c r="C1350">
        <v>2000</v>
      </c>
    </row>
    <row r="1351" spans="1:11" x14ac:dyDescent="0.25">
      <c r="A1351">
        <v>50.218508012224397</v>
      </c>
      <c r="B1351">
        <v>33.676975011213898</v>
      </c>
      <c r="C1351">
        <v>2000</v>
      </c>
    </row>
    <row r="1352" spans="1:11" x14ac:dyDescent="0.25">
      <c r="A1352" t="s">
        <v>83</v>
      </c>
    </row>
    <row r="1353" spans="1:11" x14ac:dyDescent="0.25">
      <c r="A1353">
        <v>675</v>
      </c>
      <c r="B1353">
        <v>0</v>
      </c>
      <c r="C1353">
        <v>29.275458628374601</v>
      </c>
      <c r="D1353">
        <v>33.207819066345301</v>
      </c>
      <c r="E1353">
        <v>8</v>
      </c>
      <c r="F1353">
        <v>1.01722196789785</v>
      </c>
      <c r="G1353" t="s">
        <v>81</v>
      </c>
      <c r="H1353" t="s">
        <v>84</v>
      </c>
      <c r="I1353">
        <v>0</v>
      </c>
      <c r="J1353">
        <v>86</v>
      </c>
      <c r="K1353">
        <v>0</v>
      </c>
    </row>
    <row r="1354" spans="1:11" x14ac:dyDescent="0.25">
      <c r="A1354" t="s">
        <v>82</v>
      </c>
    </row>
    <row r="1355" spans="1:11" x14ac:dyDescent="0.25">
      <c r="A1355">
        <v>20.883152749451899</v>
      </c>
      <c r="B1355">
        <v>53.765274498162597</v>
      </c>
      <c r="C1355">
        <v>2000</v>
      </c>
    </row>
    <row r="1356" spans="1:11" x14ac:dyDescent="0.25">
      <c r="A1356">
        <v>16.856937005868001</v>
      </c>
      <c r="B1356">
        <v>49.7390587545787</v>
      </c>
      <c r="C1356">
        <v>2000</v>
      </c>
    </row>
    <row r="1357" spans="1:11" x14ac:dyDescent="0.25">
      <c r="A1357">
        <v>0</v>
      </c>
      <c r="B1357">
        <v>32.882121748710702</v>
      </c>
      <c r="C1357">
        <v>2000</v>
      </c>
    </row>
    <row r="1358" spans="1:11" x14ac:dyDescent="0.25">
      <c r="A1358">
        <v>0</v>
      </c>
      <c r="B1358">
        <v>33.756153797608299</v>
      </c>
      <c r="C1358">
        <v>2001</v>
      </c>
    </row>
    <row r="1359" spans="1:11" x14ac:dyDescent="0.25">
      <c r="A1359">
        <v>16.504787447813001</v>
      </c>
      <c r="B1359">
        <v>50.2609412454213</v>
      </c>
      <c r="C1359">
        <v>2001</v>
      </c>
    </row>
    <row r="1360" spans="1:11" x14ac:dyDescent="0.25">
      <c r="A1360">
        <v>20.5185978874879</v>
      </c>
      <c r="B1360">
        <v>54.274751685096199</v>
      </c>
      <c r="C1360">
        <v>2001</v>
      </c>
    </row>
    <row r="1361" spans="1:11" x14ac:dyDescent="0.25">
      <c r="A1361">
        <v>43.963841356474198</v>
      </c>
      <c r="B1361">
        <v>77.719995154082497</v>
      </c>
      <c r="C1361">
        <v>2001</v>
      </c>
    </row>
    <row r="1362" spans="1:11" x14ac:dyDescent="0.25">
      <c r="A1362">
        <v>44.400857380923</v>
      </c>
      <c r="B1362">
        <v>77.282979129633603</v>
      </c>
      <c r="C1362">
        <v>2000</v>
      </c>
    </row>
    <row r="1363" spans="1:11" x14ac:dyDescent="0.25">
      <c r="A1363" t="s">
        <v>83</v>
      </c>
    </row>
    <row r="1364" spans="1:11" x14ac:dyDescent="0.25">
      <c r="A1364">
        <v>275</v>
      </c>
      <c r="B1364">
        <v>0</v>
      </c>
      <c r="C1364">
        <v>33.325048743958703</v>
      </c>
      <c r="D1364">
        <v>29.005284191331</v>
      </c>
      <c r="E1364">
        <v>6</v>
      </c>
      <c r="F1364">
        <v>1.01722196789785</v>
      </c>
      <c r="G1364" t="s">
        <v>81</v>
      </c>
      <c r="H1364" t="s">
        <v>81</v>
      </c>
      <c r="I1364">
        <v>0</v>
      </c>
      <c r="J1364">
        <v>0</v>
      </c>
      <c r="K1364">
        <v>0</v>
      </c>
    </row>
    <row r="1365" spans="1:11" x14ac:dyDescent="0.25">
      <c r="A1365" t="s">
        <v>82</v>
      </c>
    </row>
    <row r="1366" spans="1:11" x14ac:dyDescent="0.25">
      <c r="A1366">
        <v>129.693531309825</v>
      </c>
      <c r="B1366">
        <v>23.330716377535001</v>
      </c>
      <c r="C1366">
        <v>2000</v>
      </c>
    </row>
    <row r="1367" spans="1:11" x14ac:dyDescent="0.25">
      <c r="A1367">
        <v>106.36281493228999</v>
      </c>
      <c r="B1367">
        <v>0</v>
      </c>
      <c r="C1367">
        <v>2000</v>
      </c>
    </row>
    <row r="1368" spans="1:11" x14ac:dyDescent="0.25">
      <c r="A1368">
        <v>105.488782883393</v>
      </c>
      <c r="B1368">
        <v>0</v>
      </c>
      <c r="C1368">
        <v>2001</v>
      </c>
    </row>
    <row r="1369" spans="1:11" x14ac:dyDescent="0.25">
      <c r="A1369">
        <v>129.286802406308</v>
      </c>
      <c r="B1369">
        <v>23.798019522915801</v>
      </c>
      <c r="C1369">
        <v>2001</v>
      </c>
    </row>
    <row r="1370" spans="1:11" x14ac:dyDescent="0.25">
      <c r="A1370">
        <v>150</v>
      </c>
      <c r="B1370">
        <v>44.511217116607298</v>
      </c>
      <c r="C1370">
        <v>2001</v>
      </c>
    </row>
    <row r="1371" spans="1:11" x14ac:dyDescent="0.25">
      <c r="A1371">
        <v>150</v>
      </c>
      <c r="B1371">
        <v>43.637185067709702</v>
      </c>
      <c r="C1371">
        <v>2000</v>
      </c>
    </row>
    <row r="1372" spans="1:11" x14ac:dyDescent="0.25">
      <c r="A1372" t="s">
        <v>83</v>
      </c>
    </row>
    <row r="1373" spans="1:11" x14ac:dyDescent="0.25">
      <c r="A1373">
        <v>31</v>
      </c>
      <c r="B1373">
        <v>0</v>
      </c>
      <c r="C1373">
        <v>25.292919703627099</v>
      </c>
      <c r="D1373">
        <v>36.613310486997797</v>
      </c>
      <c r="E1373">
        <v>8</v>
      </c>
      <c r="F1373">
        <v>1.01722196789785</v>
      </c>
      <c r="G1373" t="s">
        <v>81</v>
      </c>
      <c r="H1373" t="s">
        <v>84</v>
      </c>
      <c r="I1373">
        <v>0</v>
      </c>
      <c r="J1373">
        <v>103</v>
      </c>
      <c r="K1373">
        <v>0</v>
      </c>
    </row>
    <row r="1374" spans="1:11" x14ac:dyDescent="0.25">
      <c r="A1374" t="s">
        <v>82</v>
      </c>
    </row>
    <row r="1375" spans="1:11" x14ac:dyDescent="0.25">
      <c r="A1375">
        <v>35.424211299259099</v>
      </c>
      <c r="B1375">
        <v>17.7655709790142</v>
      </c>
      <c r="C1375">
        <v>2000</v>
      </c>
    </row>
    <row r="1376" spans="1:11" x14ac:dyDescent="0.25">
      <c r="A1376">
        <v>17.658640320244899</v>
      </c>
      <c r="B1376">
        <v>0</v>
      </c>
      <c r="C1376">
        <v>2000</v>
      </c>
    </row>
    <row r="1377" spans="1:11" x14ac:dyDescent="0.25">
      <c r="A1377">
        <v>16.784608271347299</v>
      </c>
      <c r="B1377">
        <v>0</v>
      </c>
      <c r="C1377">
        <v>2001</v>
      </c>
    </row>
    <row r="1378" spans="1:11" x14ac:dyDescent="0.25">
      <c r="A1378">
        <v>34.788627369216201</v>
      </c>
      <c r="B1378">
        <v>18.004019097868898</v>
      </c>
      <c r="C1378">
        <v>2001</v>
      </c>
    </row>
    <row r="1379" spans="1:11" x14ac:dyDescent="0.25">
      <c r="A1379">
        <v>49.781491987775603</v>
      </c>
      <c r="B1379">
        <v>32.9968837164283</v>
      </c>
      <c r="C1379">
        <v>2001</v>
      </c>
    </row>
    <row r="1380" spans="1:11" x14ac:dyDescent="0.25">
      <c r="A1380">
        <v>60.7774314490579</v>
      </c>
      <c r="B1380">
        <v>43.992823177710697</v>
      </c>
      <c r="C1380">
        <v>2001</v>
      </c>
    </row>
    <row r="1381" spans="1:11" x14ac:dyDescent="0.25">
      <c r="A1381">
        <v>61.214447473506802</v>
      </c>
      <c r="B1381">
        <v>43.555807153261803</v>
      </c>
      <c r="C1381">
        <v>2000</v>
      </c>
    </row>
    <row r="1382" spans="1:11" x14ac:dyDescent="0.25">
      <c r="A1382">
        <v>50.218508012224397</v>
      </c>
      <c r="B1382">
        <v>32.559867691979498</v>
      </c>
      <c r="C1382">
        <v>2000</v>
      </c>
    </row>
    <row r="1383" spans="1:11" x14ac:dyDescent="0.25">
      <c r="A1383" t="s">
        <v>83</v>
      </c>
    </row>
    <row r="1384" spans="1:11" x14ac:dyDescent="0.25">
      <c r="A1384">
        <v>482</v>
      </c>
      <c r="B1384">
        <v>0</v>
      </c>
      <c r="C1384">
        <v>9.2157201861684701</v>
      </c>
      <c r="D1384">
        <v>52.4279038233283</v>
      </c>
      <c r="E1384">
        <v>10</v>
      </c>
      <c r="F1384">
        <v>1.5707963267949001</v>
      </c>
      <c r="G1384" t="s">
        <v>84</v>
      </c>
      <c r="H1384" t="s">
        <v>84</v>
      </c>
      <c r="I1384">
        <v>491</v>
      </c>
      <c r="J1384">
        <v>177</v>
      </c>
      <c r="K1384">
        <v>0</v>
      </c>
    </row>
    <row r="1385" spans="1:11" x14ac:dyDescent="0.25">
      <c r="A1385" t="s">
        <v>82</v>
      </c>
    </row>
    <row r="1386" spans="1:11" x14ac:dyDescent="0.25">
      <c r="A1386">
        <v>77.846370685308401</v>
      </c>
      <c r="B1386">
        <v>13.254231092638401</v>
      </c>
      <c r="C1386">
        <v>2000</v>
      </c>
    </row>
    <row r="1387" spans="1:11" x14ac:dyDescent="0.25">
      <c r="A1387">
        <v>71.329872448150894</v>
      </c>
      <c r="B1387">
        <v>6.7377328554809699</v>
      </c>
      <c r="C1387">
        <v>2000</v>
      </c>
    </row>
    <row r="1388" spans="1:11" x14ac:dyDescent="0.25">
      <c r="A1388">
        <v>71.329872448150894</v>
      </c>
      <c r="B1388">
        <v>6.7377328554809699</v>
      </c>
      <c r="C1388">
        <v>2001</v>
      </c>
    </row>
    <row r="1389" spans="1:11" x14ac:dyDescent="0.25">
      <c r="A1389">
        <v>77.846370685308401</v>
      </c>
      <c r="B1389">
        <v>13.254231092638401</v>
      </c>
      <c r="C1389">
        <v>2001</v>
      </c>
    </row>
    <row r="1390" spans="1:11" x14ac:dyDescent="0.25">
      <c r="A1390">
        <v>100</v>
      </c>
      <c r="B1390">
        <v>35.407860407329999</v>
      </c>
      <c r="C1390">
        <v>2001</v>
      </c>
    </row>
    <row r="1391" spans="1:11" x14ac:dyDescent="0.25">
      <c r="A1391">
        <v>114.59213959266999</v>
      </c>
      <c r="B1391">
        <v>50</v>
      </c>
      <c r="C1391">
        <v>2001</v>
      </c>
    </row>
    <row r="1392" spans="1:11" x14ac:dyDescent="0.25">
      <c r="A1392">
        <v>114.91849700218</v>
      </c>
      <c r="B1392">
        <v>50.326357409510003</v>
      </c>
      <c r="C1392">
        <v>2001</v>
      </c>
    </row>
    <row r="1393" spans="1:11" x14ac:dyDescent="0.25">
      <c r="A1393">
        <v>114.91849700218</v>
      </c>
      <c r="B1393">
        <v>50.326357409510003</v>
      </c>
      <c r="C1393">
        <v>2000</v>
      </c>
    </row>
    <row r="1394" spans="1:11" x14ac:dyDescent="0.25">
      <c r="A1394">
        <v>114.59213959266999</v>
      </c>
      <c r="B1394">
        <v>50</v>
      </c>
      <c r="C1394">
        <v>2000</v>
      </c>
    </row>
    <row r="1395" spans="1:11" x14ac:dyDescent="0.25">
      <c r="A1395">
        <v>100</v>
      </c>
      <c r="B1395">
        <v>35.407860407329999</v>
      </c>
      <c r="C1395">
        <v>2000</v>
      </c>
    </row>
    <row r="1396" spans="1:11" x14ac:dyDescent="0.25">
      <c r="A1396" t="s">
        <v>83</v>
      </c>
    </row>
    <row r="1397" spans="1:11" x14ac:dyDescent="0.25">
      <c r="A1397">
        <v>664</v>
      </c>
      <c r="B1397">
        <v>0</v>
      </c>
      <c r="C1397">
        <v>27.2488625830612</v>
      </c>
      <c r="D1397">
        <v>34.321005692741601</v>
      </c>
      <c r="E1397">
        <v>6</v>
      </c>
      <c r="F1397">
        <v>1.01722196789785</v>
      </c>
      <c r="G1397" t="s">
        <v>81</v>
      </c>
      <c r="H1397" t="s">
        <v>84</v>
      </c>
      <c r="I1397">
        <v>0</v>
      </c>
      <c r="J1397">
        <v>648</v>
      </c>
      <c r="K1397">
        <v>0</v>
      </c>
    </row>
    <row r="1398" spans="1:11" x14ac:dyDescent="0.25">
      <c r="A1398" t="s">
        <v>82</v>
      </c>
    </row>
    <row r="1399" spans="1:11" x14ac:dyDescent="0.25">
      <c r="A1399">
        <v>19.1711508257826</v>
      </c>
      <c r="B1399">
        <v>73.668961055664496</v>
      </c>
      <c r="C1399">
        <v>2000</v>
      </c>
    </row>
    <row r="1400" spans="1:11" x14ac:dyDescent="0.25">
      <c r="A1400">
        <v>0</v>
      </c>
      <c r="B1400">
        <v>54.497810229881999</v>
      </c>
      <c r="C1400">
        <v>2000</v>
      </c>
    </row>
    <row r="1401" spans="1:11" x14ac:dyDescent="0.25">
      <c r="A1401">
        <v>0</v>
      </c>
      <c r="B1401">
        <v>53.623778180984303</v>
      </c>
      <c r="C1401">
        <v>2001</v>
      </c>
    </row>
    <row r="1402" spans="1:11" x14ac:dyDescent="0.25">
      <c r="A1402">
        <v>19.364560198423401</v>
      </c>
      <c r="B1402">
        <v>72.988338379407693</v>
      </c>
      <c r="C1402">
        <v>2001</v>
      </c>
    </row>
    <row r="1403" spans="1:11" x14ac:dyDescent="0.25">
      <c r="A1403">
        <v>43.754979386807101</v>
      </c>
      <c r="B1403">
        <v>97.378757567791396</v>
      </c>
      <c r="C1403">
        <v>2001</v>
      </c>
    </row>
    <row r="1404" spans="1:11" x14ac:dyDescent="0.25">
      <c r="A1404">
        <v>43.317963362358299</v>
      </c>
      <c r="B1404">
        <v>97.815773592240205</v>
      </c>
      <c r="C1404">
        <v>2000</v>
      </c>
    </row>
    <row r="1405" spans="1:11" x14ac:dyDescent="0.25">
      <c r="A1405" t="s">
        <v>83</v>
      </c>
    </row>
    <row r="1406" spans="1:11" x14ac:dyDescent="0.25">
      <c r="A1406">
        <v>259</v>
      </c>
      <c r="B1406">
        <v>0</v>
      </c>
      <c r="C1406">
        <v>8.4116299509142003</v>
      </c>
      <c r="D1406">
        <v>53.038401681619</v>
      </c>
      <c r="E1406">
        <v>8</v>
      </c>
      <c r="F1406">
        <v>1.5707963267949001</v>
      </c>
      <c r="G1406" t="s">
        <v>84</v>
      </c>
      <c r="H1406" t="s">
        <v>81</v>
      </c>
      <c r="I1406">
        <v>483</v>
      </c>
      <c r="J1406">
        <v>0</v>
      </c>
      <c r="K1406">
        <v>0</v>
      </c>
    </row>
    <row r="1407" spans="1:11" x14ac:dyDescent="0.25">
      <c r="A1407" t="s">
        <v>82</v>
      </c>
    </row>
    <row r="1408" spans="1:11" x14ac:dyDescent="0.25">
      <c r="A1408">
        <v>112.49618650763099</v>
      </c>
      <c r="B1408">
        <v>18.483988588435601</v>
      </c>
      <c r="C1408">
        <v>2000</v>
      </c>
    </row>
    <row r="1409" spans="1:11" x14ac:dyDescent="0.25">
      <c r="A1409">
        <v>106.548265928508</v>
      </c>
      <c r="B1409">
        <v>12.5360680093123</v>
      </c>
      <c r="C1409">
        <v>2000</v>
      </c>
    </row>
    <row r="1410" spans="1:11" x14ac:dyDescent="0.25">
      <c r="A1410">
        <v>106.548265928508</v>
      </c>
      <c r="B1410">
        <v>12.5360680093123</v>
      </c>
      <c r="C1410">
        <v>2001</v>
      </c>
    </row>
    <row r="1411" spans="1:11" x14ac:dyDescent="0.25">
      <c r="A1411">
        <v>112.49618650763099</v>
      </c>
      <c r="B1411">
        <v>18.483988588435601</v>
      </c>
      <c r="C1411">
        <v>2001</v>
      </c>
    </row>
    <row r="1412" spans="1:11" x14ac:dyDescent="0.25">
      <c r="A1412">
        <v>144.01219791919601</v>
      </c>
      <c r="B1412">
        <v>50</v>
      </c>
      <c r="C1412">
        <v>2001</v>
      </c>
    </row>
    <row r="1413" spans="1:11" x14ac:dyDescent="0.25">
      <c r="A1413">
        <v>150</v>
      </c>
      <c r="B1413">
        <v>55.9878020808044</v>
      </c>
      <c r="C1413">
        <v>2001</v>
      </c>
    </row>
    <row r="1414" spans="1:11" x14ac:dyDescent="0.25">
      <c r="A1414">
        <v>150</v>
      </c>
      <c r="B1414">
        <v>55.9878020808044</v>
      </c>
      <c r="C1414">
        <v>2000</v>
      </c>
    </row>
    <row r="1415" spans="1:11" x14ac:dyDescent="0.25">
      <c r="A1415">
        <v>144.01219791919601</v>
      </c>
      <c r="B1415">
        <v>50</v>
      </c>
      <c r="C1415">
        <v>2000</v>
      </c>
    </row>
    <row r="1416" spans="1:11" x14ac:dyDescent="0.25">
      <c r="A1416" t="s">
        <v>83</v>
      </c>
    </row>
    <row r="1417" spans="1:11" x14ac:dyDescent="0.25">
      <c r="A1417">
        <v>35</v>
      </c>
      <c r="B1417">
        <v>0</v>
      </c>
      <c r="C1417">
        <v>34.451395381576901</v>
      </c>
      <c r="D1417">
        <v>26.680694040695201</v>
      </c>
      <c r="E1417">
        <v>8</v>
      </c>
      <c r="F1417">
        <v>1.01722196789785</v>
      </c>
      <c r="G1417" t="s">
        <v>81</v>
      </c>
      <c r="H1417" t="s">
        <v>84</v>
      </c>
      <c r="I1417">
        <v>0</v>
      </c>
      <c r="J1417">
        <v>94</v>
      </c>
      <c r="K1417">
        <v>0</v>
      </c>
    </row>
    <row r="1418" spans="1:11" x14ac:dyDescent="0.25">
      <c r="A1418" t="s">
        <v>82</v>
      </c>
    </row>
    <row r="1419" spans="1:11" x14ac:dyDescent="0.25">
      <c r="A1419">
        <v>31.997621071683799</v>
      </c>
      <c r="B1419">
        <v>24.487395181698599</v>
      </c>
      <c r="C1419">
        <v>2000</v>
      </c>
    </row>
    <row r="1420" spans="1:11" x14ac:dyDescent="0.25">
      <c r="A1420">
        <v>7.5102258899851604</v>
      </c>
      <c r="B1420">
        <v>0</v>
      </c>
      <c r="C1420">
        <v>2000</v>
      </c>
    </row>
    <row r="1421" spans="1:11" x14ac:dyDescent="0.25">
      <c r="A1421">
        <v>8.3842579388828096</v>
      </c>
      <c r="B1421">
        <v>0</v>
      </c>
      <c r="C1421">
        <v>2001</v>
      </c>
    </row>
    <row r="1422" spans="1:11" x14ac:dyDescent="0.25">
      <c r="A1422">
        <v>32.618493348488101</v>
      </c>
      <c r="B1422">
        <v>24.234235409605301</v>
      </c>
      <c r="C1422">
        <v>2001</v>
      </c>
    </row>
    <row r="1423" spans="1:11" x14ac:dyDescent="0.25">
      <c r="A1423">
        <v>50.218508012224397</v>
      </c>
      <c r="B1423">
        <v>41.8342500733416</v>
      </c>
      <c r="C1423">
        <v>2001</v>
      </c>
    </row>
    <row r="1424" spans="1:11" x14ac:dyDescent="0.25">
      <c r="A1424">
        <v>51.392664905249497</v>
      </c>
      <c r="B1424">
        <v>43.0084069663666</v>
      </c>
      <c r="C1424">
        <v>2001</v>
      </c>
    </row>
    <row r="1425" spans="1:11" x14ac:dyDescent="0.25">
      <c r="A1425">
        <v>50.955648880800602</v>
      </c>
      <c r="B1425">
        <v>43.445422990815501</v>
      </c>
      <c r="C1425">
        <v>2000</v>
      </c>
    </row>
    <row r="1426" spans="1:11" x14ac:dyDescent="0.25">
      <c r="A1426">
        <v>49.781491987775603</v>
      </c>
      <c r="B1426">
        <v>42.271266097790402</v>
      </c>
      <c r="C1426">
        <v>2000</v>
      </c>
    </row>
    <row r="1427" spans="1:11" x14ac:dyDescent="0.25">
      <c r="A1427" t="s">
        <v>83</v>
      </c>
    </row>
    <row r="1428" spans="1:11" x14ac:dyDescent="0.25">
      <c r="A1428">
        <v>666</v>
      </c>
      <c r="B1428">
        <v>0</v>
      </c>
      <c r="C1428">
        <v>10.2056679492405</v>
      </c>
      <c r="D1428">
        <v>50.080038387225599</v>
      </c>
      <c r="E1428">
        <v>8</v>
      </c>
      <c r="F1428">
        <v>1.01722196789785</v>
      </c>
      <c r="G1428" t="s">
        <v>81</v>
      </c>
      <c r="H1428" t="s">
        <v>84</v>
      </c>
      <c r="I1428">
        <v>0</v>
      </c>
      <c r="J1428">
        <v>348</v>
      </c>
      <c r="K1428">
        <v>0</v>
      </c>
    </row>
    <row r="1429" spans="1:11" x14ac:dyDescent="0.25">
      <c r="A1429" t="s">
        <v>82</v>
      </c>
    </row>
    <row r="1430" spans="1:11" x14ac:dyDescent="0.25">
      <c r="A1430">
        <v>7.4253607066711398</v>
      </c>
      <c r="B1430">
        <v>99.438624607450606</v>
      </c>
      <c r="C1430">
        <v>2000</v>
      </c>
    </row>
    <row r="1431" spans="1:11" x14ac:dyDescent="0.25">
      <c r="A1431">
        <v>0</v>
      </c>
      <c r="B1431">
        <v>92.013263900779407</v>
      </c>
      <c r="C1431">
        <v>2000</v>
      </c>
    </row>
    <row r="1432" spans="1:11" x14ac:dyDescent="0.25">
      <c r="A1432">
        <v>0</v>
      </c>
      <c r="B1432">
        <v>92.887295949677096</v>
      </c>
      <c r="C1432">
        <v>2001</v>
      </c>
    </row>
    <row r="1433" spans="1:11" x14ac:dyDescent="0.25">
      <c r="A1433">
        <v>7.0076333202212</v>
      </c>
      <c r="B1433">
        <v>99.894929269898299</v>
      </c>
      <c r="C1433">
        <v>2001</v>
      </c>
    </row>
    <row r="1434" spans="1:11" x14ac:dyDescent="0.25">
      <c r="A1434">
        <v>7.3312120625473396</v>
      </c>
      <c r="B1434">
        <v>100.21850801222401</v>
      </c>
      <c r="C1434">
        <v>2001</v>
      </c>
    </row>
    <row r="1435" spans="1:11" x14ac:dyDescent="0.25">
      <c r="A1435">
        <v>42.409923746911602</v>
      </c>
      <c r="B1435">
        <v>135.297219696589</v>
      </c>
      <c r="C1435">
        <v>2001</v>
      </c>
    </row>
    <row r="1436" spans="1:11" x14ac:dyDescent="0.25">
      <c r="A1436">
        <v>42.846939771360397</v>
      </c>
      <c r="B1436">
        <v>134.86020367213999</v>
      </c>
      <c r="C1436">
        <v>2000</v>
      </c>
    </row>
    <row r="1437" spans="1:11" x14ac:dyDescent="0.25">
      <c r="A1437">
        <v>7.7682280869961602</v>
      </c>
      <c r="B1437">
        <v>99.781491987775595</v>
      </c>
      <c r="C1437">
        <v>2000</v>
      </c>
    </row>
    <row r="1438" spans="1:11" x14ac:dyDescent="0.25">
      <c r="A1438" t="s">
        <v>83</v>
      </c>
    </row>
    <row r="1439" spans="1:11" x14ac:dyDescent="0.25">
      <c r="A1439">
        <v>581</v>
      </c>
      <c r="B1439">
        <v>0</v>
      </c>
      <c r="C1439">
        <v>53.501350864757399</v>
      </c>
      <c r="D1439">
        <v>5.8976816791705602</v>
      </c>
      <c r="E1439">
        <v>8</v>
      </c>
      <c r="F1439">
        <v>1.01722196789785</v>
      </c>
      <c r="G1439" t="s">
        <v>81</v>
      </c>
      <c r="H1439" t="s">
        <v>84</v>
      </c>
      <c r="I1439">
        <v>0</v>
      </c>
      <c r="J1439">
        <v>342</v>
      </c>
      <c r="K1439">
        <v>0</v>
      </c>
    </row>
    <row r="1440" spans="1:11" x14ac:dyDescent="0.25">
      <c r="A1440" t="s">
        <v>82</v>
      </c>
    </row>
    <row r="1441" spans="1:11" x14ac:dyDescent="0.25">
      <c r="A1441">
        <v>38.0284022225771</v>
      </c>
      <c r="B1441">
        <v>131.29561222616499</v>
      </c>
      <c r="C1441">
        <v>2000</v>
      </c>
    </row>
    <row r="1442" spans="1:11" x14ac:dyDescent="0.25">
      <c r="A1442">
        <v>6.3321375612680297</v>
      </c>
      <c r="B1442">
        <v>99.599347564855606</v>
      </c>
      <c r="C1442">
        <v>2000</v>
      </c>
    </row>
    <row r="1443" spans="1:11" x14ac:dyDescent="0.25">
      <c r="A1443">
        <v>0</v>
      </c>
      <c r="B1443">
        <v>93.267210003587607</v>
      </c>
      <c r="C1443">
        <v>2000</v>
      </c>
    </row>
    <row r="1444" spans="1:11" x14ac:dyDescent="0.25">
      <c r="A1444">
        <v>0</v>
      </c>
      <c r="B1444">
        <v>94.141242052485197</v>
      </c>
      <c r="C1444">
        <v>2001</v>
      </c>
    </row>
    <row r="1445" spans="1:11" x14ac:dyDescent="0.25">
      <c r="A1445">
        <v>6.2594103826590999</v>
      </c>
      <c r="B1445">
        <v>100.400652435144</v>
      </c>
      <c r="C1445">
        <v>2001</v>
      </c>
    </row>
    <row r="1446" spans="1:11" x14ac:dyDescent="0.25">
      <c r="A1446">
        <v>37.633933775644401</v>
      </c>
      <c r="B1446">
        <v>131.77517582812999</v>
      </c>
      <c r="C1446">
        <v>2001</v>
      </c>
    </row>
    <row r="1447" spans="1:11" x14ac:dyDescent="0.25">
      <c r="A1447">
        <v>41.782950695507502</v>
      </c>
      <c r="B1447">
        <v>135.924192747993</v>
      </c>
      <c r="C1447">
        <v>2001</v>
      </c>
    </row>
    <row r="1448" spans="1:11" x14ac:dyDescent="0.25">
      <c r="A1448">
        <v>42.219966719956297</v>
      </c>
      <c r="B1448">
        <v>135.487176723544</v>
      </c>
      <c r="C1448">
        <v>2000</v>
      </c>
    </row>
    <row r="1449" spans="1:11" x14ac:dyDescent="0.25">
      <c r="A1449" t="s">
        <v>83</v>
      </c>
    </row>
    <row r="1450" spans="1:11" x14ac:dyDescent="0.25">
      <c r="A1450">
        <v>679</v>
      </c>
      <c r="B1450">
        <v>0</v>
      </c>
      <c r="C1450">
        <v>53.361458296349497</v>
      </c>
      <c r="D1450">
        <v>5.8681375942353498</v>
      </c>
      <c r="E1450">
        <v>8</v>
      </c>
      <c r="F1450">
        <v>1.01722196789785</v>
      </c>
      <c r="G1450" t="s">
        <v>81</v>
      </c>
      <c r="H1450" t="s">
        <v>84</v>
      </c>
      <c r="I1450">
        <v>0</v>
      </c>
      <c r="J1450">
        <v>338</v>
      </c>
      <c r="K1450">
        <v>0</v>
      </c>
    </row>
    <row r="1451" spans="1:11" x14ac:dyDescent="0.25">
      <c r="A1451" t="s">
        <v>82</v>
      </c>
    </row>
    <row r="1452" spans="1:11" x14ac:dyDescent="0.25">
      <c r="A1452">
        <v>37.519424262727902</v>
      </c>
      <c r="B1452">
        <v>99.216591526875504</v>
      </c>
      <c r="C1452">
        <v>2000</v>
      </c>
    </row>
    <row r="1453" spans="1:11" x14ac:dyDescent="0.25">
      <c r="A1453">
        <v>0</v>
      </c>
      <c r="B1453">
        <v>61.697167264147701</v>
      </c>
      <c r="C1453">
        <v>2000</v>
      </c>
    </row>
    <row r="1454" spans="1:11" x14ac:dyDescent="0.25">
      <c r="A1454">
        <v>0</v>
      </c>
      <c r="B1454">
        <v>60.823135215249998</v>
      </c>
      <c r="C1454">
        <v>2001</v>
      </c>
    </row>
    <row r="1455" spans="1:11" x14ac:dyDescent="0.25">
      <c r="A1455">
        <v>37.945073767975799</v>
      </c>
      <c r="B1455">
        <v>98.768208983225804</v>
      </c>
      <c r="C1455">
        <v>2001</v>
      </c>
    </row>
    <row r="1456" spans="1:11" x14ac:dyDescent="0.25">
      <c r="A1456">
        <v>38.958356772525597</v>
      </c>
      <c r="B1456">
        <v>99.781491987775595</v>
      </c>
      <c r="C1456">
        <v>2001</v>
      </c>
    </row>
    <row r="1457" spans="1:11" x14ac:dyDescent="0.25">
      <c r="A1457">
        <v>42.1001569133958</v>
      </c>
      <c r="B1457">
        <v>102.923292128646</v>
      </c>
      <c r="C1457">
        <v>2001</v>
      </c>
    </row>
    <row r="1458" spans="1:11" x14ac:dyDescent="0.25">
      <c r="A1458">
        <v>41.663140888946998</v>
      </c>
      <c r="B1458">
        <v>103.360308153095</v>
      </c>
      <c r="C1458">
        <v>2000</v>
      </c>
    </row>
    <row r="1459" spans="1:11" x14ac:dyDescent="0.25">
      <c r="A1459">
        <v>38.521340748076803</v>
      </c>
      <c r="B1459">
        <v>100.21850801222401</v>
      </c>
      <c r="C1459">
        <v>2000</v>
      </c>
    </row>
    <row r="1460" spans="1:11" x14ac:dyDescent="0.25">
      <c r="A1460" t="s">
        <v>83</v>
      </c>
    </row>
    <row r="1461" spans="1:11" x14ac:dyDescent="0.25">
      <c r="A1461">
        <v>278</v>
      </c>
      <c r="B1461">
        <v>0</v>
      </c>
      <c r="C1461">
        <v>15.0561468039446</v>
      </c>
      <c r="D1461">
        <v>43.867004076254801</v>
      </c>
      <c r="E1461">
        <v>6</v>
      </c>
      <c r="F1461">
        <v>1.01722196789785</v>
      </c>
      <c r="G1461" t="s">
        <v>81</v>
      </c>
      <c r="H1461" t="s">
        <v>81</v>
      </c>
      <c r="I1461">
        <v>0</v>
      </c>
      <c r="J1461">
        <v>0</v>
      </c>
      <c r="K1461">
        <v>0</v>
      </c>
    </row>
    <row r="1462" spans="1:11" x14ac:dyDescent="0.25">
      <c r="A1462" t="s">
        <v>82</v>
      </c>
    </row>
    <row r="1463" spans="1:11" x14ac:dyDescent="0.25">
      <c r="A1463">
        <v>119.30669287114399</v>
      </c>
      <c r="B1463">
        <v>10.5346364029624</v>
      </c>
      <c r="C1463">
        <v>2000</v>
      </c>
    </row>
    <row r="1464" spans="1:11" x14ac:dyDescent="0.25">
      <c r="A1464">
        <v>108.772056468182</v>
      </c>
      <c r="B1464">
        <v>0</v>
      </c>
      <c r="C1464">
        <v>2000</v>
      </c>
    </row>
    <row r="1465" spans="1:11" x14ac:dyDescent="0.25">
      <c r="A1465">
        <v>107.898024419284</v>
      </c>
      <c r="B1465">
        <v>0</v>
      </c>
      <c r="C1465">
        <v>2001</v>
      </c>
    </row>
    <row r="1466" spans="1:11" x14ac:dyDescent="0.25">
      <c r="A1466">
        <v>118.65599502354</v>
      </c>
      <c r="B1466">
        <v>10.7579706042564</v>
      </c>
      <c r="C1466">
        <v>2001</v>
      </c>
    </row>
    <row r="1467" spans="1:11" x14ac:dyDescent="0.25">
      <c r="A1467">
        <v>150</v>
      </c>
      <c r="B1467">
        <v>42.101975580715902</v>
      </c>
      <c r="C1467">
        <v>2001</v>
      </c>
    </row>
    <row r="1468" spans="1:11" x14ac:dyDescent="0.25">
      <c r="A1468">
        <v>150</v>
      </c>
      <c r="B1468">
        <v>41.227943531818298</v>
      </c>
      <c r="C1468">
        <v>2000</v>
      </c>
    </row>
    <row r="1469" spans="1:11" x14ac:dyDescent="0.25">
      <c r="A1469" t="s">
        <v>83</v>
      </c>
    </row>
    <row r="1470" spans="1:11" x14ac:dyDescent="0.25">
      <c r="A1470">
        <v>743</v>
      </c>
      <c r="B1470">
        <v>0</v>
      </c>
      <c r="C1470">
        <v>2.08131330666335</v>
      </c>
      <c r="D1470">
        <v>55.949674830331901</v>
      </c>
      <c r="E1470">
        <v>8</v>
      </c>
      <c r="F1470">
        <v>1.01722196789785</v>
      </c>
      <c r="G1470" t="s">
        <v>81</v>
      </c>
      <c r="H1470" t="s">
        <v>84</v>
      </c>
      <c r="I1470">
        <v>0</v>
      </c>
      <c r="J1470">
        <v>354</v>
      </c>
      <c r="K1470">
        <v>0.13295790203782501</v>
      </c>
    </row>
    <row r="1471" spans="1:11" x14ac:dyDescent="0.25">
      <c r="A1471" t="s">
        <v>82</v>
      </c>
    </row>
    <row r="1472" spans="1:11" x14ac:dyDescent="0.25">
      <c r="A1472">
        <v>1.4541795674094899</v>
      </c>
      <c r="B1472">
        <v>33.547850181507897</v>
      </c>
      <c r="C1472">
        <v>2000</v>
      </c>
    </row>
    <row r="1473" spans="1:11" x14ac:dyDescent="0.25">
      <c r="A1473">
        <v>0</v>
      </c>
      <c r="B1473">
        <v>32.0936706140984</v>
      </c>
      <c r="C1473">
        <v>2000</v>
      </c>
    </row>
    <row r="1474" spans="1:11" x14ac:dyDescent="0.25">
      <c r="A1474">
        <v>0</v>
      </c>
      <c r="B1474">
        <v>31.2196385652008</v>
      </c>
      <c r="C1474">
        <v>2001</v>
      </c>
    </row>
    <row r="1475" spans="1:11" x14ac:dyDescent="0.25">
      <c r="A1475">
        <v>1.4892419384214199</v>
      </c>
      <c r="B1475">
        <v>32.708880503622197</v>
      </c>
      <c r="C1475">
        <v>2001</v>
      </c>
    </row>
    <row r="1476" spans="1:11" x14ac:dyDescent="0.25">
      <c r="A1476">
        <v>18.561853422574799</v>
      </c>
      <c r="B1476">
        <v>49.781491987775603</v>
      </c>
      <c r="C1476">
        <v>2001</v>
      </c>
    </row>
    <row r="1477" spans="1:11" x14ac:dyDescent="0.25">
      <c r="A1477">
        <v>41.252613242849897</v>
      </c>
      <c r="B1477">
        <v>72.4722518080507</v>
      </c>
      <c r="C1477">
        <v>2001</v>
      </c>
    </row>
    <row r="1478" spans="1:11" x14ac:dyDescent="0.25">
      <c r="A1478">
        <v>40.815597218401102</v>
      </c>
      <c r="B1478">
        <v>72.909267832499495</v>
      </c>
      <c r="C1478">
        <v>2000</v>
      </c>
    </row>
    <row r="1479" spans="1:11" x14ac:dyDescent="0.25">
      <c r="A1479">
        <v>18.124837398126001</v>
      </c>
      <c r="B1479">
        <v>50.218508012224397</v>
      </c>
      <c r="C1479">
        <v>2000</v>
      </c>
    </row>
    <row r="1480" spans="1:11" x14ac:dyDescent="0.25">
      <c r="A1480" t="s">
        <v>83</v>
      </c>
    </row>
    <row r="1481" spans="1:11" x14ac:dyDescent="0.25">
      <c r="A1481">
        <v>97</v>
      </c>
      <c r="B1481">
        <v>0</v>
      </c>
      <c r="C1481">
        <v>18.2662524591505</v>
      </c>
      <c r="D1481">
        <v>37.770988810940501</v>
      </c>
      <c r="E1481">
        <v>6</v>
      </c>
      <c r="F1481">
        <v>1.5707963267949001</v>
      </c>
      <c r="G1481" t="s">
        <v>84</v>
      </c>
      <c r="H1481" t="s">
        <v>84</v>
      </c>
      <c r="I1481">
        <v>113</v>
      </c>
      <c r="J1481">
        <v>420</v>
      </c>
      <c r="K1481">
        <v>0</v>
      </c>
    </row>
    <row r="1482" spans="1:11" x14ac:dyDescent="0.25">
      <c r="A1482" t="s">
        <v>82</v>
      </c>
    </row>
    <row r="1483" spans="1:11" x14ac:dyDescent="0.25">
      <c r="A1483">
        <v>72.898072422434595</v>
      </c>
      <c r="B1483">
        <v>72.214992971725295</v>
      </c>
      <c r="C1483">
        <v>2000</v>
      </c>
    </row>
    <row r="1484" spans="1:11" x14ac:dyDescent="0.25">
      <c r="A1484">
        <v>59.981881441703898</v>
      </c>
      <c r="B1484">
        <v>59.298801990994598</v>
      </c>
      <c r="C1484">
        <v>2000</v>
      </c>
    </row>
    <row r="1485" spans="1:11" x14ac:dyDescent="0.25">
      <c r="A1485">
        <v>59.981881441703898</v>
      </c>
      <c r="B1485">
        <v>59.298801990994598</v>
      </c>
      <c r="C1485">
        <v>2001</v>
      </c>
    </row>
    <row r="1486" spans="1:11" x14ac:dyDescent="0.25">
      <c r="A1486">
        <v>72.898072422434595</v>
      </c>
      <c r="B1486">
        <v>72.214992971725295</v>
      </c>
      <c r="C1486">
        <v>2001</v>
      </c>
    </row>
    <row r="1487" spans="1:11" x14ac:dyDescent="0.25">
      <c r="A1487">
        <v>99.606194742771905</v>
      </c>
      <c r="B1487">
        <v>98.923115292062604</v>
      </c>
      <c r="C1487">
        <v>2001</v>
      </c>
    </row>
    <row r="1488" spans="1:11" x14ac:dyDescent="0.25">
      <c r="A1488">
        <v>99.606194742771905</v>
      </c>
      <c r="B1488">
        <v>98.923115292062604</v>
      </c>
      <c r="C1488">
        <v>2000</v>
      </c>
    </row>
    <row r="1489" spans="1:11" x14ac:dyDescent="0.25">
      <c r="A1489" t="s">
        <v>83</v>
      </c>
    </row>
    <row r="1490" spans="1:11" x14ac:dyDescent="0.25">
      <c r="A1490">
        <v>494</v>
      </c>
      <c r="B1490">
        <v>0</v>
      </c>
      <c r="C1490">
        <v>56.027139617058403</v>
      </c>
      <c r="D1490">
        <v>0</v>
      </c>
      <c r="E1490">
        <v>7</v>
      </c>
      <c r="F1490">
        <v>1.5707963267949001</v>
      </c>
      <c r="G1490" t="s">
        <v>81</v>
      </c>
      <c r="H1490" t="s">
        <v>84</v>
      </c>
      <c r="I1490">
        <v>0</v>
      </c>
      <c r="J1490">
        <v>493</v>
      </c>
      <c r="K1490">
        <v>0</v>
      </c>
    </row>
    <row r="1491" spans="1:11" x14ac:dyDescent="0.25">
      <c r="A1491" t="s">
        <v>82</v>
      </c>
    </row>
    <row r="1492" spans="1:11" x14ac:dyDescent="0.25">
      <c r="A1492">
        <v>67.654159405573395</v>
      </c>
      <c r="B1492">
        <v>39.6171703537075</v>
      </c>
      <c r="C1492">
        <v>2000</v>
      </c>
    </row>
    <row r="1493" spans="1:11" x14ac:dyDescent="0.25">
      <c r="A1493">
        <v>50</v>
      </c>
      <c r="B1493">
        <v>21.963010948134102</v>
      </c>
      <c r="C1493">
        <v>2000</v>
      </c>
    </row>
    <row r="1494" spans="1:11" x14ac:dyDescent="0.25">
      <c r="A1494">
        <v>28.036989051865898</v>
      </c>
      <c r="B1494">
        <v>0</v>
      </c>
      <c r="C1494">
        <v>2000</v>
      </c>
    </row>
    <row r="1495" spans="1:11" x14ac:dyDescent="0.25">
      <c r="A1495">
        <v>28.036989051865799</v>
      </c>
      <c r="B1495">
        <v>0</v>
      </c>
      <c r="C1495">
        <v>2001</v>
      </c>
    </row>
    <row r="1496" spans="1:11" x14ac:dyDescent="0.25">
      <c r="A1496">
        <v>50</v>
      </c>
      <c r="B1496">
        <v>21.963010948134102</v>
      </c>
      <c r="C1496">
        <v>2001</v>
      </c>
    </row>
    <row r="1497" spans="1:11" x14ac:dyDescent="0.25">
      <c r="A1497">
        <v>67.654159405573395</v>
      </c>
      <c r="B1497">
        <v>39.6171703537075</v>
      </c>
      <c r="C1497">
        <v>2001</v>
      </c>
    </row>
    <row r="1498" spans="1:11" x14ac:dyDescent="0.25">
      <c r="A1498">
        <v>67.654159405573395</v>
      </c>
      <c r="B1498">
        <v>39.6171703537075</v>
      </c>
      <c r="C1498">
        <v>2000</v>
      </c>
    </row>
    <row r="1499" spans="1:11" x14ac:dyDescent="0.25">
      <c r="A1499" t="s">
        <v>83</v>
      </c>
    </row>
    <row r="1500" spans="1:11" x14ac:dyDescent="0.25">
      <c r="A1500">
        <v>26</v>
      </c>
      <c r="B1500">
        <v>0</v>
      </c>
      <c r="C1500">
        <v>29.983614027433099</v>
      </c>
      <c r="D1500">
        <v>25.989651120340799</v>
      </c>
      <c r="E1500">
        <v>6</v>
      </c>
      <c r="F1500">
        <v>1.01722196789785</v>
      </c>
      <c r="G1500" t="s">
        <v>81</v>
      </c>
      <c r="H1500" t="s">
        <v>84</v>
      </c>
      <c r="I1500">
        <v>0</v>
      </c>
      <c r="J1500">
        <v>104</v>
      </c>
      <c r="K1500">
        <v>0</v>
      </c>
    </row>
    <row r="1501" spans="1:11" x14ac:dyDescent="0.25">
      <c r="A1501" t="s">
        <v>82</v>
      </c>
    </row>
    <row r="1502" spans="1:11" x14ac:dyDescent="0.25">
      <c r="A1502">
        <v>22.367342312937101</v>
      </c>
      <c r="B1502">
        <v>21.0845669959613</v>
      </c>
      <c r="C1502">
        <v>2000</v>
      </c>
    </row>
    <row r="1503" spans="1:11" x14ac:dyDescent="0.25">
      <c r="A1503">
        <v>1.2827753169757801</v>
      </c>
      <c r="B1503">
        <v>0</v>
      </c>
      <c r="C1503">
        <v>2000</v>
      </c>
    </row>
    <row r="1504" spans="1:11" x14ac:dyDescent="0.25">
      <c r="A1504">
        <v>0.40874326807813999</v>
      </c>
      <c r="B1504">
        <v>0</v>
      </c>
      <c r="C1504">
        <v>2001</v>
      </c>
    </row>
    <row r="1505" spans="1:11" x14ac:dyDescent="0.25">
      <c r="A1505">
        <v>21.727409878673001</v>
      </c>
      <c r="B1505">
        <v>21.3186666105948</v>
      </c>
      <c r="C1505">
        <v>2001</v>
      </c>
    </row>
    <row r="1506" spans="1:11" x14ac:dyDescent="0.25">
      <c r="A1506">
        <v>40.206326631446203</v>
      </c>
      <c r="B1506">
        <v>39.797583363367998</v>
      </c>
      <c r="C1506">
        <v>2001</v>
      </c>
    </row>
    <row r="1507" spans="1:11" x14ac:dyDescent="0.25">
      <c r="A1507">
        <v>40.643342655894998</v>
      </c>
      <c r="B1507">
        <v>39.360567338919203</v>
      </c>
      <c r="C1507">
        <v>2000</v>
      </c>
    </row>
    <row r="1508" spans="1:11" x14ac:dyDescent="0.25">
      <c r="A1508" t="s">
        <v>83</v>
      </c>
    </row>
    <row r="1509" spans="1:11" x14ac:dyDescent="0.25">
      <c r="A1509">
        <v>561</v>
      </c>
      <c r="B1509">
        <v>0</v>
      </c>
      <c r="C1509">
        <v>29.550276759091101</v>
      </c>
      <c r="D1509">
        <v>26.397430603263</v>
      </c>
      <c r="E1509">
        <v>8</v>
      </c>
      <c r="F1509">
        <v>1.5707963267949001</v>
      </c>
      <c r="G1509" t="s">
        <v>81</v>
      </c>
      <c r="H1509" t="s">
        <v>84</v>
      </c>
      <c r="I1509">
        <v>0</v>
      </c>
      <c r="J1509">
        <v>578</v>
      </c>
      <c r="K1509">
        <v>0</v>
      </c>
    </row>
    <row r="1510" spans="1:11" x14ac:dyDescent="0.25">
      <c r="A1510" t="s">
        <v>82</v>
      </c>
    </row>
    <row r="1511" spans="1:11" x14ac:dyDescent="0.25">
      <c r="A1511">
        <v>20.895201082292601</v>
      </c>
      <c r="B1511">
        <v>103.462219740479</v>
      </c>
      <c r="C1511">
        <v>2000</v>
      </c>
    </row>
    <row r="1512" spans="1:11" x14ac:dyDescent="0.25">
      <c r="A1512">
        <v>17.4329813418132</v>
      </c>
      <c r="B1512">
        <v>100</v>
      </c>
      <c r="C1512">
        <v>2000</v>
      </c>
    </row>
    <row r="1513" spans="1:11" x14ac:dyDescent="0.25">
      <c r="A1513">
        <v>0</v>
      </c>
      <c r="B1513">
        <v>82.567018658186797</v>
      </c>
      <c r="C1513">
        <v>2000</v>
      </c>
    </row>
    <row r="1514" spans="1:11" x14ac:dyDescent="0.25">
      <c r="A1514">
        <v>0</v>
      </c>
      <c r="B1514">
        <v>82.567018658186797</v>
      </c>
      <c r="C1514">
        <v>2001</v>
      </c>
    </row>
    <row r="1515" spans="1:11" x14ac:dyDescent="0.25">
      <c r="A1515">
        <v>17.4329813418132</v>
      </c>
      <c r="B1515">
        <v>100</v>
      </c>
      <c r="C1515">
        <v>2001</v>
      </c>
    </row>
    <row r="1516" spans="1:11" x14ac:dyDescent="0.25">
      <c r="A1516">
        <v>20.895201082292601</v>
      </c>
      <c r="B1516">
        <v>103.462219740479</v>
      </c>
      <c r="C1516">
        <v>2001</v>
      </c>
    </row>
    <row r="1517" spans="1:11" x14ac:dyDescent="0.25">
      <c r="A1517">
        <v>39.561003267761102</v>
      </c>
      <c r="B1517">
        <v>122.128021925948</v>
      </c>
      <c r="C1517">
        <v>2001</v>
      </c>
    </row>
    <row r="1518" spans="1:11" x14ac:dyDescent="0.25">
      <c r="A1518">
        <v>39.561003267761102</v>
      </c>
      <c r="B1518">
        <v>122.128021925948</v>
      </c>
      <c r="C1518">
        <v>2000</v>
      </c>
    </row>
    <row r="1519" spans="1:11" x14ac:dyDescent="0.25">
      <c r="A1519" t="s">
        <v>83</v>
      </c>
    </row>
    <row r="1520" spans="1:11" x14ac:dyDescent="0.25">
      <c r="A1520">
        <v>435</v>
      </c>
      <c r="B1520">
        <v>0</v>
      </c>
      <c r="C1520">
        <v>39.737503753954002</v>
      </c>
      <c r="D1520">
        <v>15.6512895445717</v>
      </c>
      <c r="E1520">
        <v>8</v>
      </c>
      <c r="F1520">
        <v>1.01722196789785</v>
      </c>
      <c r="G1520" t="s">
        <v>84</v>
      </c>
      <c r="H1520" t="s">
        <v>81</v>
      </c>
      <c r="I1520">
        <v>672</v>
      </c>
      <c r="J1520">
        <v>0</v>
      </c>
      <c r="K1520">
        <v>0</v>
      </c>
    </row>
    <row r="1521" spans="1:11" x14ac:dyDescent="0.25">
      <c r="A1521" t="s">
        <v>82</v>
      </c>
    </row>
    <row r="1522" spans="1:11" x14ac:dyDescent="0.25">
      <c r="A1522">
        <v>113.08167601928299</v>
      </c>
      <c r="B1522">
        <v>138.83131651655401</v>
      </c>
      <c r="C1522">
        <v>2000</v>
      </c>
    </row>
    <row r="1523" spans="1:11" x14ac:dyDescent="0.25">
      <c r="A1523">
        <v>100.21850801222401</v>
      </c>
      <c r="B1523">
        <v>125.968148509496</v>
      </c>
      <c r="C1523">
        <v>2000</v>
      </c>
    </row>
    <row r="1524" spans="1:11" x14ac:dyDescent="0.25">
      <c r="A1524">
        <v>84.8660601473767</v>
      </c>
      <c r="B1524">
        <v>110.615700644648</v>
      </c>
      <c r="C1524">
        <v>2000</v>
      </c>
    </row>
    <row r="1525" spans="1:11" x14ac:dyDescent="0.25">
      <c r="A1525">
        <v>84.429044122927806</v>
      </c>
      <c r="B1525">
        <v>111.05271666909699</v>
      </c>
      <c r="C1525">
        <v>2001</v>
      </c>
    </row>
    <row r="1526" spans="1:11" x14ac:dyDescent="0.25">
      <c r="A1526">
        <v>99.781491987775595</v>
      </c>
      <c r="B1526">
        <v>126.405164533945</v>
      </c>
      <c r="C1526">
        <v>2001</v>
      </c>
    </row>
    <row r="1527" spans="1:11" x14ac:dyDescent="0.25">
      <c r="A1527">
        <v>112.410744994715</v>
      </c>
      <c r="B1527">
        <v>139.03441754088399</v>
      </c>
      <c r="C1527">
        <v>2001</v>
      </c>
    </row>
    <row r="1528" spans="1:11" x14ac:dyDescent="0.25">
      <c r="A1528">
        <v>123.376327453831</v>
      </c>
      <c r="B1528">
        <v>150</v>
      </c>
      <c r="C1528">
        <v>2001</v>
      </c>
    </row>
    <row r="1529" spans="1:11" x14ac:dyDescent="0.25">
      <c r="A1529">
        <v>124.250359502729</v>
      </c>
      <c r="B1529">
        <v>150</v>
      </c>
      <c r="C1529">
        <v>2000</v>
      </c>
    </row>
    <row r="1530" spans="1:11" x14ac:dyDescent="0.25">
      <c r="A1530" t="s">
        <v>83</v>
      </c>
    </row>
    <row r="1531" spans="1:11" x14ac:dyDescent="0.25">
      <c r="A1531">
        <v>200</v>
      </c>
      <c r="B1531">
        <v>0</v>
      </c>
      <c r="C1531">
        <v>7.83318281023179</v>
      </c>
      <c r="D1531">
        <v>46.980104454235402</v>
      </c>
      <c r="E1531">
        <v>8</v>
      </c>
      <c r="F1531">
        <v>1.01722196789785</v>
      </c>
      <c r="G1531" t="s">
        <v>84</v>
      </c>
      <c r="H1531" t="s">
        <v>81</v>
      </c>
      <c r="I1531">
        <v>737</v>
      </c>
      <c r="J1531">
        <v>0</v>
      </c>
      <c r="K1531">
        <v>0</v>
      </c>
    </row>
    <row r="1532" spans="1:11" x14ac:dyDescent="0.25">
      <c r="A1532" t="s">
        <v>82</v>
      </c>
    </row>
    <row r="1533" spans="1:11" x14ac:dyDescent="0.25">
      <c r="A1533">
        <v>116.57898464579699</v>
      </c>
      <c r="B1533">
        <v>95.148145813421806</v>
      </c>
      <c r="C1533">
        <v>2000</v>
      </c>
    </row>
    <row r="1534" spans="1:11" x14ac:dyDescent="0.25">
      <c r="A1534">
        <v>111.022644863945</v>
      </c>
      <c r="B1534">
        <v>89.591806031569007</v>
      </c>
      <c r="C1534">
        <v>2000</v>
      </c>
    </row>
    <row r="1535" spans="1:11" x14ac:dyDescent="0.25">
      <c r="A1535">
        <v>111.459660888393</v>
      </c>
      <c r="B1535">
        <v>89.154790007120198</v>
      </c>
      <c r="C1535">
        <v>2001</v>
      </c>
    </row>
    <row r="1536" spans="1:11" x14ac:dyDescent="0.25">
      <c r="A1536">
        <v>116.981114473318</v>
      </c>
      <c r="B1536">
        <v>94.676243592044997</v>
      </c>
      <c r="C1536">
        <v>2001</v>
      </c>
    </row>
    <row r="1537" spans="1:11" x14ac:dyDescent="0.25">
      <c r="A1537">
        <v>122.05289724952399</v>
      </c>
      <c r="B1537">
        <v>99.748026368250294</v>
      </c>
      <c r="C1537">
        <v>2001</v>
      </c>
    </row>
    <row r="1538" spans="1:11" x14ac:dyDescent="0.25">
      <c r="A1538">
        <v>150</v>
      </c>
      <c r="B1538">
        <v>127.695129118727</v>
      </c>
      <c r="C1538">
        <v>2001</v>
      </c>
    </row>
    <row r="1539" spans="1:11" x14ac:dyDescent="0.25">
      <c r="A1539">
        <v>150</v>
      </c>
      <c r="B1539">
        <v>128.569161167624</v>
      </c>
      <c r="C1539">
        <v>2000</v>
      </c>
    </row>
    <row r="1540" spans="1:11" x14ac:dyDescent="0.25">
      <c r="A1540">
        <v>121.68281246412501</v>
      </c>
      <c r="B1540">
        <v>100.25197363175</v>
      </c>
      <c r="C1540">
        <v>2000</v>
      </c>
    </row>
    <row r="1541" spans="1:11" x14ac:dyDescent="0.25">
      <c r="A1541" t="s">
        <v>83</v>
      </c>
    </row>
    <row r="1542" spans="1:11" x14ac:dyDescent="0.25">
      <c r="A1542">
        <v>263</v>
      </c>
      <c r="B1542">
        <v>0</v>
      </c>
      <c r="C1542">
        <v>12.099115493437401</v>
      </c>
      <c r="D1542">
        <v>42.456460843868598</v>
      </c>
      <c r="E1542">
        <v>10</v>
      </c>
      <c r="F1542">
        <v>1.01722196789785</v>
      </c>
      <c r="G1542" t="s">
        <v>84</v>
      </c>
      <c r="H1542" t="s">
        <v>84</v>
      </c>
      <c r="I1542">
        <v>501</v>
      </c>
      <c r="J1542">
        <v>166</v>
      </c>
      <c r="K1542">
        <v>0</v>
      </c>
    </row>
    <row r="1543" spans="1:11" x14ac:dyDescent="0.25">
      <c r="A1543" t="s">
        <v>82</v>
      </c>
    </row>
    <row r="1544" spans="1:11" x14ac:dyDescent="0.25">
      <c r="A1544">
        <v>105.195777279886</v>
      </c>
      <c r="B1544">
        <v>45.105317515831302</v>
      </c>
      <c r="C1544">
        <v>2000</v>
      </c>
    </row>
    <row r="1545" spans="1:11" x14ac:dyDescent="0.25">
      <c r="A1545">
        <v>99.781491987775595</v>
      </c>
      <c r="B1545">
        <v>39.691032223720804</v>
      </c>
      <c r="C1545">
        <v>2000</v>
      </c>
    </row>
    <row r="1546" spans="1:11" x14ac:dyDescent="0.25">
      <c r="A1546">
        <v>96.640410668117298</v>
      </c>
      <c r="B1546">
        <v>36.549950904062499</v>
      </c>
      <c r="C1546">
        <v>2000</v>
      </c>
    </row>
    <row r="1547" spans="1:11" x14ac:dyDescent="0.25">
      <c r="A1547">
        <v>97.077426692566107</v>
      </c>
      <c r="B1547">
        <v>36.112934879613597</v>
      </c>
      <c r="C1547">
        <v>2001</v>
      </c>
    </row>
    <row r="1548" spans="1:11" x14ac:dyDescent="0.25">
      <c r="A1548">
        <v>100.21850801222401</v>
      </c>
      <c r="B1548">
        <v>39.254016199271902</v>
      </c>
      <c r="C1548">
        <v>2001</v>
      </c>
    </row>
    <row r="1549" spans="1:11" x14ac:dyDescent="0.25">
      <c r="A1549">
        <v>105.632793304335</v>
      </c>
      <c r="B1549">
        <v>44.668301491382501</v>
      </c>
      <c r="C1549">
        <v>2001</v>
      </c>
    </row>
    <row r="1550" spans="1:11" x14ac:dyDescent="0.25">
      <c r="A1550">
        <v>110.745983800728</v>
      </c>
      <c r="B1550">
        <v>49.781491987775603</v>
      </c>
      <c r="C1550">
        <v>2001</v>
      </c>
    </row>
    <row r="1551" spans="1:11" x14ac:dyDescent="0.25">
      <c r="A1551">
        <v>135.654044672216</v>
      </c>
      <c r="B1551">
        <v>74.689552859263102</v>
      </c>
      <c r="C1551">
        <v>2001</v>
      </c>
    </row>
    <row r="1552" spans="1:11" x14ac:dyDescent="0.25">
      <c r="A1552">
        <v>135.21702864776699</v>
      </c>
      <c r="B1552">
        <v>75.126568883711897</v>
      </c>
      <c r="C1552">
        <v>2000</v>
      </c>
    </row>
    <row r="1553" spans="1:11" x14ac:dyDescent="0.25">
      <c r="A1553">
        <v>110.308967776279</v>
      </c>
      <c r="B1553">
        <v>50.218508012224397</v>
      </c>
      <c r="C1553">
        <v>2000</v>
      </c>
    </row>
    <row r="1554" spans="1:11" x14ac:dyDescent="0.25">
      <c r="A1554" t="s">
        <v>83</v>
      </c>
    </row>
    <row r="1555" spans="1:11" x14ac:dyDescent="0.25">
      <c r="A1555">
        <v>115</v>
      </c>
      <c r="B1555">
        <v>0</v>
      </c>
      <c r="C1555">
        <v>14.836118853376799</v>
      </c>
      <c r="D1555">
        <v>39.599881773015902</v>
      </c>
      <c r="E1555">
        <v>10</v>
      </c>
      <c r="F1555">
        <v>1.01722196789785</v>
      </c>
      <c r="G1555" t="s">
        <v>84</v>
      </c>
      <c r="H1555" t="s">
        <v>84</v>
      </c>
      <c r="I1555">
        <v>678</v>
      </c>
      <c r="J1555">
        <v>435</v>
      </c>
      <c r="K1555">
        <v>0</v>
      </c>
    </row>
    <row r="1556" spans="1:11" x14ac:dyDescent="0.25">
      <c r="A1556" t="s">
        <v>82</v>
      </c>
    </row>
    <row r="1557" spans="1:11" x14ac:dyDescent="0.25">
      <c r="A1557">
        <v>55.970324994055503</v>
      </c>
      <c r="B1557">
        <v>83.508745926199097</v>
      </c>
      <c r="C1557">
        <v>2000</v>
      </c>
    </row>
    <row r="1558" spans="1:11" x14ac:dyDescent="0.25">
      <c r="A1558">
        <v>49.781491987775603</v>
      </c>
      <c r="B1558">
        <v>77.319912919919105</v>
      </c>
      <c r="C1558">
        <v>2000</v>
      </c>
    </row>
    <row r="1559" spans="1:11" x14ac:dyDescent="0.25">
      <c r="A1559">
        <v>45.479604746343199</v>
      </c>
      <c r="B1559">
        <v>73.018025678486794</v>
      </c>
      <c r="C1559">
        <v>2000</v>
      </c>
    </row>
    <row r="1560" spans="1:11" x14ac:dyDescent="0.25">
      <c r="A1560">
        <v>45.916620770792001</v>
      </c>
      <c r="B1560">
        <v>72.581009654037999</v>
      </c>
      <c r="C1560">
        <v>2001</v>
      </c>
    </row>
    <row r="1561" spans="1:11" x14ac:dyDescent="0.25">
      <c r="A1561">
        <v>50.218508012224397</v>
      </c>
      <c r="B1561">
        <v>76.882896895470296</v>
      </c>
      <c r="C1561">
        <v>2001</v>
      </c>
    </row>
    <row r="1562" spans="1:11" x14ac:dyDescent="0.25">
      <c r="A1562">
        <v>56.407341018504297</v>
      </c>
      <c r="B1562">
        <v>83.071729901750302</v>
      </c>
      <c r="C1562">
        <v>2001</v>
      </c>
    </row>
    <row r="1563" spans="1:11" x14ac:dyDescent="0.25">
      <c r="A1563">
        <v>73.117103104529704</v>
      </c>
      <c r="B1563">
        <v>99.781491987775595</v>
      </c>
      <c r="C1563">
        <v>2001</v>
      </c>
    </row>
    <row r="1564" spans="1:11" x14ac:dyDescent="0.25">
      <c r="A1564">
        <v>84.408685954389398</v>
      </c>
      <c r="B1564">
        <v>111.073074837635</v>
      </c>
      <c r="C1564">
        <v>2001</v>
      </c>
    </row>
    <row r="1565" spans="1:11" x14ac:dyDescent="0.25">
      <c r="A1565">
        <v>83.971669929940603</v>
      </c>
      <c r="B1565">
        <v>111.510090862084</v>
      </c>
      <c r="C1565">
        <v>2000</v>
      </c>
    </row>
    <row r="1566" spans="1:11" x14ac:dyDescent="0.25">
      <c r="A1566">
        <v>72.680087080080796</v>
      </c>
      <c r="B1566">
        <v>100.21850801222401</v>
      </c>
      <c r="C1566">
        <v>2000</v>
      </c>
    </row>
    <row r="1567" spans="1:11" x14ac:dyDescent="0.25">
      <c r="A1567" t="s">
        <v>83</v>
      </c>
    </row>
    <row r="1568" spans="1:11" x14ac:dyDescent="0.25">
      <c r="A1568">
        <v>514</v>
      </c>
      <c r="B1568">
        <v>0</v>
      </c>
      <c r="C1568">
        <v>47.572178739653303</v>
      </c>
      <c r="D1568">
        <v>6.5605048499119798</v>
      </c>
      <c r="E1568">
        <v>6</v>
      </c>
      <c r="F1568">
        <v>1.01722196789785</v>
      </c>
      <c r="G1568" t="s">
        <v>81</v>
      </c>
      <c r="H1568" t="s">
        <v>84</v>
      </c>
      <c r="I1568">
        <v>0</v>
      </c>
      <c r="J1568">
        <v>487</v>
      </c>
      <c r="K1568">
        <v>0</v>
      </c>
    </row>
    <row r="1569" spans="1:11" x14ac:dyDescent="0.25">
      <c r="A1569" t="s">
        <v>82</v>
      </c>
    </row>
    <row r="1570" spans="1:11" x14ac:dyDescent="0.25">
      <c r="A1570">
        <v>87.310351179602094</v>
      </c>
      <c r="B1570">
        <v>33.446583822131402</v>
      </c>
      <c r="C1570">
        <v>2000</v>
      </c>
    </row>
    <row r="1571" spans="1:11" x14ac:dyDescent="0.25">
      <c r="A1571">
        <v>53.863767357470699</v>
      </c>
      <c r="B1571">
        <v>0</v>
      </c>
      <c r="C1571">
        <v>2000</v>
      </c>
    </row>
    <row r="1572" spans="1:11" x14ac:dyDescent="0.25">
      <c r="A1572">
        <v>52.989735308573103</v>
      </c>
      <c r="B1572">
        <v>0</v>
      </c>
      <c r="C1572">
        <v>2001</v>
      </c>
    </row>
    <row r="1573" spans="1:11" x14ac:dyDescent="0.25">
      <c r="A1573">
        <v>86.820371851696507</v>
      </c>
      <c r="B1573">
        <v>33.830636543123397</v>
      </c>
      <c r="C1573">
        <v>2001</v>
      </c>
    </row>
    <row r="1574" spans="1:11" x14ac:dyDescent="0.25">
      <c r="A1574">
        <v>91.485830970804898</v>
      </c>
      <c r="B1574">
        <v>38.496095662231802</v>
      </c>
      <c r="C1574">
        <v>2001</v>
      </c>
    </row>
    <row r="1575" spans="1:11" x14ac:dyDescent="0.25">
      <c r="A1575">
        <v>91.922846995253707</v>
      </c>
      <c r="B1575">
        <v>38.059079637783</v>
      </c>
      <c r="C1575">
        <v>2000</v>
      </c>
    </row>
    <row r="1576" spans="1:11" x14ac:dyDescent="0.25">
      <c r="A1576" t="s">
        <v>83</v>
      </c>
    </row>
    <row r="1577" spans="1:11" x14ac:dyDescent="0.25">
      <c r="A1577">
        <v>184</v>
      </c>
      <c r="B1577">
        <v>0</v>
      </c>
      <c r="C1577">
        <v>9.8392532415290592</v>
      </c>
      <c r="D1577">
        <v>44.2626968002334</v>
      </c>
      <c r="E1577">
        <v>8</v>
      </c>
      <c r="F1577">
        <v>1.01722196789785</v>
      </c>
      <c r="G1577" t="s">
        <v>84</v>
      </c>
      <c r="H1577" t="s">
        <v>81</v>
      </c>
      <c r="I1577">
        <v>167</v>
      </c>
      <c r="J1577">
        <v>0</v>
      </c>
      <c r="K1577">
        <v>0</v>
      </c>
    </row>
    <row r="1578" spans="1:11" x14ac:dyDescent="0.25">
      <c r="A1578" t="s">
        <v>82</v>
      </c>
    </row>
    <row r="1579" spans="1:11" x14ac:dyDescent="0.25">
      <c r="A1579">
        <v>118.50124779656601</v>
      </c>
      <c r="B1579">
        <v>96.064426216420401</v>
      </c>
      <c r="C1579">
        <v>2000</v>
      </c>
    </row>
    <row r="1580" spans="1:11" x14ac:dyDescent="0.25">
      <c r="A1580">
        <v>111.52563623783</v>
      </c>
      <c r="B1580">
        <v>89.088814657684097</v>
      </c>
      <c r="C1580">
        <v>2000</v>
      </c>
    </row>
    <row r="1581" spans="1:11" x14ac:dyDescent="0.25">
      <c r="A1581">
        <v>111.962652262278</v>
      </c>
      <c r="B1581">
        <v>88.651798633235202</v>
      </c>
      <c r="C1581">
        <v>2001</v>
      </c>
    </row>
    <row r="1582" spans="1:11" x14ac:dyDescent="0.25">
      <c r="A1582">
        <v>118.901846081336</v>
      </c>
      <c r="B1582">
        <v>95.590992452292795</v>
      </c>
      <c r="C1582">
        <v>2001</v>
      </c>
    </row>
    <row r="1583" spans="1:11" x14ac:dyDescent="0.25">
      <c r="A1583">
        <v>123.063217054522</v>
      </c>
      <c r="B1583">
        <v>99.752363425479103</v>
      </c>
      <c r="C1583">
        <v>2001</v>
      </c>
    </row>
    <row r="1584" spans="1:11" x14ac:dyDescent="0.25">
      <c r="A1584">
        <v>150</v>
      </c>
      <c r="B1584">
        <v>126.689146370957</v>
      </c>
      <c r="C1584">
        <v>2001</v>
      </c>
    </row>
    <row r="1585" spans="1:11" x14ac:dyDescent="0.25">
      <c r="A1585">
        <v>150</v>
      </c>
      <c r="B1585">
        <v>127.563178419854</v>
      </c>
      <c r="C1585">
        <v>2000</v>
      </c>
    </row>
    <row r="1586" spans="1:11" x14ac:dyDescent="0.25">
      <c r="A1586">
        <v>122.684458154666</v>
      </c>
      <c r="B1586">
        <v>100.247636574521</v>
      </c>
      <c r="C1586">
        <v>2000</v>
      </c>
    </row>
    <row r="1587" spans="1:11" x14ac:dyDescent="0.25">
      <c r="A1587" t="s">
        <v>83</v>
      </c>
    </row>
    <row r="1588" spans="1:11" x14ac:dyDescent="0.25">
      <c r="A1588">
        <v>245</v>
      </c>
      <c r="B1588">
        <v>0</v>
      </c>
      <c r="C1588">
        <v>0</v>
      </c>
      <c r="D1588">
        <v>53.785455921838803</v>
      </c>
      <c r="E1588">
        <v>6</v>
      </c>
      <c r="F1588">
        <v>1.5707963267949001</v>
      </c>
      <c r="G1588" t="s">
        <v>84</v>
      </c>
      <c r="H1588" t="s">
        <v>81</v>
      </c>
      <c r="I1588">
        <v>268</v>
      </c>
      <c r="J1588">
        <v>0</v>
      </c>
      <c r="K1588">
        <v>0</v>
      </c>
    </row>
    <row r="1589" spans="1:11" x14ac:dyDescent="0.25">
      <c r="A1589" t="s">
        <v>82</v>
      </c>
    </row>
    <row r="1590" spans="1:11" x14ac:dyDescent="0.25">
      <c r="A1590">
        <v>111.96793938845801</v>
      </c>
      <c r="B1590">
        <v>26.586344932013301</v>
      </c>
      <c r="C1590">
        <v>2000</v>
      </c>
    </row>
    <row r="1591" spans="1:11" x14ac:dyDescent="0.25">
      <c r="A1591">
        <v>111.96793938845801</v>
      </c>
      <c r="B1591">
        <v>26.586344932013301</v>
      </c>
      <c r="C1591">
        <v>2001</v>
      </c>
    </row>
    <row r="1592" spans="1:11" x14ac:dyDescent="0.25">
      <c r="A1592">
        <v>135.38159445644399</v>
      </c>
      <c r="B1592">
        <v>50</v>
      </c>
      <c r="C1592">
        <v>2001</v>
      </c>
    </row>
    <row r="1593" spans="1:11" x14ac:dyDescent="0.25">
      <c r="A1593">
        <v>150</v>
      </c>
      <c r="B1593">
        <v>64.618405543555696</v>
      </c>
      <c r="C1593">
        <v>2001</v>
      </c>
    </row>
    <row r="1594" spans="1:11" x14ac:dyDescent="0.25">
      <c r="A1594">
        <v>150</v>
      </c>
      <c r="B1594">
        <v>64.618405543555696</v>
      </c>
      <c r="C1594">
        <v>2000</v>
      </c>
    </row>
    <row r="1595" spans="1:11" x14ac:dyDescent="0.25">
      <c r="A1595">
        <v>135.38159445644399</v>
      </c>
      <c r="B1595">
        <v>50</v>
      </c>
      <c r="C1595">
        <v>2000</v>
      </c>
    </row>
    <row r="1596" spans="1:11" x14ac:dyDescent="0.25">
      <c r="A1596" t="s">
        <v>83</v>
      </c>
    </row>
    <row r="1597" spans="1:11" x14ac:dyDescent="0.25">
      <c r="A1597">
        <v>667</v>
      </c>
      <c r="B1597">
        <v>0</v>
      </c>
      <c r="C1597">
        <v>31.646938910781699</v>
      </c>
      <c r="D1597">
        <v>21.876963619942401</v>
      </c>
      <c r="E1597">
        <v>6</v>
      </c>
      <c r="F1597">
        <v>1.01722196789785</v>
      </c>
      <c r="G1597" t="s">
        <v>81</v>
      </c>
      <c r="H1597" t="s">
        <v>84</v>
      </c>
      <c r="I1597">
        <v>0</v>
      </c>
      <c r="J1597">
        <v>730</v>
      </c>
      <c r="K1597">
        <v>0</v>
      </c>
    </row>
    <row r="1598" spans="1:11" x14ac:dyDescent="0.25">
      <c r="A1598" t="s">
        <v>82</v>
      </c>
    </row>
    <row r="1599" spans="1:11" x14ac:dyDescent="0.25">
      <c r="A1599">
        <v>22.248568442430301</v>
      </c>
      <c r="B1599">
        <v>80.780548716914197</v>
      </c>
      <c r="C1599">
        <v>2000</v>
      </c>
    </row>
    <row r="1600" spans="1:11" x14ac:dyDescent="0.25">
      <c r="A1600">
        <v>0</v>
      </c>
      <c r="B1600">
        <v>58.5319802744839</v>
      </c>
      <c r="C1600">
        <v>2000</v>
      </c>
    </row>
    <row r="1601" spans="1:11" x14ac:dyDescent="0.25">
      <c r="A1601">
        <v>0</v>
      </c>
      <c r="B1601">
        <v>57.657948225586303</v>
      </c>
      <c r="C1601">
        <v>2001</v>
      </c>
    </row>
    <row r="1602" spans="1:11" x14ac:dyDescent="0.25">
      <c r="A1602">
        <v>22.50696177279</v>
      </c>
      <c r="B1602">
        <v>80.164909998376302</v>
      </c>
      <c r="C1602">
        <v>2001</v>
      </c>
    </row>
    <row r="1603" spans="1:11" x14ac:dyDescent="0.25">
      <c r="A1603">
        <v>38.065622447267202</v>
      </c>
      <c r="B1603">
        <v>95.723570672853498</v>
      </c>
      <c r="C1603">
        <v>2001</v>
      </c>
    </row>
    <row r="1604" spans="1:11" x14ac:dyDescent="0.25">
      <c r="A1604">
        <v>37.6286064228184</v>
      </c>
      <c r="B1604">
        <v>96.160586697302307</v>
      </c>
      <c r="C1604">
        <v>2000</v>
      </c>
    </row>
    <row r="1605" spans="1:11" x14ac:dyDescent="0.25">
      <c r="A1605" t="s">
        <v>83</v>
      </c>
    </row>
    <row r="1606" spans="1:11" x14ac:dyDescent="0.25">
      <c r="A1606">
        <v>273</v>
      </c>
      <c r="B1606">
        <v>0</v>
      </c>
      <c r="C1606">
        <v>43.293135484259103</v>
      </c>
      <c r="D1606">
        <v>10.0655441987829</v>
      </c>
      <c r="E1606">
        <v>6</v>
      </c>
      <c r="F1606">
        <v>1.01722196789785</v>
      </c>
      <c r="G1606" t="s">
        <v>81</v>
      </c>
      <c r="H1606" t="s">
        <v>81</v>
      </c>
      <c r="I1606">
        <v>0</v>
      </c>
      <c r="J1606">
        <v>0</v>
      </c>
      <c r="K1606">
        <v>0</v>
      </c>
    </row>
    <row r="1607" spans="1:11" x14ac:dyDescent="0.25">
      <c r="A1607" t="s">
        <v>82</v>
      </c>
    </row>
    <row r="1608" spans="1:11" x14ac:dyDescent="0.25">
      <c r="A1608">
        <v>142.80014704201</v>
      </c>
      <c r="B1608">
        <v>30.967447305499199</v>
      </c>
      <c r="C1608">
        <v>2000</v>
      </c>
    </row>
    <row r="1609" spans="1:11" x14ac:dyDescent="0.25">
      <c r="A1609">
        <v>111.832699736511</v>
      </c>
      <c r="B1609">
        <v>0</v>
      </c>
      <c r="C1609">
        <v>2000</v>
      </c>
    </row>
    <row r="1610" spans="1:11" x14ac:dyDescent="0.25">
      <c r="A1610">
        <v>112.706731785409</v>
      </c>
      <c r="B1610">
        <v>0</v>
      </c>
      <c r="C1610">
        <v>2001</v>
      </c>
    </row>
    <row r="1611" spans="1:11" x14ac:dyDescent="0.25">
      <c r="A1611">
        <v>142.96502383940501</v>
      </c>
      <c r="B1611">
        <v>30.258292053995898</v>
      </c>
      <c r="C1611">
        <v>2001</v>
      </c>
    </row>
    <row r="1612" spans="1:11" x14ac:dyDescent="0.25">
      <c r="A1612">
        <v>150</v>
      </c>
      <c r="B1612">
        <v>37.293268214591102</v>
      </c>
      <c r="C1612">
        <v>2001</v>
      </c>
    </row>
    <row r="1613" spans="1:11" x14ac:dyDescent="0.25">
      <c r="A1613">
        <v>150</v>
      </c>
      <c r="B1613">
        <v>38.167300263488698</v>
      </c>
      <c r="C1613">
        <v>2000</v>
      </c>
    </row>
    <row r="1614" spans="1:11" x14ac:dyDescent="0.25">
      <c r="A1614" t="s">
        <v>83</v>
      </c>
    </row>
    <row r="1615" spans="1:11" x14ac:dyDescent="0.25">
      <c r="A1615">
        <v>589</v>
      </c>
      <c r="B1615">
        <v>0</v>
      </c>
      <c r="C1615">
        <v>19.945434476775599</v>
      </c>
      <c r="D1615">
        <v>32.907365473705497</v>
      </c>
      <c r="E1615">
        <v>6</v>
      </c>
      <c r="F1615">
        <v>1.01722196789785</v>
      </c>
      <c r="G1615" t="s">
        <v>81</v>
      </c>
      <c r="H1615" t="s">
        <v>81</v>
      </c>
      <c r="I1615">
        <v>0</v>
      </c>
      <c r="J1615">
        <v>0</v>
      </c>
      <c r="K1615">
        <v>0</v>
      </c>
    </row>
    <row r="1616" spans="1:11" x14ac:dyDescent="0.25">
      <c r="A1616" t="s">
        <v>82</v>
      </c>
    </row>
    <row r="1617" spans="1:11" x14ac:dyDescent="0.25">
      <c r="A1617">
        <v>14.268471796527701</v>
      </c>
      <c r="B1617">
        <v>126.458882522398</v>
      </c>
      <c r="C1617">
        <v>2000</v>
      </c>
    </row>
    <row r="1618" spans="1:11" x14ac:dyDescent="0.25">
      <c r="A1618">
        <v>0</v>
      </c>
      <c r="B1618">
        <v>112.19041072587</v>
      </c>
      <c r="C1618">
        <v>2000</v>
      </c>
    </row>
    <row r="1619" spans="1:11" x14ac:dyDescent="0.25">
      <c r="A1619">
        <v>0</v>
      </c>
      <c r="B1619">
        <v>113.064442774768</v>
      </c>
      <c r="C1619">
        <v>2001</v>
      </c>
    </row>
    <row r="1620" spans="1:11" x14ac:dyDescent="0.25">
      <c r="A1620">
        <v>13.938632147952299</v>
      </c>
      <c r="B1620">
        <v>127.00307492272</v>
      </c>
      <c r="C1620">
        <v>2001</v>
      </c>
    </row>
    <row r="1621" spans="1:11" x14ac:dyDescent="0.25">
      <c r="A1621">
        <v>36.935557225232401</v>
      </c>
      <c r="B1621">
        <v>150</v>
      </c>
      <c r="C1621">
        <v>2001</v>
      </c>
    </row>
    <row r="1622" spans="1:11" x14ac:dyDescent="0.25">
      <c r="A1622">
        <v>37.809589274129998</v>
      </c>
      <c r="B1622">
        <v>150</v>
      </c>
      <c r="C1622">
        <v>2000</v>
      </c>
    </row>
    <row r="1623" spans="1:11" x14ac:dyDescent="0.25">
      <c r="A1623" t="s">
        <v>83</v>
      </c>
    </row>
    <row r="1624" spans="1:11" x14ac:dyDescent="0.25">
      <c r="A1624">
        <v>27</v>
      </c>
      <c r="B1624">
        <v>0</v>
      </c>
      <c r="C1624">
        <v>46.127829692055201</v>
      </c>
      <c r="D1624">
        <v>6.7178431336606801</v>
      </c>
      <c r="E1624">
        <v>6</v>
      </c>
      <c r="F1624">
        <v>1.01722196789785</v>
      </c>
      <c r="G1624" t="s">
        <v>84</v>
      </c>
      <c r="H1624" t="s">
        <v>84</v>
      </c>
      <c r="I1624">
        <v>24</v>
      </c>
      <c r="J1624">
        <v>102</v>
      </c>
      <c r="K1624">
        <v>0</v>
      </c>
    </row>
    <row r="1625" spans="1:11" x14ac:dyDescent="0.25">
      <c r="A1625" t="s">
        <v>82</v>
      </c>
    </row>
    <row r="1626" spans="1:11" x14ac:dyDescent="0.25">
      <c r="A1626">
        <v>42.831727606627197</v>
      </c>
      <c r="B1626">
        <v>43.495149926983203</v>
      </c>
      <c r="C1626">
        <v>2000</v>
      </c>
    </row>
    <row r="1627" spans="1:11" x14ac:dyDescent="0.25">
      <c r="A1627">
        <v>10.2144264299568</v>
      </c>
      <c r="B1627">
        <v>10.877848750312699</v>
      </c>
      <c r="C1627">
        <v>2000</v>
      </c>
    </row>
    <row r="1628" spans="1:11" x14ac:dyDescent="0.25">
      <c r="A1628">
        <v>9.7774104055079594</v>
      </c>
      <c r="B1628">
        <v>11.314864774761601</v>
      </c>
      <c r="C1628">
        <v>2001</v>
      </c>
    </row>
    <row r="1629" spans="1:11" x14ac:dyDescent="0.25">
      <c r="A1629">
        <v>42.394711582178402</v>
      </c>
      <c r="B1629">
        <v>43.932165951431998</v>
      </c>
      <c r="C1629">
        <v>2001</v>
      </c>
    </row>
    <row r="1630" spans="1:11" x14ac:dyDescent="0.25">
      <c r="A1630">
        <v>47.144944016937401</v>
      </c>
      <c r="B1630">
        <v>48.682398386190897</v>
      </c>
      <c r="C1630">
        <v>2001</v>
      </c>
    </row>
    <row r="1631" spans="1:11" x14ac:dyDescent="0.25">
      <c r="A1631">
        <v>47.581960041386203</v>
      </c>
      <c r="B1631">
        <v>48.245382361742102</v>
      </c>
      <c r="C1631">
        <v>2000</v>
      </c>
    </row>
    <row r="1632" spans="1:11" x14ac:dyDescent="0.25">
      <c r="A1632" t="s">
        <v>83</v>
      </c>
    </row>
    <row r="1633" spans="1:11" x14ac:dyDescent="0.25">
      <c r="A1633">
        <v>671</v>
      </c>
      <c r="B1633">
        <v>0</v>
      </c>
      <c r="C1633">
        <v>16.285548380193301</v>
      </c>
      <c r="D1633">
        <v>36.505665729487198</v>
      </c>
      <c r="E1633">
        <v>6</v>
      </c>
      <c r="F1633">
        <v>1.01722196789785</v>
      </c>
      <c r="G1633" t="s">
        <v>81</v>
      </c>
      <c r="H1633" t="s">
        <v>84</v>
      </c>
      <c r="I1633">
        <v>0</v>
      </c>
      <c r="J1633">
        <v>353</v>
      </c>
      <c r="K1633">
        <v>0</v>
      </c>
    </row>
    <row r="1634" spans="1:11" x14ac:dyDescent="0.25">
      <c r="A1634" t="s">
        <v>82</v>
      </c>
    </row>
    <row r="1635" spans="1:11" x14ac:dyDescent="0.25">
      <c r="A1635">
        <v>11.448214213171701</v>
      </c>
      <c r="B1635">
        <v>71.016372389689295</v>
      </c>
      <c r="C1635">
        <v>2000</v>
      </c>
    </row>
    <row r="1636" spans="1:11" x14ac:dyDescent="0.25">
      <c r="A1636">
        <v>0</v>
      </c>
      <c r="B1636">
        <v>59.568158176517599</v>
      </c>
      <c r="C1636">
        <v>2000</v>
      </c>
    </row>
    <row r="1637" spans="1:11" x14ac:dyDescent="0.25">
      <c r="A1637">
        <v>0</v>
      </c>
      <c r="B1637">
        <v>58.694126127619903</v>
      </c>
      <c r="C1637">
        <v>2001</v>
      </c>
    </row>
    <row r="1638" spans="1:11" x14ac:dyDescent="0.25">
      <c r="A1638">
        <v>11.583029176780901</v>
      </c>
      <c r="B1638">
        <v>70.277155304400793</v>
      </c>
      <c r="C1638">
        <v>2001</v>
      </c>
    </row>
    <row r="1639" spans="1:11" x14ac:dyDescent="0.25">
      <c r="A1639">
        <v>37.547533496250402</v>
      </c>
      <c r="B1639">
        <v>96.241659623870305</v>
      </c>
      <c r="C1639">
        <v>2001</v>
      </c>
    </row>
    <row r="1640" spans="1:11" x14ac:dyDescent="0.25">
      <c r="A1640">
        <v>37.1105174718016</v>
      </c>
      <c r="B1640">
        <v>96.678675648319199</v>
      </c>
      <c r="C1640">
        <v>2000</v>
      </c>
    </row>
    <row r="1641" spans="1:11" x14ac:dyDescent="0.25">
      <c r="A1641" t="s">
        <v>83</v>
      </c>
    </row>
    <row r="1642" spans="1:11" x14ac:dyDescent="0.25">
      <c r="A1642">
        <v>659</v>
      </c>
      <c r="B1642">
        <v>0</v>
      </c>
      <c r="C1642">
        <v>37.257848295903401</v>
      </c>
      <c r="D1642">
        <v>15.047270207043001</v>
      </c>
      <c r="E1642">
        <v>6</v>
      </c>
      <c r="F1642">
        <v>1.5707963267949001</v>
      </c>
      <c r="G1642" t="s">
        <v>81</v>
      </c>
      <c r="H1642" t="s">
        <v>84</v>
      </c>
      <c r="I1642">
        <v>0</v>
      </c>
      <c r="J1642">
        <v>353</v>
      </c>
      <c r="K1642">
        <v>0</v>
      </c>
    </row>
    <row r="1643" spans="1:11" x14ac:dyDescent="0.25">
      <c r="A1643" t="s">
        <v>82</v>
      </c>
    </row>
    <row r="1644" spans="1:11" x14ac:dyDescent="0.25">
      <c r="A1644">
        <v>26.345277182453</v>
      </c>
      <c r="B1644">
        <v>86.163862334174993</v>
      </c>
      <c r="C1644">
        <v>2000</v>
      </c>
    </row>
    <row r="1645" spans="1:11" x14ac:dyDescent="0.25">
      <c r="A1645">
        <v>0</v>
      </c>
      <c r="B1645">
        <v>59.818585151721997</v>
      </c>
      <c r="C1645">
        <v>2000</v>
      </c>
    </row>
    <row r="1646" spans="1:11" x14ac:dyDescent="0.25">
      <c r="A1646">
        <v>0</v>
      </c>
      <c r="B1646">
        <v>59.818585151721997</v>
      </c>
      <c r="C1646">
        <v>2001</v>
      </c>
    </row>
    <row r="1647" spans="1:11" x14ac:dyDescent="0.25">
      <c r="A1647">
        <v>26.345277182453</v>
      </c>
      <c r="B1647">
        <v>86.163862334174993</v>
      </c>
      <c r="C1647">
        <v>2001</v>
      </c>
    </row>
    <row r="1648" spans="1:11" x14ac:dyDescent="0.25">
      <c r="A1648">
        <v>36.985303984199398</v>
      </c>
      <c r="B1648">
        <v>96.803889135921395</v>
      </c>
      <c r="C1648">
        <v>2001</v>
      </c>
    </row>
    <row r="1649" spans="1:11" x14ac:dyDescent="0.25">
      <c r="A1649">
        <v>36.985303984199398</v>
      </c>
      <c r="B1649">
        <v>96.803889135921395</v>
      </c>
      <c r="C1649">
        <v>2000</v>
      </c>
    </row>
    <row r="1650" spans="1:11" x14ac:dyDescent="0.25">
      <c r="A1650" t="s">
        <v>83</v>
      </c>
    </row>
    <row r="1651" spans="1:11" x14ac:dyDescent="0.25">
      <c r="A1651">
        <v>192</v>
      </c>
      <c r="B1651">
        <v>0</v>
      </c>
      <c r="C1651">
        <v>18.901987924330001</v>
      </c>
      <c r="D1651">
        <v>33.375418726024897</v>
      </c>
      <c r="E1651">
        <v>8</v>
      </c>
      <c r="F1651">
        <v>1.01722196789785</v>
      </c>
      <c r="G1651" t="s">
        <v>84</v>
      </c>
      <c r="H1651" t="s">
        <v>84</v>
      </c>
      <c r="I1651">
        <v>91</v>
      </c>
      <c r="J1651">
        <v>440</v>
      </c>
      <c r="K1651">
        <v>0</v>
      </c>
    </row>
    <row r="1652" spans="1:11" x14ac:dyDescent="0.25">
      <c r="A1652" t="s">
        <v>82</v>
      </c>
    </row>
    <row r="1653" spans="1:11" x14ac:dyDescent="0.25">
      <c r="A1653">
        <v>103.32641245858601</v>
      </c>
      <c r="B1653">
        <v>69.275018787609696</v>
      </c>
      <c r="C1653">
        <v>2000</v>
      </c>
    </row>
    <row r="1654" spans="1:11" x14ac:dyDescent="0.25">
      <c r="A1654">
        <v>100.21850801222401</v>
      </c>
      <c r="B1654">
        <v>66.167114341248194</v>
      </c>
      <c r="C1654">
        <v>2000</v>
      </c>
    </row>
    <row r="1655" spans="1:11" x14ac:dyDescent="0.25">
      <c r="A1655">
        <v>89.960688619386005</v>
      </c>
      <c r="B1655">
        <v>55.909294948409702</v>
      </c>
      <c r="C1655">
        <v>2000</v>
      </c>
    </row>
    <row r="1656" spans="1:11" x14ac:dyDescent="0.25">
      <c r="A1656">
        <v>89.523672594937196</v>
      </c>
      <c r="B1656">
        <v>56.346310972858603</v>
      </c>
      <c r="C1656">
        <v>2001</v>
      </c>
    </row>
    <row r="1657" spans="1:11" x14ac:dyDescent="0.25">
      <c r="A1657">
        <v>99.781491987775595</v>
      </c>
      <c r="B1657">
        <v>66.604130365697003</v>
      </c>
      <c r="C1657">
        <v>2001</v>
      </c>
    </row>
    <row r="1658" spans="1:11" x14ac:dyDescent="0.25">
      <c r="A1658">
        <v>102.889396434137</v>
      </c>
      <c r="B1658">
        <v>69.712034812058505</v>
      </c>
      <c r="C1658">
        <v>2001</v>
      </c>
    </row>
    <row r="1659" spans="1:11" x14ac:dyDescent="0.25">
      <c r="A1659">
        <v>126.48938134025001</v>
      </c>
      <c r="B1659">
        <v>93.3120197181712</v>
      </c>
      <c r="C1659">
        <v>2001</v>
      </c>
    </row>
    <row r="1660" spans="1:11" x14ac:dyDescent="0.25">
      <c r="A1660">
        <v>126.926397364699</v>
      </c>
      <c r="B1660">
        <v>92.875003693722405</v>
      </c>
      <c r="C1660">
        <v>2000</v>
      </c>
    </row>
    <row r="1661" spans="1:11" x14ac:dyDescent="0.25">
      <c r="A1661" t="s">
        <v>83</v>
      </c>
    </row>
    <row r="1662" spans="1:11" x14ac:dyDescent="0.25">
      <c r="A1662">
        <v>102</v>
      </c>
      <c r="B1662">
        <v>0</v>
      </c>
      <c r="C1662">
        <v>6.6220792730643003</v>
      </c>
      <c r="D1662">
        <v>45.071701048759302</v>
      </c>
      <c r="E1662">
        <v>10</v>
      </c>
      <c r="F1662">
        <v>1.01722196789785</v>
      </c>
      <c r="G1662" t="s">
        <v>84</v>
      </c>
      <c r="H1662" t="s">
        <v>84</v>
      </c>
      <c r="I1662">
        <v>23</v>
      </c>
      <c r="J1662">
        <v>437</v>
      </c>
      <c r="K1662">
        <v>0</v>
      </c>
    </row>
    <row r="1663" spans="1:11" x14ac:dyDescent="0.25">
      <c r="A1663" t="s">
        <v>82</v>
      </c>
    </row>
    <row r="1664" spans="1:11" x14ac:dyDescent="0.25">
      <c r="A1664">
        <v>51.9427909329222</v>
      </c>
      <c r="B1664">
        <v>53.249585789283401</v>
      </c>
      <c r="C1664">
        <v>2000</v>
      </c>
    </row>
    <row r="1665" spans="1:11" x14ac:dyDescent="0.25">
      <c r="A1665">
        <v>50.218508012224397</v>
      </c>
      <c r="B1665">
        <v>51.525302868585499</v>
      </c>
      <c r="C1665">
        <v>2000</v>
      </c>
    </row>
    <row r="1666" spans="1:11" x14ac:dyDescent="0.25">
      <c r="A1666">
        <v>48.474697131414402</v>
      </c>
      <c r="B1666">
        <v>49.781491987775603</v>
      </c>
      <c r="C1666">
        <v>2000</v>
      </c>
    </row>
    <row r="1667" spans="1:11" x14ac:dyDescent="0.25">
      <c r="A1667">
        <v>47.260273773383602</v>
      </c>
      <c r="B1667">
        <v>48.567068629744703</v>
      </c>
      <c r="C1667">
        <v>2000</v>
      </c>
    </row>
    <row r="1668" spans="1:11" x14ac:dyDescent="0.25">
      <c r="A1668">
        <v>46.8232577489348</v>
      </c>
      <c r="B1668">
        <v>49.004084654193498</v>
      </c>
      <c r="C1668">
        <v>2001</v>
      </c>
    </row>
    <row r="1669" spans="1:11" x14ac:dyDescent="0.25">
      <c r="A1669">
        <v>48.0376811069656</v>
      </c>
      <c r="B1669">
        <v>50.218508012224397</v>
      </c>
      <c r="C1669">
        <v>2001</v>
      </c>
    </row>
    <row r="1670" spans="1:11" x14ac:dyDescent="0.25">
      <c r="A1670">
        <v>49.781491987775603</v>
      </c>
      <c r="B1670">
        <v>51.9623188930344</v>
      </c>
      <c r="C1670">
        <v>2001</v>
      </c>
    </row>
    <row r="1671" spans="1:11" x14ac:dyDescent="0.25">
      <c r="A1671">
        <v>51.505774908473398</v>
      </c>
      <c r="B1671">
        <v>53.686601813732203</v>
      </c>
      <c r="C1671">
        <v>2001</v>
      </c>
    </row>
    <row r="1672" spans="1:11" x14ac:dyDescent="0.25">
      <c r="A1672">
        <v>83.376280359663994</v>
      </c>
      <c r="B1672">
        <v>85.557107264922706</v>
      </c>
      <c r="C1672">
        <v>2001</v>
      </c>
    </row>
    <row r="1673" spans="1:11" x14ac:dyDescent="0.25">
      <c r="A1673">
        <v>83.813296384112803</v>
      </c>
      <c r="B1673">
        <v>85.120091240473897</v>
      </c>
      <c r="C1673">
        <v>2000</v>
      </c>
    </row>
    <row r="1674" spans="1:11" x14ac:dyDescent="0.25">
      <c r="A1674" t="s">
        <v>83</v>
      </c>
    </row>
    <row r="1675" spans="1:11" x14ac:dyDescent="0.25">
      <c r="A1675">
        <v>28</v>
      </c>
      <c r="B1675">
        <v>0</v>
      </c>
      <c r="C1675">
        <v>34.3062433803807</v>
      </c>
      <c r="D1675">
        <v>17.045406171044299</v>
      </c>
      <c r="E1675">
        <v>6</v>
      </c>
      <c r="F1675">
        <v>1.01722196789785</v>
      </c>
      <c r="G1675" t="s">
        <v>81</v>
      </c>
      <c r="H1675" t="s">
        <v>84</v>
      </c>
      <c r="I1675">
        <v>0</v>
      </c>
      <c r="J1675">
        <v>507</v>
      </c>
      <c r="K1675">
        <v>0</v>
      </c>
    </row>
    <row r="1676" spans="1:11" x14ac:dyDescent="0.25">
      <c r="A1676" t="s">
        <v>82</v>
      </c>
    </row>
    <row r="1677" spans="1:11" x14ac:dyDescent="0.25">
      <c r="A1677">
        <v>33.562364163271198</v>
      </c>
      <c r="B1677">
        <v>24.112199760701099</v>
      </c>
      <c r="C1677">
        <v>2000</v>
      </c>
    </row>
    <row r="1678" spans="1:11" x14ac:dyDescent="0.25">
      <c r="A1678">
        <v>9.4501644025700706</v>
      </c>
      <c r="B1678">
        <v>0</v>
      </c>
      <c r="C1678">
        <v>2000</v>
      </c>
    </row>
    <row r="1679" spans="1:11" x14ac:dyDescent="0.25">
      <c r="A1679">
        <v>8.5761323536724401</v>
      </c>
      <c r="B1679">
        <v>0</v>
      </c>
      <c r="C1679">
        <v>2001</v>
      </c>
    </row>
    <row r="1680" spans="1:11" x14ac:dyDescent="0.25">
      <c r="A1680">
        <v>32.980287255577998</v>
      </c>
      <c r="B1680">
        <v>24.404154901905599</v>
      </c>
      <c r="C1680">
        <v>2001</v>
      </c>
    </row>
    <row r="1681" spans="1:11" x14ac:dyDescent="0.25">
      <c r="A1681">
        <v>45.105739988824602</v>
      </c>
      <c r="B1681">
        <v>36.529607635152203</v>
      </c>
      <c r="C1681">
        <v>2001</v>
      </c>
    </row>
    <row r="1682" spans="1:11" x14ac:dyDescent="0.25">
      <c r="A1682">
        <v>45.542756013273497</v>
      </c>
      <c r="B1682">
        <v>36.092591610703401</v>
      </c>
      <c r="C1682">
        <v>2000</v>
      </c>
    </row>
    <row r="1683" spans="1:11" x14ac:dyDescent="0.25">
      <c r="A1683" t="s">
        <v>83</v>
      </c>
    </row>
    <row r="1684" spans="1:11" x14ac:dyDescent="0.25">
      <c r="A1684">
        <v>641</v>
      </c>
      <c r="B1684">
        <v>0</v>
      </c>
      <c r="C1684">
        <v>35.692863896904903</v>
      </c>
      <c r="D1684">
        <v>14.7826725805277</v>
      </c>
      <c r="E1684">
        <v>8</v>
      </c>
      <c r="F1684">
        <v>1.5707963267949001</v>
      </c>
      <c r="G1684" t="s">
        <v>81</v>
      </c>
      <c r="H1684" t="s">
        <v>84</v>
      </c>
      <c r="I1684">
        <v>0</v>
      </c>
      <c r="J1684">
        <v>653</v>
      </c>
      <c r="K1684">
        <v>0</v>
      </c>
    </row>
    <row r="1685" spans="1:11" x14ac:dyDescent="0.25">
      <c r="A1685" t="s">
        <v>82</v>
      </c>
    </row>
    <row r="1686" spans="1:11" x14ac:dyDescent="0.25">
      <c r="A1686">
        <v>25.238666101469999</v>
      </c>
      <c r="B1686">
        <v>70.451154418034093</v>
      </c>
      <c r="C1686">
        <v>2000</v>
      </c>
    </row>
    <row r="1687" spans="1:11" x14ac:dyDescent="0.25">
      <c r="A1687">
        <v>4.78751168343587</v>
      </c>
      <c r="B1687">
        <v>50</v>
      </c>
      <c r="C1687">
        <v>2000</v>
      </c>
    </row>
    <row r="1688" spans="1:11" x14ac:dyDescent="0.25">
      <c r="A1688">
        <v>0</v>
      </c>
      <c r="B1688">
        <v>45.212488316564098</v>
      </c>
      <c r="C1688">
        <v>2000</v>
      </c>
    </row>
    <row r="1689" spans="1:11" x14ac:dyDescent="0.25">
      <c r="A1689">
        <v>0</v>
      </c>
      <c r="B1689">
        <v>45.212488316564098</v>
      </c>
      <c r="C1689">
        <v>2001</v>
      </c>
    </row>
    <row r="1690" spans="1:11" x14ac:dyDescent="0.25">
      <c r="A1690">
        <v>4.78751168343587</v>
      </c>
      <c r="B1690">
        <v>50</v>
      </c>
      <c r="C1690">
        <v>2001</v>
      </c>
    </row>
    <row r="1691" spans="1:11" x14ac:dyDescent="0.25">
      <c r="A1691">
        <v>25.238666101469999</v>
      </c>
      <c r="B1691">
        <v>70.451154418034093</v>
      </c>
      <c r="C1691">
        <v>2001</v>
      </c>
    </row>
    <row r="1692" spans="1:11" x14ac:dyDescent="0.25">
      <c r="A1692">
        <v>35.691594127221499</v>
      </c>
      <c r="B1692">
        <v>80.904082443785597</v>
      </c>
      <c r="C1692">
        <v>2001</v>
      </c>
    </row>
    <row r="1693" spans="1:11" x14ac:dyDescent="0.25">
      <c r="A1693">
        <v>35.691594127221499</v>
      </c>
      <c r="B1693">
        <v>80.904082443785597</v>
      </c>
      <c r="C1693">
        <v>2000</v>
      </c>
    </row>
    <row r="1694" spans="1:11" x14ac:dyDescent="0.25">
      <c r="A1694" t="s">
        <v>83</v>
      </c>
    </row>
    <row r="1695" spans="1:11" x14ac:dyDescent="0.25">
      <c r="A1695">
        <v>590</v>
      </c>
      <c r="B1695">
        <v>0</v>
      </c>
      <c r="C1695">
        <v>26.975633651952101</v>
      </c>
      <c r="D1695">
        <v>22.661091159711798</v>
      </c>
      <c r="E1695">
        <v>6</v>
      </c>
      <c r="F1695">
        <v>1.01722196789785</v>
      </c>
      <c r="G1695" t="s">
        <v>81</v>
      </c>
      <c r="H1695" t="s">
        <v>81</v>
      </c>
      <c r="I1695">
        <v>0</v>
      </c>
      <c r="J1695">
        <v>0</v>
      </c>
      <c r="K1695">
        <v>0</v>
      </c>
    </row>
    <row r="1696" spans="1:11" x14ac:dyDescent="0.25">
      <c r="A1696" t="s">
        <v>82</v>
      </c>
    </row>
    <row r="1697" spans="1:11" x14ac:dyDescent="0.25">
      <c r="A1697">
        <v>19.3121547318352</v>
      </c>
      <c r="B1697">
        <v>133.77667399716799</v>
      </c>
      <c r="C1697">
        <v>2000</v>
      </c>
    </row>
    <row r="1698" spans="1:11" x14ac:dyDescent="0.25">
      <c r="A1698">
        <v>0</v>
      </c>
      <c r="B1698">
        <v>114.464519265333</v>
      </c>
      <c r="C1698">
        <v>2000</v>
      </c>
    </row>
    <row r="1699" spans="1:11" x14ac:dyDescent="0.25">
      <c r="A1699">
        <v>0</v>
      </c>
      <c r="B1699">
        <v>115.338551314231</v>
      </c>
      <c r="C1699">
        <v>2001</v>
      </c>
    </row>
    <row r="1700" spans="1:11" x14ac:dyDescent="0.25">
      <c r="A1700">
        <v>18.837152232363501</v>
      </c>
      <c r="B1700">
        <v>134.17570354659401</v>
      </c>
      <c r="C1700">
        <v>2001</v>
      </c>
    </row>
    <row r="1701" spans="1:11" x14ac:dyDescent="0.25">
      <c r="A1701">
        <v>34.661448685769301</v>
      </c>
      <c r="B1701">
        <v>150</v>
      </c>
      <c r="C1701">
        <v>2001</v>
      </c>
    </row>
    <row r="1702" spans="1:11" x14ac:dyDescent="0.25">
      <c r="A1702">
        <v>35.535480734666997</v>
      </c>
      <c r="B1702">
        <v>150</v>
      </c>
      <c r="C1702">
        <v>2000</v>
      </c>
    </row>
    <row r="1703" spans="1:11" x14ac:dyDescent="0.25">
      <c r="A1703" t="s">
        <v>83</v>
      </c>
    </row>
    <row r="1704" spans="1:11" x14ac:dyDescent="0.25">
      <c r="A1704">
        <v>414</v>
      </c>
      <c r="B1704">
        <v>0</v>
      </c>
      <c r="C1704">
        <v>40.217346789320302</v>
      </c>
      <c r="D1704">
        <v>8.7603773073461504</v>
      </c>
      <c r="E1704">
        <v>8</v>
      </c>
      <c r="F1704">
        <v>1.5707963267949001</v>
      </c>
      <c r="G1704" t="s">
        <v>84</v>
      </c>
      <c r="H1704" t="s">
        <v>81</v>
      </c>
      <c r="I1704">
        <v>38</v>
      </c>
      <c r="J1704">
        <v>0</v>
      </c>
      <c r="K1704">
        <v>0</v>
      </c>
    </row>
    <row r="1705" spans="1:11" x14ac:dyDescent="0.25">
      <c r="A1705" t="s">
        <v>82</v>
      </c>
    </row>
    <row r="1706" spans="1:11" x14ac:dyDescent="0.25">
      <c r="A1706">
        <v>128.090101295658</v>
      </c>
      <c r="B1706">
        <v>143.805477800223</v>
      </c>
      <c r="C1706">
        <v>2000</v>
      </c>
    </row>
    <row r="1707" spans="1:11" x14ac:dyDescent="0.25">
      <c r="A1707">
        <v>100</v>
      </c>
      <c r="B1707">
        <v>115.71537650456401</v>
      </c>
      <c r="C1707">
        <v>2000</v>
      </c>
    </row>
    <row r="1708" spans="1:11" x14ac:dyDescent="0.25">
      <c r="A1708">
        <v>99.652142659598994</v>
      </c>
      <c r="B1708">
        <v>115.367519164163</v>
      </c>
      <c r="C1708">
        <v>2000</v>
      </c>
    </row>
    <row r="1709" spans="1:11" x14ac:dyDescent="0.25">
      <c r="A1709">
        <v>99.652142659598994</v>
      </c>
      <c r="B1709">
        <v>115.367519164163</v>
      </c>
      <c r="C1709">
        <v>2001</v>
      </c>
    </row>
    <row r="1710" spans="1:11" x14ac:dyDescent="0.25">
      <c r="A1710">
        <v>100</v>
      </c>
      <c r="B1710">
        <v>115.71537650456401</v>
      </c>
      <c r="C1710">
        <v>2001</v>
      </c>
    </row>
    <row r="1711" spans="1:11" x14ac:dyDescent="0.25">
      <c r="A1711">
        <v>128.090101295658</v>
      </c>
      <c r="B1711">
        <v>143.805477800223</v>
      </c>
      <c r="C1711">
        <v>2001</v>
      </c>
    </row>
    <row r="1712" spans="1:11" x14ac:dyDescent="0.25">
      <c r="A1712">
        <v>134.28462349543599</v>
      </c>
      <c r="B1712">
        <v>150</v>
      </c>
      <c r="C1712">
        <v>2001</v>
      </c>
    </row>
    <row r="1713" spans="1:11" x14ac:dyDescent="0.25">
      <c r="A1713">
        <v>134.28462349543599</v>
      </c>
      <c r="B1713">
        <v>150</v>
      </c>
      <c r="C1713">
        <v>2000</v>
      </c>
    </row>
    <row r="1714" spans="1:11" x14ac:dyDescent="0.25">
      <c r="A1714" t="s">
        <v>83</v>
      </c>
    </row>
    <row r="1715" spans="1:11" x14ac:dyDescent="0.25">
      <c r="A1715">
        <v>734</v>
      </c>
      <c r="B1715">
        <v>0</v>
      </c>
      <c r="C1715">
        <v>31.175854211513599</v>
      </c>
      <c r="D1715">
        <v>17.715693338254201</v>
      </c>
      <c r="E1715">
        <v>10</v>
      </c>
      <c r="F1715">
        <v>1.01722196789785</v>
      </c>
      <c r="G1715" t="s">
        <v>84</v>
      </c>
      <c r="H1715" t="s">
        <v>84</v>
      </c>
      <c r="I1715">
        <v>94</v>
      </c>
      <c r="J1715">
        <v>439</v>
      </c>
      <c r="K1715">
        <v>0.13222554274631901</v>
      </c>
    </row>
    <row r="1716" spans="1:11" x14ac:dyDescent="0.25">
      <c r="A1716" t="s">
        <v>82</v>
      </c>
    </row>
    <row r="1717" spans="1:11" x14ac:dyDescent="0.25">
      <c r="A1717">
        <v>118.535293434069</v>
      </c>
      <c r="B1717">
        <v>109.90913937236201</v>
      </c>
      <c r="C1717">
        <v>2000</v>
      </c>
    </row>
    <row r="1718" spans="1:11" x14ac:dyDescent="0.25">
      <c r="A1718">
        <v>108.844662073932</v>
      </c>
      <c r="B1718">
        <v>100.21850801222401</v>
      </c>
      <c r="C1718">
        <v>2000</v>
      </c>
    </row>
    <row r="1719" spans="1:11" x14ac:dyDescent="0.25">
      <c r="A1719">
        <v>99.781491987775595</v>
      </c>
      <c r="B1719">
        <v>91.155337926068199</v>
      </c>
      <c r="C1719">
        <v>2000</v>
      </c>
    </row>
    <row r="1720" spans="1:11" x14ac:dyDescent="0.25">
      <c r="A1720">
        <v>96.490635511824493</v>
      </c>
      <c r="B1720">
        <v>87.864481450117097</v>
      </c>
      <c r="C1720">
        <v>2000</v>
      </c>
    </row>
    <row r="1721" spans="1:11" x14ac:dyDescent="0.25">
      <c r="A1721">
        <v>96.927651536273302</v>
      </c>
      <c r="B1721">
        <v>87.427465425668302</v>
      </c>
      <c r="C1721">
        <v>2001</v>
      </c>
    </row>
    <row r="1722" spans="1:11" x14ac:dyDescent="0.25">
      <c r="A1722">
        <v>100.21850801222401</v>
      </c>
      <c r="B1722">
        <v>90.718321901619404</v>
      </c>
      <c r="C1722">
        <v>2001</v>
      </c>
    </row>
    <row r="1723" spans="1:11" x14ac:dyDescent="0.25">
      <c r="A1723">
        <v>109.28167809838099</v>
      </c>
      <c r="B1723">
        <v>99.781491987775595</v>
      </c>
      <c r="C1723">
        <v>2001</v>
      </c>
    </row>
    <row r="1724" spans="1:11" x14ac:dyDescent="0.25">
      <c r="A1724">
        <v>118.972309458518</v>
      </c>
      <c r="B1724">
        <v>109.472123347913</v>
      </c>
      <c r="C1724">
        <v>2001</v>
      </c>
    </row>
    <row r="1725" spans="1:11" x14ac:dyDescent="0.25">
      <c r="A1725">
        <v>131.49919635141899</v>
      </c>
      <c r="B1725">
        <v>121.999010240814</v>
      </c>
      <c r="C1725">
        <v>2001</v>
      </c>
    </row>
    <row r="1726" spans="1:11" x14ac:dyDescent="0.25">
      <c r="A1726">
        <v>131.06218032697001</v>
      </c>
      <c r="B1726">
        <v>122.436026265262</v>
      </c>
      <c r="C1726">
        <v>2000</v>
      </c>
    </row>
    <row r="1727" spans="1:11" x14ac:dyDescent="0.25">
      <c r="A1727" t="s">
        <v>83</v>
      </c>
    </row>
    <row r="1728" spans="1:11" x14ac:dyDescent="0.25">
      <c r="A1728">
        <v>272</v>
      </c>
      <c r="B1728">
        <v>0</v>
      </c>
      <c r="C1728">
        <v>6.1459598899766004</v>
      </c>
      <c r="D1728">
        <v>42.357269026105399</v>
      </c>
      <c r="E1728">
        <v>6</v>
      </c>
      <c r="F1728">
        <v>1.01722196789785</v>
      </c>
      <c r="G1728" t="s">
        <v>81</v>
      </c>
      <c r="H1728" t="s">
        <v>81</v>
      </c>
      <c r="I1728">
        <v>0</v>
      </c>
      <c r="J1728">
        <v>0</v>
      </c>
      <c r="K1728">
        <v>0</v>
      </c>
    </row>
    <row r="1729" spans="1:11" x14ac:dyDescent="0.25">
      <c r="A1729" t="s">
        <v>82</v>
      </c>
    </row>
    <row r="1730" spans="1:11" x14ac:dyDescent="0.25">
      <c r="A1730">
        <v>119.66724715805501</v>
      </c>
      <c r="B1730">
        <v>4.4012252585092204</v>
      </c>
      <c r="C1730">
        <v>2000</v>
      </c>
    </row>
    <row r="1731" spans="1:11" x14ac:dyDescent="0.25">
      <c r="A1731">
        <v>115.266021899546</v>
      </c>
      <c r="B1731">
        <v>0</v>
      </c>
      <c r="C1731">
        <v>2000</v>
      </c>
    </row>
    <row r="1732" spans="1:11" x14ac:dyDescent="0.25">
      <c r="A1732">
        <v>116.14005394844401</v>
      </c>
      <c r="B1732">
        <v>0</v>
      </c>
      <c r="C1732">
        <v>2001</v>
      </c>
    </row>
    <row r="1733" spans="1:11" x14ac:dyDescent="0.25">
      <c r="A1733">
        <v>120.43052852014</v>
      </c>
      <c r="B1733">
        <v>4.2904745716967403</v>
      </c>
      <c r="C1733">
        <v>2001</v>
      </c>
    </row>
    <row r="1734" spans="1:11" x14ac:dyDescent="0.25">
      <c r="A1734">
        <v>150</v>
      </c>
      <c r="B1734">
        <v>33.8599460515562</v>
      </c>
      <c r="C1734">
        <v>2001</v>
      </c>
    </row>
    <row r="1735" spans="1:11" x14ac:dyDescent="0.25">
      <c r="A1735">
        <v>150</v>
      </c>
      <c r="B1735">
        <v>34.733978100453903</v>
      </c>
      <c r="C1735">
        <v>2000</v>
      </c>
    </row>
    <row r="1736" spans="1:11" x14ac:dyDescent="0.25">
      <c r="A1736" t="s">
        <v>83</v>
      </c>
    </row>
    <row r="1737" spans="1:11" x14ac:dyDescent="0.25">
      <c r="A1737">
        <v>93</v>
      </c>
      <c r="B1737">
        <v>0</v>
      </c>
      <c r="C1737">
        <v>42.655155048985101</v>
      </c>
      <c r="D1737">
        <v>5.2748621897119099</v>
      </c>
      <c r="E1737">
        <v>10</v>
      </c>
      <c r="F1737">
        <v>1.5707963267949001</v>
      </c>
      <c r="G1737" t="s">
        <v>84</v>
      </c>
      <c r="H1737" t="s">
        <v>84</v>
      </c>
      <c r="I1737">
        <v>490</v>
      </c>
      <c r="J1737">
        <v>196</v>
      </c>
      <c r="K1737">
        <v>0</v>
      </c>
    </row>
    <row r="1738" spans="1:11" x14ac:dyDescent="0.25">
      <c r="A1738" t="s">
        <v>82</v>
      </c>
    </row>
    <row r="1739" spans="1:11" x14ac:dyDescent="0.25">
      <c r="A1739">
        <v>96.790760765686002</v>
      </c>
      <c r="B1739">
        <v>72.944483229864602</v>
      </c>
      <c r="C1739">
        <v>2000</v>
      </c>
    </row>
    <row r="1740" spans="1:11" x14ac:dyDescent="0.25">
      <c r="A1740">
        <v>73.8462775358214</v>
      </c>
      <c r="B1740">
        <v>50</v>
      </c>
      <c r="C1740">
        <v>2000</v>
      </c>
    </row>
    <row r="1741" spans="1:11" x14ac:dyDescent="0.25">
      <c r="A1741">
        <v>66.629011377985094</v>
      </c>
      <c r="B1741">
        <v>42.782733842163701</v>
      </c>
      <c r="C1741">
        <v>2000</v>
      </c>
    </row>
    <row r="1742" spans="1:11" x14ac:dyDescent="0.25">
      <c r="A1742">
        <v>66.629011377985094</v>
      </c>
      <c r="B1742">
        <v>42.782733842163701</v>
      </c>
      <c r="C1742">
        <v>2001</v>
      </c>
    </row>
    <row r="1743" spans="1:11" x14ac:dyDescent="0.25">
      <c r="A1743">
        <v>73.8462775358214</v>
      </c>
      <c r="B1743">
        <v>50</v>
      </c>
      <c r="C1743">
        <v>2001</v>
      </c>
    </row>
    <row r="1744" spans="1:11" x14ac:dyDescent="0.25">
      <c r="A1744">
        <v>96.790760765686002</v>
      </c>
      <c r="B1744">
        <v>72.944483229864602</v>
      </c>
      <c r="C1744">
        <v>2001</v>
      </c>
    </row>
    <row r="1745" spans="1:11" x14ac:dyDescent="0.25">
      <c r="A1745">
        <v>100</v>
      </c>
      <c r="B1745">
        <v>76.1537224641786</v>
      </c>
      <c r="C1745">
        <v>2001</v>
      </c>
    </row>
    <row r="1746" spans="1:11" x14ac:dyDescent="0.25">
      <c r="A1746">
        <v>100.520651589856</v>
      </c>
      <c r="B1746">
        <v>76.674374054034402</v>
      </c>
      <c r="C1746">
        <v>2001</v>
      </c>
    </row>
    <row r="1747" spans="1:11" x14ac:dyDescent="0.25">
      <c r="A1747">
        <v>100.520651589856</v>
      </c>
      <c r="B1747">
        <v>76.674374054034402</v>
      </c>
      <c r="C1747">
        <v>2000</v>
      </c>
    </row>
    <row r="1748" spans="1:11" x14ac:dyDescent="0.25">
      <c r="A1748">
        <v>100</v>
      </c>
      <c r="B1748">
        <v>76.1537224641786</v>
      </c>
      <c r="C1748">
        <v>2000</v>
      </c>
    </row>
    <row r="1749" spans="1:11" x14ac:dyDescent="0.25">
      <c r="A1749" t="s">
        <v>83</v>
      </c>
    </row>
    <row r="1750" spans="1:11" x14ac:dyDescent="0.25">
      <c r="A1750">
        <v>406</v>
      </c>
      <c r="B1750">
        <v>0</v>
      </c>
      <c r="C1750">
        <v>15.9510670719153</v>
      </c>
      <c r="D1750">
        <v>31.603965473648</v>
      </c>
      <c r="E1750">
        <v>10</v>
      </c>
      <c r="F1750">
        <v>1.5707963267949001</v>
      </c>
      <c r="G1750" t="s">
        <v>84</v>
      </c>
      <c r="H1750" t="s">
        <v>84</v>
      </c>
      <c r="I1750">
        <v>84</v>
      </c>
      <c r="J1750">
        <v>402</v>
      </c>
      <c r="K1750">
        <v>0</v>
      </c>
    </row>
    <row r="1751" spans="1:11" x14ac:dyDescent="0.25">
      <c r="A1751" t="s">
        <v>82</v>
      </c>
    </row>
    <row r="1752" spans="1:11" x14ac:dyDescent="0.25">
      <c r="A1752">
        <v>110.74145428638001</v>
      </c>
      <c r="B1752">
        <v>105.941686397857</v>
      </c>
      <c r="C1752">
        <v>2000</v>
      </c>
    </row>
    <row r="1753" spans="1:11" x14ac:dyDescent="0.25">
      <c r="A1753">
        <v>104.799767888524</v>
      </c>
      <c r="B1753">
        <v>100</v>
      </c>
      <c r="C1753">
        <v>2000</v>
      </c>
    </row>
    <row r="1754" spans="1:11" x14ac:dyDescent="0.25">
      <c r="A1754">
        <v>100</v>
      </c>
      <c r="B1754">
        <v>95.200232111476495</v>
      </c>
      <c r="C1754">
        <v>2000</v>
      </c>
    </row>
    <row r="1755" spans="1:11" x14ac:dyDescent="0.25">
      <c r="A1755">
        <v>99.4623465926677</v>
      </c>
      <c r="B1755">
        <v>94.662578704144096</v>
      </c>
      <c r="C1755">
        <v>2000</v>
      </c>
    </row>
    <row r="1756" spans="1:11" x14ac:dyDescent="0.25">
      <c r="A1756">
        <v>99.4623465926677</v>
      </c>
      <c r="B1756">
        <v>94.662578704144096</v>
      </c>
      <c r="C1756">
        <v>2001</v>
      </c>
    </row>
    <row r="1757" spans="1:11" x14ac:dyDescent="0.25">
      <c r="A1757">
        <v>100</v>
      </c>
      <c r="B1757">
        <v>95.200232111476495</v>
      </c>
      <c r="C1757">
        <v>2001</v>
      </c>
    </row>
    <row r="1758" spans="1:11" x14ac:dyDescent="0.25">
      <c r="A1758">
        <v>104.799767888524</v>
      </c>
      <c r="B1758">
        <v>100</v>
      </c>
      <c r="C1758">
        <v>2001</v>
      </c>
    </row>
    <row r="1759" spans="1:11" x14ac:dyDescent="0.25">
      <c r="A1759">
        <v>110.74145428638001</v>
      </c>
      <c r="B1759">
        <v>105.941686397857</v>
      </c>
      <c r="C1759">
        <v>2001</v>
      </c>
    </row>
    <row r="1760" spans="1:11" x14ac:dyDescent="0.25">
      <c r="A1760">
        <v>133.08883258518199</v>
      </c>
      <c r="B1760">
        <v>128.28906469665901</v>
      </c>
      <c r="C1760">
        <v>2001</v>
      </c>
    </row>
    <row r="1761" spans="1:11" x14ac:dyDescent="0.25">
      <c r="A1761">
        <v>133.08883258518199</v>
      </c>
      <c r="B1761">
        <v>128.28906469665901</v>
      </c>
      <c r="C1761">
        <v>2000</v>
      </c>
    </row>
    <row r="1762" spans="1:11" x14ac:dyDescent="0.25">
      <c r="A1762" t="s">
        <v>83</v>
      </c>
    </row>
    <row r="1763" spans="1:11" x14ac:dyDescent="0.25">
      <c r="A1763">
        <v>407</v>
      </c>
      <c r="B1763">
        <v>0</v>
      </c>
      <c r="C1763">
        <v>30.816298103294201</v>
      </c>
      <c r="D1763">
        <v>16.598077996322601</v>
      </c>
      <c r="E1763">
        <v>6</v>
      </c>
      <c r="F1763">
        <v>1.5707963267949001</v>
      </c>
      <c r="G1763" t="s">
        <v>84</v>
      </c>
      <c r="H1763" t="s">
        <v>81</v>
      </c>
      <c r="I1763">
        <v>729</v>
      </c>
      <c r="J1763">
        <v>0</v>
      </c>
      <c r="K1763">
        <v>0</v>
      </c>
    </row>
    <row r="1764" spans="1:11" x14ac:dyDescent="0.25">
      <c r="A1764" t="s">
        <v>82</v>
      </c>
    </row>
    <row r="1765" spans="1:11" x14ac:dyDescent="0.25">
      <c r="A1765">
        <v>138.26338649413699</v>
      </c>
      <c r="B1765">
        <v>124.62897438073</v>
      </c>
      <c r="C1765">
        <v>2000</v>
      </c>
    </row>
    <row r="1766" spans="1:11" x14ac:dyDescent="0.25">
      <c r="A1766">
        <v>116.47297313423201</v>
      </c>
      <c r="B1766">
        <v>102.838561020825</v>
      </c>
      <c r="C1766">
        <v>2000</v>
      </c>
    </row>
    <row r="1767" spans="1:11" x14ac:dyDescent="0.25">
      <c r="A1767">
        <v>116.47297313423201</v>
      </c>
      <c r="B1767">
        <v>102.838561020825</v>
      </c>
      <c r="C1767">
        <v>2001</v>
      </c>
    </row>
    <row r="1768" spans="1:11" x14ac:dyDescent="0.25">
      <c r="A1768">
        <v>138.26338649413699</v>
      </c>
      <c r="B1768">
        <v>124.62897438073</v>
      </c>
      <c r="C1768">
        <v>2001</v>
      </c>
    </row>
    <row r="1769" spans="1:11" x14ac:dyDescent="0.25">
      <c r="A1769">
        <v>150</v>
      </c>
      <c r="B1769">
        <v>136.365587886593</v>
      </c>
      <c r="C1769">
        <v>2001</v>
      </c>
    </row>
    <row r="1770" spans="1:11" x14ac:dyDescent="0.25">
      <c r="A1770">
        <v>150</v>
      </c>
      <c r="B1770">
        <v>136.365587886593</v>
      </c>
      <c r="C1770">
        <v>2000</v>
      </c>
    </row>
    <row r="1771" spans="1:11" x14ac:dyDescent="0.25">
      <c r="A1771" t="s">
        <v>83</v>
      </c>
    </row>
    <row r="1772" spans="1:11" x14ac:dyDescent="0.25">
      <c r="A1772">
        <v>566</v>
      </c>
      <c r="B1772">
        <v>0</v>
      </c>
      <c r="C1772">
        <v>20.900110118538901</v>
      </c>
      <c r="D1772">
        <v>26.3358503358413</v>
      </c>
      <c r="E1772">
        <v>6</v>
      </c>
      <c r="F1772">
        <v>1.5707963267949001</v>
      </c>
      <c r="G1772" t="s">
        <v>84</v>
      </c>
      <c r="H1772" t="s">
        <v>84</v>
      </c>
      <c r="I1772">
        <v>651</v>
      </c>
      <c r="J1772">
        <v>576</v>
      </c>
      <c r="K1772">
        <v>0</v>
      </c>
    </row>
    <row r="1773" spans="1:11" x14ac:dyDescent="0.25">
      <c r="A1773" t="s">
        <v>82</v>
      </c>
    </row>
    <row r="1774" spans="1:11" x14ac:dyDescent="0.25">
      <c r="A1774">
        <v>24.480738350879701</v>
      </c>
      <c r="B1774">
        <v>115.981888371046</v>
      </c>
      <c r="C1774">
        <v>2000</v>
      </c>
    </row>
    <row r="1775" spans="1:11" x14ac:dyDescent="0.25">
      <c r="A1775">
        <v>9.7021287585152791</v>
      </c>
      <c r="B1775">
        <v>101.203278778681</v>
      </c>
      <c r="C1775">
        <v>2000</v>
      </c>
    </row>
    <row r="1776" spans="1:11" x14ac:dyDescent="0.25">
      <c r="A1776">
        <v>9.7021287585152791</v>
      </c>
      <c r="B1776">
        <v>101.203278778681</v>
      </c>
      <c r="C1776">
        <v>2001</v>
      </c>
    </row>
    <row r="1777" spans="1:11" x14ac:dyDescent="0.25">
      <c r="A1777">
        <v>24.480738350879701</v>
      </c>
      <c r="B1777">
        <v>115.981888371046</v>
      </c>
      <c r="C1777">
        <v>2001</v>
      </c>
    </row>
    <row r="1778" spans="1:11" x14ac:dyDescent="0.25">
      <c r="A1778">
        <v>43.102996711667203</v>
      </c>
      <c r="B1778">
        <v>134.604146731833</v>
      </c>
      <c r="C1778">
        <v>2001</v>
      </c>
    </row>
    <row r="1779" spans="1:11" x14ac:dyDescent="0.25">
      <c r="A1779">
        <v>43.102996711667203</v>
      </c>
      <c r="B1779">
        <v>134.604146731833</v>
      </c>
      <c r="C1779">
        <v>2000</v>
      </c>
    </row>
    <row r="1780" spans="1:11" x14ac:dyDescent="0.25">
      <c r="A1780" t="s">
        <v>83</v>
      </c>
    </row>
    <row r="1781" spans="1:11" x14ac:dyDescent="0.25">
      <c r="A1781">
        <v>437</v>
      </c>
      <c r="B1781">
        <v>0</v>
      </c>
      <c r="C1781">
        <v>44.1998427420261</v>
      </c>
      <c r="D1781">
        <v>2.59644221452518</v>
      </c>
      <c r="E1781">
        <v>10</v>
      </c>
      <c r="F1781">
        <v>1.01722196789785</v>
      </c>
      <c r="G1781" t="s">
        <v>84</v>
      </c>
      <c r="H1781" t="s">
        <v>84</v>
      </c>
      <c r="I1781">
        <v>102</v>
      </c>
      <c r="J1781">
        <v>408</v>
      </c>
      <c r="K1781">
        <v>0</v>
      </c>
    </row>
    <row r="1782" spans="1:11" x14ac:dyDescent="0.25">
      <c r="A1782" t="s">
        <v>82</v>
      </c>
    </row>
    <row r="1783" spans="1:11" x14ac:dyDescent="0.25">
      <c r="A1783">
        <v>114.720216776575</v>
      </c>
      <c r="B1783">
        <v>116.721187908543</v>
      </c>
      <c r="C1783">
        <v>2000</v>
      </c>
    </row>
    <row r="1784" spans="1:11" x14ac:dyDescent="0.25">
      <c r="A1784">
        <v>100.21850801222401</v>
      </c>
      <c r="B1784">
        <v>102.21947914419199</v>
      </c>
      <c r="C1784">
        <v>2000</v>
      </c>
    </row>
    <row r="1785" spans="1:11" x14ac:dyDescent="0.25">
      <c r="A1785">
        <v>97.780520855808106</v>
      </c>
      <c r="B1785">
        <v>99.781491987775595</v>
      </c>
      <c r="C1785">
        <v>2000</v>
      </c>
    </row>
    <row r="1786" spans="1:11" x14ac:dyDescent="0.25">
      <c r="A1786">
        <v>83.466208246309606</v>
      </c>
      <c r="B1786">
        <v>85.467179378277095</v>
      </c>
      <c r="C1786">
        <v>2000</v>
      </c>
    </row>
    <row r="1787" spans="1:11" x14ac:dyDescent="0.25">
      <c r="A1787">
        <v>83.029192221860797</v>
      </c>
      <c r="B1787">
        <v>85.904195402725904</v>
      </c>
      <c r="C1787">
        <v>2001</v>
      </c>
    </row>
    <row r="1788" spans="1:11" x14ac:dyDescent="0.25">
      <c r="A1788">
        <v>97.343504831359297</v>
      </c>
      <c r="B1788">
        <v>100.21850801222401</v>
      </c>
      <c r="C1788">
        <v>2001</v>
      </c>
    </row>
    <row r="1789" spans="1:11" x14ac:dyDescent="0.25">
      <c r="A1789">
        <v>99.781491987775595</v>
      </c>
      <c r="B1789">
        <v>102.656495168641</v>
      </c>
      <c r="C1789">
        <v>2001</v>
      </c>
    </row>
    <row r="1790" spans="1:11" x14ac:dyDescent="0.25">
      <c r="A1790">
        <v>114.28320075212601</v>
      </c>
      <c r="B1790">
        <v>117.158203932992</v>
      </c>
      <c r="C1790">
        <v>2001</v>
      </c>
    </row>
    <row r="1791" spans="1:11" x14ac:dyDescent="0.25">
      <c r="A1791">
        <v>116.119162648976</v>
      </c>
      <c r="B1791">
        <v>118.99416582984099</v>
      </c>
      <c r="C1791">
        <v>2001</v>
      </c>
    </row>
    <row r="1792" spans="1:11" x14ac:dyDescent="0.25">
      <c r="A1792">
        <v>116.55617867342499</v>
      </c>
      <c r="B1792">
        <v>118.557149805393</v>
      </c>
      <c r="C1792">
        <v>2000</v>
      </c>
    </row>
    <row r="1793" spans="1:11" x14ac:dyDescent="0.25">
      <c r="A1793" t="s">
        <v>83</v>
      </c>
    </row>
    <row r="1794" spans="1:11" x14ac:dyDescent="0.25">
      <c r="A1794">
        <v>430</v>
      </c>
      <c r="B1794">
        <v>0</v>
      </c>
      <c r="C1794">
        <v>44.322259185537398</v>
      </c>
      <c r="D1794">
        <v>1.86818762548336</v>
      </c>
      <c r="E1794">
        <v>8</v>
      </c>
      <c r="F1794">
        <v>1.01722196789785</v>
      </c>
      <c r="G1794" t="s">
        <v>84</v>
      </c>
      <c r="H1794" t="s">
        <v>81</v>
      </c>
      <c r="I1794">
        <v>330</v>
      </c>
      <c r="J1794">
        <v>0</v>
      </c>
      <c r="K1794">
        <v>0</v>
      </c>
    </row>
    <row r="1795" spans="1:11" x14ac:dyDescent="0.25">
      <c r="A1795" t="s">
        <v>82</v>
      </c>
    </row>
    <row r="1796" spans="1:11" x14ac:dyDescent="0.25">
      <c r="A1796">
        <v>125.394768453845</v>
      </c>
      <c r="B1796">
        <v>148.68962664094499</v>
      </c>
      <c r="C1796">
        <v>2000</v>
      </c>
    </row>
    <row r="1797" spans="1:11" x14ac:dyDescent="0.25">
      <c r="A1797">
        <v>99.781491987775595</v>
      </c>
      <c r="B1797">
        <v>123.076350174875</v>
      </c>
      <c r="C1797">
        <v>2000</v>
      </c>
    </row>
    <row r="1798" spans="1:11" x14ac:dyDescent="0.25">
      <c r="A1798">
        <v>94.262071659015405</v>
      </c>
      <c r="B1798">
        <v>117.556929846115</v>
      </c>
      <c r="C1798">
        <v>2000</v>
      </c>
    </row>
    <row r="1799" spans="1:11" x14ac:dyDescent="0.25">
      <c r="A1799">
        <v>94.699087683464199</v>
      </c>
      <c r="B1799">
        <v>117.119913821666</v>
      </c>
      <c r="C1799">
        <v>2001</v>
      </c>
    </row>
    <row r="1800" spans="1:11" x14ac:dyDescent="0.25">
      <c r="A1800">
        <v>100.21850801222401</v>
      </c>
      <c r="B1800">
        <v>122.639334150427</v>
      </c>
      <c r="C1800">
        <v>2001</v>
      </c>
    </row>
    <row r="1801" spans="1:11" x14ac:dyDescent="0.25">
      <c r="A1801">
        <v>126.24753094383701</v>
      </c>
      <c r="B1801">
        <v>148.66835708203899</v>
      </c>
      <c r="C1801">
        <v>2001</v>
      </c>
    </row>
    <row r="1802" spans="1:11" x14ac:dyDescent="0.25">
      <c r="A1802">
        <v>127.579173861798</v>
      </c>
      <c r="B1802">
        <v>150</v>
      </c>
      <c r="C1802">
        <v>2001</v>
      </c>
    </row>
    <row r="1803" spans="1:11" x14ac:dyDescent="0.25">
      <c r="A1803">
        <v>126.7051418129</v>
      </c>
      <c r="B1803">
        <v>150</v>
      </c>
      <c r="C1803">
        <v>2000</v>
      </c>
    </row>
    <row r="1804" spans="1:11" x14ac:dyDescent="0.25">
      <c r="A1804" t="s">
        <v>83</v>
      </c>
    </row>
    <row r="1805" spans="1:11" x14ac:dyDescent="0.25">
      <c r="A1805">
        <v>426</v>
      </c>
      <c r="B1805">
        <v>0</v>
      </c>
      <c r="C1805">
        <v>26.6806940406845</v>
      </c>
      <c r="D1805">
        <v>19.1950237339788</v>
      </c>
      <c r="E1805">
        <v>6</v>
      </c>
      <c r="F1805">
        <v>1.01722196789785</v>
      </c>
      <c r="G1805" t="s">
        <v>84</v>
      </c>
      <c r="H1805" t="s">
        <v>81</v>
      </c>
      <c r="I1805">
        <v>729</v>
      </c>
      <c r="J1805">
        <v>0</v>
      </c>
      <c r="K1805">
        <v>0</v>
      </c>
    </row>
    <row r="1806" spans="1:11" x14ac:dyDescent="0.25">
      <c r="A1806" t="s">
        <v>82</v>
      </c>
    </row>
    <row r="1807" spans="1:11" x14ac:dyDescent="0.25">
      <c r="A1807">
        <v>136.33564183099</v>
      </c>
      <c r="B1807">
        <v>120.96225427102399</v>
      </c>
      <c r="C1807">
        <v>2000</v>
      </c>
    </row>
    <row r="1808" spans="1:11" x14ac:dyDescent="0.25">
      <c r="A1808">
        <v>117.342460857511</v>
      </c>
      <c r="B1808">
        <v>101.96907329754499</v>
      </c>
      <c r="C1808">
        <v>2000</v>
      </c>
    </row>
    <row r="1809" spans="1:11" x14ac:dyDescent="0.25">
      <c r="A1809">
        <v>117.77947688195999</v>
      </c>
      <c r="B1809">
        <v>101.532057273097</v>
      </c>
      <c r="C1809">
        <v>2001</v>
      </c>
    </row>
    <row r="1810" spans="1:11" x14ac:dyDescent="0.25">
      <c r="A1810">
        <v>136.51849527434399</v>
      </c>
      <c r="B1810">
        <v>120.27107566548101</v>
      </c>
      <c r="C1810">
        <v>2001</v>
      </c>
    </row>
    <row r="1811" spans="1:11" x14ac:dyDescent="0.25">
      <c r="A1811">
        <v>150</v>
      </c>
      <c r="B1811">
        <v>133.752580391137</v>
      </c>
      <c r="C1811">
        <v>2001</v>
      </c>
    </row>
    <row r="1812" spans="1:11" x14ac:dyDescent="0.25">
      <c r="A1812">
        <v>150</v>
      </c>
      <c r="B1812">
        <v>134.62661244003399</v>
      </c>
      <c r="C1812">
        <v>2000</v>
      </c>
    </row>
    <row r="1813" spans="1:11" x14ac:dyDescent="0.25">
      <c r="A1813" t="s">
        <v>83</v>
      </c>
    </row>
    <row r="1814" spans="1:11" x14ac:dyDescent="0.25">
      <c r="A1814">
        <v>356</v>
      </c>
      <c r="B1814">
        <v>0</v>
      </c>
      <c r="C1814">
        <v>33.032070125396302</v>
      </c>
      <c r="D1814">
        <v>12.633474302757801</v>
      </c>
      <c r="E1814">
        <v>10</v>
      </c>
      <c r="F1814">
        <v>1.01722196789785</v>
      </c>
      <c r="G1814" t="s">
        <v>84</v>
      </c>
      <c r="H1814" t="s">
        <v>84</v>
      </c>
      <c r="I1814">
        <v>675</v>
      </c>
      <c r="J1814">
        <v>412</v>
      </c>
      <c r="K1814">
        <v>0</v>
      </c>
    </row>
    <row r="1815" spans="1:11" x14ac:dyDescent="0.25">
      <c r="A1815" t="s">
        <v>82</v>
      </c>
    </row>
    <row r="1816" spans="1:11" x14ac:dyDescent="0.25">
      <c r="A1816">
        <v>68.179405632507894</v>
      </c>
      <c r="B1816">
        <v>100.21883244264301</v>
      </c>
      <c r="C1816">
        <v>2000</v>
      </c>
    </row>
    <row r="1817" spans="1:11" x14ac:dyDescent="0.25">
      <c r="A1817">
        <v>67.7420651776401</v>
      </c>
      <c r="B1817">
        <v>99.781491987775595</v>
      </c>
      <c r="C1817">
        <v>2000</v>
      </c>
    </row>
    <row r="1818" spans="1:11" x14ac:dyDescent="0.25">
      <c r="A1818">
        <v>50.218508012224397</v>
      </c>
      <c r="B1818">
        <v>82.2579348223598</v>
      </c>
      <c r="C1818">
        <v>2000</v>
      </c>
    </row>
    <row r="1819" spans="1:11" x14ac:dyDescent="0.25">
      <c r="A1819">
        <v>44.822204850210603</v>
      </c>
      <c r="B1819">
        <v>76.861631660346006</v>
      </c>
      <c r="C1819">
        <v>2000</v>
      </c>
    </row>
    <row r="1820" spans="1:11" x14ac:dyDescent="0.25">
      <c r="A1820">
        <v>44.385188825761801</v>
      </c>
      <c r="B1820">
        <v>77.298647684794801</v>
      </c>
      <c r="C1820">
        <v>2001</v>
      </c>
    </row>
    <row r="1821" spans="1:11" x14ac:dyDescent="0.25">
      <c r="A1821">
        <v>49.781491987775603</v>
      </c>
      <c r="B1821">
        <v>82.694950846808695</v>
      </c>
      <c r="C1821">
        <v>2001</v>
      </c>
    </row>
    <row r="1822" spans="1:11" x14ac:dyDescent="0.25">
      <c r="A1822">
        <v>67.305049153191305</v>
      </c>
      <c r="B1822">
        <v>100.21850801222401</v>
      </c>
      <c r="C1822">
        <v>2001</v>
      </c>
    </row>
    <row r="1823" spans="1:11" x14ac:dyDescent="0.25">
      <c r="A1823">
        <v>67.742389608059</v>
      </c>
      <c r="B1823">
        <v>100.655848467092</v>
      </c>
      <c r="C1823">
        <v>2001</v>
      </c>
    </row>
    <row r="1824" spans="1:11" x14ac:dyDescent="0.25">
      <c r="A1824">
        <v>76.675604957485106</v>
      </c>
      <c r="B1824">
        <v>109.58906381651801</v>
      </c>
      <c r="C1824">
        <v>2001</v>
      </c>
    </row>
    <row r="1825" spans="1:11" x14ac:dyDescent="0.25">
      <c r="A1825">
        <v>77.112620981933901</v>
      </c>
      <c r="B1825">
        <v>109.152047792069</v>
      </c>
      <c r="C1825">
        <v>2000</v>
      </c>
    </row>
    <row r="1826" spans="1:11" x14ac:dyDescent="0.25">
      <c r="A1826" t="s">
        <v>83</v>
      </c>
    </row>
    <row r="1827" spans="1:11" x14ac:dyDescent="0.25">
      <c r="A1827">
        <v>510</v>
      </c>
      <c r="B1827">
        <v>0</v>
      </c>
      <c r="C1827">
        <v>15.7394728126629</v>
      </c>
      <c r="D1827">
        <v>29.725105868631601</v>
      </c>
      <c r="E1827">
        <v>8</v>
      </c>
      <c r="F1827">
        <v>1.01722196789785</v>
      </c>
      <c r="G1827" t="s">
        <v>84</v>
      </c>
      <c r="H1827" t="s">
        <v>84</v>
      </c>
      <c r="I1827">
        <v>504</v>
      </c>
      <c r="J1827">
        <v>189</v>
      </c>
      <c r="K1827">
        <v>0</v>
      </c>
    </row>
    <row r="1828" spans="1:11" x14ac:dyDescent="0.25">
      <c r="A1828" t="s">
        <v>82</v>
      </c>
    </row>
    <row r="1829" spans="1:11" x14ac:dyDescent="0.25">
      <c r="A1829">
        <v>97.010896466216295</v>
      </c>
      <c r="B1829">
        <v>27.207302411644601</v>
      </c>
      <c r="C1829">
        <v>2000</v>
      </c>
    </row>
    <row r="1830" spans="1:11" x14ac:dyDescent="0.25">
      <c r="A1830">
        <v>85.881408508080995</v>
      </c>
      <c r="B1830">
        <v>16.077814453509301</v>
      </c>
      <c r="C1830">
        <v>2000</v>
      </c>
    </row>
    <row r="1831" spans="1:11" x14ac:dyDescent="0.25">
      <c r="A1831">
        <v>86.318424532529804</v>
      </c>
      <c r="B1831">
        <v>15.640798429060499</v>
      </c>
      <c r="C1831">
        <v>2001</v>
      </c>
    </row>
    <row r="1832" spans="1:11" x14ac:dyDescent="0.25">
      <c r="A1832">
        <v>97.447912490665104</v>
      </c>
      <c r="B1832">
        <v>26.7702863871957</v>
      </c>
      <c r="C1832">
        <v>2001</v>
      </c>
    </row>
    <row r="1833" spans="1:11" x14ac:dyDescent="0.25">
      <c r="A1833">
        <v>100.21850801222401</v>
      </c>
      <c r="B1833">
        <v>29.540881908755001</v>
      </c>
      <c r="C1833">
        <v>2001</v>
      </c>
    </row>
    <row r="1834" spans="1:11" x14ac:dyDescent="0.25">
      <c r="A1834">
        <v>118.466736421863</v>
      </c>
      <c r="B1834">
        <v>47.789110318393199</v>
      </c>
      <c r="C1834">
        <v>2001</v>
      </c>
    </row>
    <row r="1835" spans="1:11" x14ac:dyDescent="0.25">
      <c r="A1835">
        <v>118.029720397414</v>
      </c>
      <c r="B1835">
        <v>48.226126342842001</v>
      </c>
      <c r="C1835">
        <v>2000</v>
      </c>
    </row>
    <row r="1836" spans="1:11" x14ac:dyDescent="0.25">
      <c r="A1836">
        <v>99.781491987775595</v>
      </c>
      <c r="B1836">
        <v>29.977897933203899</v>
      </c>
      <c r="C1836">
        <v>2000</v>
      </c>
    </row>
    <row r="1837" spans="1:11" x14ac:dyDescent="0.25">
      <c r="A1837" t="s">
        <v>83</v>
      </c>
    </row>
    <row r="1838" spans="1:11" x14ac:dyDescent="0.25">
      <c r="A1838">
        <v>405</v>
      </c>
      <c r="B1838">
        <v>0</v>
      </c>
      <c r="C1838">
        <v>28.732006282137899</v>
      </c>
      <c r="D1838">
        <v>16.694498000250402</v>
      </c>
      <c r="E1838">
        <v>6</v>
      </c>
      <c r="F1838">
        <v>1.5707963267949001</v>
      </c>
      <c r="G1838" t="s">
        <v>84</v>
      </c>
      <c r="H1838" t="s">
        <v>81</v>
      </c>
      <c r="I1838">
        <v>90</v>
      </c>
      <c r="J1838">
        <v>0</v>
      </c>
      <c r="K1838">
        <v>0</v>
      </c>
    </row>
    <row r="1839" spans="1:11" x14ac:dyDescent="0.25">
      <c r="A1839" t="s">
        <v>82</v>
      </c>
    </row>
    <row r="1840" spans="1:11" x14ac:dyDescent="0.25">
      <c r="A1840">
        <v>138.195207255518</v>
      </c>
      <c r="B1840">
        <v>121.749519857927</v>
      </c>
      <c r="C1840">
        <v>2000</v>
      </c>
    </row>
    <row r="1841" spans="1:11" x14ac:dyDescent="0.25">
      <c r="A1841">
        <v>117.878610776323</v>
      </c>
      <c r="B1841">
        <v>101.43292337873299</v>
      </c>
      <c r="C1841">
        <v>2000</v>
      </c>
    </row>
    <row r="1842" spans="1:11" x14ac:dyDescent="0.25">
      <c r="A1842">
        <v>117.878610776323</v>
      </c>
      <c r="B1842">
        <v>101.43292337873299</v>
      </c>
      <c r="C1842">
        <v>2001</v>
      </c>
    </row>
    <row r="1843" spans="1:11" x14ac:dyDescent="0.25">
      <c r="A1843">
        <v>138.195207255518</v>
      </c>
      <c r="B1843">
        <v>121.749519857927</v>
      </c>
      <c r="C1843">
        <v>2001</v>
      </c>
    </row>
    <row r="1844" spans="1:11" x14ac:dyDescent="0.25">
      <c r="A1844">
        <v>150</v>
      </c>
      <c r="B1844">
        <v>133.554312602409</v>
      </c>
      <c r="C1844">
        <v>2001</v>
      </c>
    </row>
    <row r="1845" spans="1:11" x14ac:dyDescent="0.25">
      <c r="A1845">
        <v>150</v>
      </c>
      <c r="B1845">
        <v>133.554312602409</v>
      </c>
      <c r="C1845">
        <v>2000</v>
      </c>
    </row>
    <row r="1846" spans="1:11" x14ac:dyDescent="0.25">
      <c r="A1846" t="s">
        <v>83</v>
      </c>
    </row>
    <row r="1847" spans="1:11" x14ac:dyDescent="0.25">
      <c r="A1847">
        <v>34</v>
      </c>
      <c r="B1847">
        <v>0</v>
      </c>
      <c r="C1847">
        <v>25.105035967595398</v>
      </c>
      <c r="D1847">
        <v>20.037669463280402</v>
      </c>
      <c r="E1847">
        <v>8</v>
      </c>
      <c r="F1847">
        <v>1.01722196789785</v>
      </c>
      <c r="G1847" t="s">
        <v>81</v>
      </c>
      <c r="H1847" t="s">
        <v>84</v>
      </c>
      <c r="I1847">
        <v>0</v>
      </c>
      <c r="J1847">
        <v>657</v>
      </c>
      <c r="K1847">
        <v>0</v>
      </c>
    </row>
    <row r="1848" spans="1:11" x14ac:dyDescent="0.25">
      <c r="A1848" t="s">
        <v>82</v>
      </c>
    </row>
    <row r="1849" spans="1:11" x14ac:dyDescent="0.25">
      <c r="A1849">
        <v>17.894937056358501</v>
      </c>
      <c r="B1849">
        <v>40.3316756323795</v>
      </c>
      <c r="C1849">
        <v>2000</v>
      </c>
    </row>
    <row r="1850" spans="1:11" x14ac:dyDescent="0.25">
      <c r="A1850">
        <v>0</v>
      </c>
      <c r="B1850">
        <v>22.436738576021</v>
      </c>
      <c r="C1850">
        <v>2000</v>
      </c>
    </row>
    <row r="1851" spans="1:11" x14ac:dyDescent="0.25">
      <c r="A1851">
        <v>0</v>
      </c>
      <c r="B1851">
        <v>23.3107706249187</v>
      </c>
      <c r="C1851">
        <v>2001</v>
      </c>
    </row>
    <row r="1852" spans="1:11" x14ac:dyDescent="0.25">
      <c r="A1852">
        <v>17.608945292879302</v>
      </c>
      <c r="B1852">
        <v>40.919715917797902</v>
      </c>
      <c r="C1852">
        <v>2001</v>
      </c>
    </row>
    <row r="1853" spans="1:11" x14ac:dyDescent="0.25">
      <c r="A1853">
        <v>26.907737387305701</v>
      </c>
      <c r="B1853">
        <v>50.218508012224397</v>
      </c>
      <c r="C1853">
        <v>2001</v>
      </c>
    </row>
    <row r="1854" spans="1:11" x14ac:dyDescent="0.25">
      <c r="A1854">
        <v>31.7022051190547</v>
      </c>
      <c r="B1854">
        <v>55.0129757439733</v>
      </c>
      <c r="C1854">
        <v>2001</v>
      </c>
    </row>
    <row r="1855" spans="1:11" x14ac:dyDescent="0.25">
      <c r="A1855">
        <v>32.139221143503498</v>
      </c>
      <c r="B1855">
        <v>54.575959719524498</v>
      </c>
      <c r="C1855">
        <v>2000</v>
      </c>
    </row>
    <row r="1856" spans="1:11" x14ac:dyDescent="0.25">
      <c r="A1856">
        <v>27.344753411754599</v>
      </c>
      <c r="B1856">
        <v>49.781491987775603</v>
      </c>
      <c r="C1856">
        <v>2000</v>
      </c>
    </row>
    <row r="1857" spans="1:11" x14ac:dyDescent="0.25">
      <c r="A1857" t="s">
        <v>83</v>
      </c>
    </row>
    <row r="1858" spans="1:11" x14ac:dyDescent="0.25">
      <c r="A1858">
        <v>584</v>
      </c>
      <c r="B1858">
        <v>0</v>
      </c>
      <c r="C1858">
        <v>33.048220570766702</v>
      </c>
      <c r="D1858">
        <v>12.0393414052169</v>
      </c>
      <c r="E1858">
        <v>6</v>
      </c>
      <c r="F1858">
        <v>1.01722196789785</v>
      </c>
      <c r="G1858" t="s">
        <v>81</v>
      </c>
      <c r="H1858" t="s">
        <v>81</v>
      </c>
      <c r="I1858">
        <v>0</v>
      </c>
      <c r="J1858">
        <v>0</v>
      </c>
      <c r="K1858">
        <v>0</v>
      </c>
    </row>
    <row r="1859" spans="1:11" x14ac:dyDescent="0.25">
      <c r="A1859" t="s">
        <v>82</v>
      </c>
    </row>
    <row r="1860" spans="1:11" x14ac:dyDescent="0.25">
      <c r="A1860">
        <v>23.048297453571301</v>
      </c>
      <c r="B1860">
        <v>141.60359265763299</v>
      </c>
      <c r="C1860">
        <v>2000</v>
      </c>
    </row>
    <row r="1861" spans="1:11" x14ac:dyDescent="0.25">
      <c r="A1861">
        <v>0</v>
      </c>
      <c r="B1861">
        <v>118.55529520406201</v>
      </c>
      <c r="C1861">
        <v>2000</v>
      </c>
    </row>
    <row r="1862" spans="1:11" x14ac:dyDescent="0.25">
      <c r="A1862">
        <v>0</v>
      </c>
      <c r="B1862">
        <v>117.681263155164</v>
      </c>
      <c r="C1862">
        <v>2001</v>
      </c>
    </row>
    <row r="1863" spans="1:11" x14ac:dyDescent="0.25">
      <c r="A1863">
        <v>23.688944289904502</v>
      </c>
      <c r="B1863">
        <v>141.37020744506901</v>
      </c>
      <c r="C1863">
        <v>2001</v>
      </c>
    </row>
    <row r="1864" spans="1:11" x14ac:dyDescent="0.25">
      <c r="A1864">
        <v>32.318736844835598</v>
      </c>
      <c r="B1864">
        <v>150</v>
      </c>
      <c r="C1864">
        <v>2001</v>
      </c>
    </row>
    <row r="1865" spans="1:11" x14ac:dyDescent="0.25">
      <c r="A1865">
        <v>31.444704795937898</v>
      </c>
      <c r="B1865">
        <v>150</v>
      </c>
      <c r="C1865">
        <v>2000</v>
      </c>
    </row>
    <row r="1866" spans="1:11" x14ac:dyDescent="0.25">
      <c r="A1866" t="s">
        <v>83</v>
      </c>
    </row>
    <row r="1867" spans="1:11" x14ac:dyDescent="0.25">
      <c r="A1867">
        <v>189</v>
      </c>
      <c r="B1867">
        <v>0</v>
      </c>
      <c r="C1867">
        <v>29.299145884006101</v>
      </c>
      <c r="D1867">
        <v>15.680250389339999</v>
      </c>
      <c r="E1867">
        <v>8</v>
      </c>
      <c r="F1867">
        <v>1.01722196789785</v>
      </c>
      <c r="G1867" t="s">
        <v>84</v>
      </c>
      <c r="H1867" t="s">
        <v>81</v>
      </c>
      <c r="I1867">
        <v>510</v>
      </c>
      <c r="J1867">
        <v>0</v>
      </c>
      <c r="K1867">
        <v>0</v>
      </c>
    </row>
    <row r="1868" spans="1:11" x14ac:dyDescent="0.25">
      <c r="A1868" t="s">
        <v>82</v>
      </c>
    </row>
    <row r="1869" spans="1:11" x14ac:dyDescent="0.25">
      <c r="A1869">
        <v>138.99350781969099</v>
      </c>
      <c r="B1869">
        <v>68.422810772617595</v>
      </c>
      <c r="C1869">
        <v>2000</v>
      </c>
    </row>
    <row r="1870" spans="1:11" x14ac:dyDescent="0.25">
      <c r="A1870">
        <v>120.352189034849</v>
      </c>
      <c r="B1870">
        <v>49.781491987775603</v>
      </c>
      <c r="C1870">
        <v>2000</v>
      </c>
    </row>
    <row r="1871" spans="1:11" x14ac:dyDescent="0.25">
      <c r="A1871">
        <v>118.413271893664</v>
      </c>
      <c r="B1871">
        <v>47.842574846591297</v>
      </c>
      <c r="C1871">
        <v>2000</v>
      </c>
    </row>
    <row r="1872" spans="1:11" x14ac:dyDescent="0.25">
      <c r="A1872">
        <v>117.976255869216</v>
      </c>
      <c r="B1872">
        <v>48.279590871040099</v>
      </c>
      <c r="C1872">
        <v>2001</v>
      </c>
    </row>
    <row r="1873" spans="1:11" x14ac:dyDescent="0.25">
      <c r="A1873">
        <v>119.9151730104</v>
      </c>
      <c r="B1873">
        <v>50.218508012224397</v>
      </c>
      <c r="C1873">
        <v>2001</v>
      </c>
    </row>
    <row r="1874" spans="1:11" x14ac:dyDescent="0.25">
      <c r="A1874">
        <v>138.831269418299</v>
      </c>
      <c r="B1874">
        <v>69.134604420122997</v>
      </c>
      <c r="C1874">
        <v>2001</v>
      </c>
    </row>
    <row r="1875" spans="1:11" x14ac:dyDescent="0.25">
      <c r="A1875">
        <v>150</v>
      </c>
      <c r="B1875">
        <v>80.303335001824493</v>
      </c>
      <c r="C1875">
        <v>2001</v>
      </c>
    </row>
    <row r="1876" spans="1:11" x14ac:dyDescent="0.25">
      <c r="A1876">
        <v>150</v>
      </c>
      <c r="B1876">
        <v>79.429302952926804</v>
      </c>
      <c r="C1876">
        <v>2000</v>
      </c>
    </row>
    <row r="1877" spans="1:11" x14ac:dyDescent="0.25">
      <c r="A1877" t="s">
        <v>83</v>
      </c>
    </row>
    <row r="1878" spans="1:11" x14ac:dyDescent="0.25">
      <c r="A1878">
        <v>434</v>
      </c>
      <c r="B1878">
        <v>0</v>
      </c>
      <c r="C1878">
        <v>1.12315300999248</v>
      </c>
      <c r="D1878">
        <v>43.792845708448603</v>
      </c>
      <c r="E1878">
        <v>6</v>
      </c>
      <c r="F1878">
        <v>1.01722196789785</v>
      </c>
      <c r="G1878" t="s">
        <v>84</v>
      </c>
      <c r="H1878" t="s">
        <v>81</v>
      </c>
      <c r="I1878">
        <v>424</v>
      </c>
      <c r="J1878">
        <v>0</v>
      </c>
      <c r="K1878">
        <v>0</v>
      </c>
    </row>
    <row r="1879" spans="1:11" x14ac:dyDescent="0.25">
      <c r="A1879" t="s">
        <v>82</v>
      </c>
    </row>
    <row r="1880" spans="1:11" x14ac:dyDescent="0.25">
      <c r="A1880">
        <v>115.18907001070301</v>
      </c>
      <c r="B1880">
        <v>118.820737751184</v>
      </c>
      <c r="C1880">
        <v>2000</v>
      </c>
    </row>
    <row r="1881" spans="1:11" x14ac:dyDescent="0.25">
      <c r="A1881">
        <v>114.38941696971899</v>
      </c>
      <c r="B1881">
        <v>118.0210847102</v>
      </c>
      <c r="C1881">
        <v>2000</v>
      </c>
    </row>
    <row r="1882" spans="1:11" x14ac:dyDescent="0.25">
      <c r="A1882">
        <v>113.95240094527</v>
      </c>
      <c r="B1882">
        <v>118.458100734648</v>
      </c>
      <c r="C1882">
        <v>2001</v>
      </c>
    </row>
    <row r="1883" spans="1:11" x14ac:dyDescent="0.25">
      <c r="A1883">
        <v>114.741126123638</v>
      </c>
      <c r="B1883">
        <v>119.246825913016</v>
      </c>
      <c r="C1883">
        <v>2001</v>
      </c>
    </row>
    <row r="1884" spans="1:11" x14ac:dyDescent="0.25">
      <c r="A1884">
        <v>145.49430021062199</v>
      </c>
      <c r="B1884">
        <v>150</v>
      </c>
      <c r="C1884">
        <v>2001</v>
      </c>
    </row>
    <row r="1885" spans="1:11" x14ac:dyDescent="0.25">
      <c r="A1885">
        <v>146.36833225952</v>
      </c>
      <c r="B1885">
        <v>150</v>
      </c>
      <c r="C1885">
        <v>2000</v>
      </c>
    </row>
    <row r="1886" spans="1:11" x14ac:dyDescent="0.25">
      <c r="A1886" t="s">
        <v>83</v>
      </c>
    </row>
    <row r="1887" spans="1:11" x14ac:dyDescent="0.25">
      <c r="A1887">
        <v>343</v>
      </c>
      <c r="B1887">
        <v>0</v>
      </c>
      <c r="C1887">
        <v>2.2596521154606499</v>
      </c>
      <c r="D1887">
        <v>42.6124556486849</v>
      </c>
      <c r="E1887">
        <v>8</v>
      </c>
      <c r="F1887">
        <v>1.01722196789785</v>
      </c>
      <c r="G1887" t="s">
        <v>84</v>
      </c>
      <c r="H1887" t="s">
        <v>81</v>
      </c>
      <c r="I1887">
        <v>726</v>
      </c>
      <c r="J1887">
        <v>0</v>
      </c>
      <c r="K1887">
        <v>0</v>
      </c>
    </row>
    <row r="1888" spans="1:11" x14ac:dyDescent="0.25">
      <c r="A1888" t="s">
        <v>82</v>
      </c>
    </row>
    <row r="1889" spans="1:11" x14ac:dyDescent="0.25">
      <c r="A1889">
        <v>85.673286475084794</v>
      </c>
      <c r="B1889">
        <v>119.660376544888</v>
      </c>
      <c r="C1889">
        <v>2000</v>
      </c>
    </row>
    <row r="1890" spans="1:11" x14ac:dyDescent="0.25">
      <c r="A1890">
        <v>84.065030231811207</v>
      </c>
      <c r="B1890">
        <v>118.05212030161501</v>
      </c>
      <c r="C1890">
        <v>2000</v>
      </c>
    </row>
    <row r="1891" spans="1:11" x14ac:dyDescent="0.25">
      <c r="A1891">
        <v>83.628014207362398</v>
      </c>
      <c r="B1891">
        <v>118.489136326064</v>
      </c>
      <c r="C1891">
        <v>2001</v>
      </c>
    </row>
    <row r="1892" spans="1:11" x14ac:dyDescent="0.25">
      <c r="A1892">
        <v>85.215388632018303</v>
      </c>
      <c r="B1892">
        <v>120.07651075072</v>
      </c>
      <c r="C1892">
        <v>2001</v>
      </c>
    </row>
    <row r="1893" spans="1:11" x14ac:dyDescent="0.25">
      <c r="A1893">
        <v>99.675937238773997</v>
      </c>
      <c r="B1893">
        <v>134.53705935747499</v>
      </c>
      <c r="C1893">
        <v>2001</v>
      </c>
    </row>
    <row r="1894" spans="1:11" x14ac:dyDescent="0.25">
      <c r="A1894">
        <v>115.138877881299</v>
      </c>
      <c r="B1894">
        <v>150</v>
      </c>
      <c r="C1894">
        <v>2001</v>
      </c>
    </row>
    <row r="1895" spans="1:11" x14ac:dyDescent="0.25">
      <c r="A1895">
        <v>116.012909930197</v>
      </c>
      <c r="B1895">
        <v>150</v>
      </c>
      <c r="C1895">
        <v>2000</v>
      </c>
    </row>
    <row r="1896" spans="1:11" x14ac:dyDescent="0.25">
      <c r="A1896">
        <v>100.324062761226</v>
      </c>
      <c r="B1896">
        <v>134.31115283103</v>
      </c>
      <c r="C1896">
        <v>2000</v>
      </c>
    </row>
    <row r="1897" spans="1:11" x14ac:dyDescent="0.25">
      <c r="A1897" t="s">
        <v>83</v>
      </c>
    </row>
    <row r="1898" spans="1:11" x14ac:dyDescent="0.25">
      <c r="A1898">
        <v>650</v>
      </c>
      <c r="B1898">
        <v>0</v>
      </c>
      <c r="C1898">
        <v>29.764802110769001</v>
      </c>
      <c r="D1898">
        <v>14.782672580530001</v>
      </c>
      <c r="E1898">
        <v>8</v>
      </c>
      <c r="F1898">
        <v>1.5707963267949001</v>
      </c>
      <c r="G1898" t="s">
        <v>81</v>
      </c>
      <c r="H1898" t="s">
        <v>84</v>
      </c>
      <c r="I1898">
        <v>0</v>
      </c>
      <c r="J1898">
        <v>574</v>
      </c>
      <c r="K1898">
        <v>0</v>
      </c>
    </row>
    <row r="1899" spans="1:11" x14ac:dyDescent="0.25">
      <c r="A1899" t="s">
        <v>82</v>
      </c>
    </row>
    <row r="1900" spans="1:11" x14ac:dyDescent="0.25">
      <c r="A1900">
        <v>21.0468934132005</v>
      </c>
      <c r="B1900">
        <v>97.018456236467898</v>
      </c>
      <c r="C1900">
        <v>2000</v>
      </c>
    </row>
    <row r="1901" spans="1:11" x14ac:dyDescent="0.25">
      <c r="A1901">
        <v>0</v>
      </c>
      <c r="B1901">
        <v>75.971562823267504</v>
      </c>
      <c r="C1901">
        <v>2000</v>
      </c>
    </row>
    <row r="1902" spans="1:11" x14ac:dyDescent="0.25">
      <c r="A1902">
        <v>0</v>
      </c>
      <c r="B1902">
        <v>75.971562823267504</v>
      </c>
      <c r="C1902">
        <v>2001</v>
      </c>
    </row>
    <row r="1903" spans="1:11" x14ac:dyDescent="0.25">
      <c r="A1903">
        <v>21.0468934132005</v>
      </c>
      <c r="B1903">
        <v>97.018456236467898</v>
      </c>
      <c r="C1903">
        <v>2001</v>
      </c>
    </row>
    <row r="1904" spans="1:11" x14ac:dyDescent="0.25">
      <c r="A1904">
        <v>24.028437176732499</v>
      </c>
      <c r="B1904">
        <v>100</v>
      </c>
      <c r="C1904">
        <v>2001</v>
      </c>
    </row>
    <row r="1905" spans="1:11" x14ac:dyDescent="0.25">
      <c r="A1905">
        <v>31.499821438953699</v>
      </c>
      <c r="B1905">
        <v>107.47138426222099</v>
      </c>
      <c r="C1905">
        <v>2001</v>
      </c>
    </row>
    <row r="1906" spans="1:11" x14ac:dyDescent="0.25">
      <c r="A1906">
        <v>31.499821438953699</v>
      </c>
      <c r="B1906">
        <v>107.47138426222099</v>
      </c>
      <c r="C1906">
        <v>2000</v>
      </c>
    </row>
    <row r="1907" spans="1:11" x14ac:dyDescent="0.25">
      <c r="A1907">
        <v>24.028437176732499</v>
      </c>
      <c r="B1907">
        <v>100</v>
      </c>
      <c r="C1907">
        <v>2000</v>
      </c>
    </row>
    <row r="1908" spans="1:11" x14ac:dyDescent="0.25">
      <c r="A1908" t="s">
        <v>83</v>
      </c>
    </row>
    <row r="1909" spans="1:11" x14ac:dyDescent="0.25">
      <c r="A1909">
        <v>736</v>
      </c>
      <c r="B1909">
        <v>0</v>
      </c>
      <c r="C1909">
        <v>4.2061698560962304</v>
      </c>
      <c r="D1909">
        <v>40.2110247178028</v>
      </c>
      <c r="E1909">
        <v>8</v>
      </c>
      <c r="F1909">
        <v>1.01722196789785</v>
      </c>
      <c r="G1909" t="s">
        <v>81</v>
      </c>
      <c r="H1909" t="s">
        <v>84</v>
      </c>
      <c r="I1909">
        <v>0</v>
      </c>
      <c r="J1909">
        <v>680</v>
      </c>
      <c r="K1909">
        <v>0.13222554274631901</v>
      </c>
    </row>
    <row r="1910" spans="1:11" x14ac:dyDescent="0.25">
      <c r="A1910" t="s">
        <v>82</v>
      </c>
    </row>
    <row r="1911" spans="1:11" x14ac:dyDescent="0.25">
      <c r="A1911">
        <v>3.0323155119921599</v>
      </c>
      <c r="B1911">
        <v>41.410427400831701</v>
      </c>
      <c r="C1911">
        <v>2000</v>
      </c>
    </row>
    <row r="1912" spans="1:11" x14ac:dyDescent="0.25">
      <c r="A1912">
        <v>0</v>
      </c>
      <c r="B1912">
        <v>38.378111888839499</v>
      </c>
      <c r="C1912">
        <v>2000</v>
      </c>
    </row>
    <row r="1913" spans="1:11" x14ac:dyDescent="0.25">
      <c r="A1913">
        <v>0</v>
      </c>
      <c r="B1913">
        <v>39.252143937737202</v>
      </c>
      <c r="C1913">
        <v>2001</v>
      </c>
    </row>
    <row r="1914" spans="1:11" x14ac:dyDescent="0.25">
      <c r="A1914">
        <v>2.9161069441440199</v>
      </c>
      <c r="B1914">
        <v>42.1682508818812</v>
      </c>
      <c r="C1914">
        <v>2001</v>
      </c>
    </row>
    <row r="1915" spans="1:11" x14ac:dyDescent="0.25">
      <c r="A1915">
        <v>10.966364074487201</v>
      </c>
      <c r="B1915">
        <v>50.218508012224397</v>
      </c>
      <c r="C1915">
        <v>2001</v>
      </c>
    </row>
    <row r="1916" spans="1:11" x14ac:dyDescent="0.25">
      <c r="A1916">
        <v>31.1891914722619</v>
      </c>
      <c r="B1916">
        <v>70.441335409999098</v>
      </c>
      <c r="C1916">
        <v>2001</v>
      </c>
    </row>
    <row r="1917" spans="1:11" x14ac:dyDescent="0.25">
      <c r="A1917">
        <v>31.626207496710801</v>
      </c>
      <c r="B1917">
        <v>70.004319385550303</v>
      </c>
      <c r="C1917">
        <v>2000</v>
      </c>
    </row>
    <row r="1918" spans="1:11" x14ac:dyDescent="0.25">
      <c r="A1918">
        <v>11.403380098935999</v>
      </c>
      <c r="B1918">
        <v>49.781491987775603</v>
      </c>
      <c r="C1918">
        <v>2000</v>
      </c>
    </row>
    <row r="1919" spans="1:11" x14ac:dyDescent="0.25">
      <c r="A1919" t="s">
        <v>83</v>
      </c>
    </row>
    <row r="1920" spans="1:11" x14ac:dyDescent="0.25">
      <c r="A1920">
        <v>415</v>
      </c>
      <c r="B1920">
        <v>0</v>
      </c>
      <c r="C1920">
        <v>35.475397222035198</v>
      </c>
      <c r="D1920">
        <v>8.7621764676192697</v>
      </c>
      <c r="E1920">
        <v>8</v>
      </c>
      <c r="F1920">
        <v>1.5707963267949001</v>
      </c>
      <c r="G1920" t="s">
        <v>84</v>
      </c>
      <c r="H1920" t="s">
        <v>84</v>
      </c>
      <c r="I1920">
        <v>95</v>
      </c>
      <c r="J1920">
        <v>439</v>
      </c>
      <c r="K1920">
        <v>0</v>
      </c>
    </row>
    <row r="1921" spans="1:11" x14ac:dyDescent="0.25">
      <c r="A1921" t="s">
        <v>82</v>
      </c>
    </row>
    <row r="1922" spans="1:11" x14ac:dyDescent="0.25">
      <c r="A1922">
        <v>126.18166776429</v>
      </c>
      <c r="B1922">
        <v>114.92495003152899</v>
      </c>
      <c r="C1922">
        <v>2000</v>
      </c>
    </row>
    <row r="1923" spans="1:11" x14ac:dyDescent="0.25">
      <c r="A1923">
        <v>111.256717732761</v>
      </c>
      <c r="B1923">
        <v>100</v>
      </c>
      <c r="C1923">
        <v>2000</v>
      </c>
    </row>
    <row r="1924" spans="1:11" x14ac:dyDescent="0.25">
      <c r="A1924">
        <v>101.096773823303</v>
      </c>
      <c r="B1924">
        <v>89.840056090541196</v>
      </c>
      <c r="C1924">
        <v>2000</v>
      </c>
    </row>
    <row r="1925" spans="1:11" x14ac:dyDescent="0.25">
      <c r="A1925">
        <v>101.096773823303</v>
      </c>
      <c r="B1925">
        <v>89.840056090541196</v>
      </c>
      <c r="C1925">
        <v>2001</v>
      </c>
    </row>
    <row r="1926" spans="1:11" x14ac:dyDescent="0.25">
      <c r="A1926">
        <v>111.256717732761</v>
      </c>
      <c r="B1926">
        <v>100</v>
      </c>
      <c r="C1926">
        <v>2001</v>
      </c>
    </row>
    <row r="1927" spans="1:11" x14ac:dyDescent="0.25">
      <c r="A1927">
        <v>126.18166776429</v>
      </c>
      <c r="B1927">
        <v>114.92495003152899</v>
      </c>
      <c r="C1927">
        <v>2001</v>
      </c>
    </row>
    <row r="1928" spans="1:11" x14ac:dyDescent="0.25">
      <c r="A1928">
        <v>132.37746216249701</v>
      </c>
      <c r="B1928">
        <v>121.120744429735</v>
      </c>
      <c r="C1928">
        <v>2001</v>
      </c>
    </row>
    <row r="1929" spans="1:11" x14ac:dyDescent="0.25">
      <c r="A1929">
        <v>132.37746216249701</v>
      </c>
      <c r="B1929">
        <v>121.120744429735</v>
      </c>
      <c r="C1929">
        <v>2000</v>
      </c>
    </row>
    <row r="1930" spans="1:11" x14ac:dyDescent="0.25">
      <c r="A1930" t="s">
        <v>83</v>
      </c>
    </row>
    <row r="1931" spans="1:11" x14ac:dyDescent="0.25">
      <c r="A1931">
        <v>103</v>
      </c>
      <c r="B1931">
        <v>0</v>
      </c>
      <c r="C1931">
        <v>28.940986522264399</v>
      </c>
      <c r="D1931">
        <v>15.253702632560399</v>
      </c>
      <c r="E1931">
        <v>8</v>
      </c>
      <c r="F1931">
        <v>1.01722196789785</v>
      </c>
      <c r="G1931" t="s">
        <v>84</v>
      </c>
      <c r="H1931" t="s">
        <v>84</v>
      </c>
      <c r="I1931">
        <v>31</v>
      </c>
      <c r="J1931">
        <v>90</v>
      </c>
      <c r="K1931">
        <v>0</v>
      </c>
    </row>
    <row r="1932" spans="1:11" x14ac:dyDescent="0.25">
      <c r="A1932" t="s">
        <v>82</v>
      </c>
    </row>
    <row r="1933" spans="1:11" x14ac:dyDescent="0.25">
      <c r="A1933">
        <v>80.818925622305102</v>
      </c>
      <c r="B1933">
        <v>64.880064652706693</v>
      </c>
      <c r="C1933">
        <v>2000</v>
      </c>
    </row>
    <row r="1934" spans="1:11" x14ac:dyDescent="0.25">
      <c r="A1934">
        <v>66.157368981822799</v>
      </c>
      <c r="B1934">
        <v>50.218508012224397</v>
      </c>
      <c r="C1934">
        <v>2000</v>
      </c>
    </row>
    <row r="1935" spans="1:11" x14ac:dyDescent="0.25">
      <c r="A1935">
        <v>60.3545577981835</v>
      </c>
      <c r="B1935">
        <v>44.415696828585098</v>
      </c>
      <c r="C1935">
        <v>2000</v>
      </c>
    </row>
    <row r="1936" spans="1:11" x14ac:dyDescent="0.25">
      <c r="A1936">
        <v>60.791573822632301</v>
      </c>
      <c r="B1936">
        <v>43.978680804136303</v>
      </c>
      <c r="C1936">
        <v>2001</v>
      </c>
    </row>
    <row r="1937" spans="1:11" x14ac:dyDescent="0.25">
      <c r="A1937">
        <v>66.594385006271693</v>
      </c>
      <c r="B1937">
        <v>49.781491987775603</v>
      </c>
      <c r="C1937">
        <v>2001</v>
      </c>
    </row>
    <row r="1938" spans="1:11" x14ac:dyDescent="0.25">
      <c r="A1938">
        <v>81.255941646753996</v>
      </c>
      <c r="B1938">
        <v>64.443048628257898</v>
      </c>
      <c r="C1938">
        <v>2001</v>
      </c>
    </row>
    <row r="1939" spans="1:11" x14ac:dyDescent="0.25">
      <c r="A1939">
        <v>92.041938216440499</v>
      </c>
      <c r="B1939">
        <v>75.229045197944501</v>
      </c>
      <c r="C1939">
        <v>2001</v>
      </c>
    </row>
    <row r="1940" spans="1:11" x14ac:dyDescent="0.25">
      <c r="A1940">
        <v>91.604922191991704</v>
      </c>
      <c r="B1940">
        <v>75.666061222393296</v>
      </c>
      <c r="C1940">
        <v>2000</v>
      </c>
    </row>
    <row r="1941" spans="1:11" x14ac:dyDescent="0.25">
      <c r="A1941" t="s">
        <v>83</v>
      </c>
    </row>
    <row r="1942" spans="1:11" x14ac:dyDescent="0.25">
      <c r="A1942">
        <v>164</v>
      </c>
      <c r="B1942">
        <v>0</v>
      </c>
      <c r="C1942">
        <v>2.7878673971212899</v>
      </c>
      <c r="D1942">
        <v>41.292185532858802</v>
      </c>
      <c r="E1942">
        <v>8</v>
      </c>
      <c r="F1942">
        <v>1.5707963267949001</v>
      </c>
      <c r="G1942" t="s">
        <v>84</v>
      </c>
      <c r="H1942" t="s">
        <v>81</v>
      </c>
      <c r="I1942">
        <v>193</v>
      </c>
      <c r="J1942">
        <v>0</v>
      </c>
      <c r="K1942">
        <v>0</v>
      </c>
    </row>
    <row r="1943" spans="1:11" x14ac:dyDescent="0.25">
      <c r="A1943" t="s">
        <v>82</v>
      </c>
    </row>
    <row r="1944" spans="1:11" x14ac:dyDescent="0.25">
      <c r="A1944">
        <v>120.802015599703</v>
      </c>
      <c r="B1944">
        <v>91.120703619029698</v>
      </c>
      <c r="C1944">
        <v>2000</v>
      </c>
    </row>
    <row r="1945" spans="1:11" x14ac:dyDescent="0.25">
      <c r="A1945">
        <v>118.830695658149</v>
      </c>
      <c r="B1945">
        <v>89.149383677476393</v>
      </c>
      <c r="C1945">
        <v>2000</v>
      </c>
    </row>
    <row r="1946" spans="1:11" x14ac:dyDescent="0.25">
      <c r="A1946">
        <v>118.830695658149</v>
      </c>
      <c r="B1946">
        <v>89.149383677476393</v>
      </c>
      <c r="C1946">
        <v>2001</v>
      </c>
    </row>
    <row r="1947" spans="1:11" x14ac:dyDescent="0.25">
      <c r="A1947">
        <v>120.802015599703</v>
      </c>
      <c r="B1947">
        <v>91.120703619029698</v>
      </c>
      <c r="C1947">
        <v>2001</v>
      </c>
    </row>
    <row r="1948" spans="1:11" x14ac:dyDescent="0.25">
      <c r="A1948">
        <v>129.681311980673</v>
      </c>
      <c r="B1948">
        <v>100</v>
      </c>
      <c r="C1948">
        <v>2001</v>
      </c>
    </row>
    <row r="1949" spans="1:11" x14ac:dyDescent="0.25">
      <c r="A1949">
        <v>150</v>
      </c>
      <c r="B1949">
        <v>120.318688019327</v>
      </c>
      <c r="C1949">
        <v>2001</v>
      </c>
    </row>
    <row r="1950" spans="1:11" x14ac:dyDescent="0.25">
      <c r="A1950">
        <v>150</v>
      </c>
      <c r="B1950">
        <v>120.318688019327</v>
      </c>
      <c r="C1950">
        <v>2000</v>
      </c>
    </row>
    <row r="1951" spans="1:11" x14ac:dyDescent="0.25">
      <c r="A1951">
        <v>129.681311980673</v>
      </c>
      <c r="B1951">
        <v>100</v>
      </c>
      <c r="C1951">
        <v>2000</v>
      </c>
    </row>
    <row r="1952" spans="1:11" x14ac:dyDescent="0.25">
      <c r="A1952" t="s">
        <v>83</v>
      </c>
    </row>
    <row r="1953" spans="1:11" x14ac:dyDescent="0.25">
      <c r="A1953">
        <v>408</v>
      </c>
      <c r="B1953">
        <v>0</v>
      </c>
      <c r="C1953">
        <v>0</v>
      </c>
      <c r="D1953">
        <v>44.0640444126932</v>
      </c>
      <c r="E1953">
        <v>4</v>
      </c>
      <c r="F1953">
        <v>1.5707963267949001</v>
      </c>
      <c r="G1953" t="s">
        <v>84</v>
      </c>
      <c r="H1953" t="s">
        <v>81</v>
      </c>
      <c r="I1953">
        <v>437</v>
      </c>
      <c r="J1953">
        <v>0</v>
      </c>
      <c r="K1953">
        <v>0</v>
      </c>
    </row>
    <row r="1954" spans="1:11" x14ac:dyDescent="0.25">
      <c r="A1954" t="s">
        <v>82</v>
      </c>
    </row>
    <row r="1955" spans="1:11" x14ac:dyDescent="0.25">
      <c r="A1955">
        <v>116.271313089538</v>
      </c>
      <c r="B1955">
        <v>118.842015389279</v>
      </c>
      <c r="C1955">
        <v>2000</v>
      </c>
    </row>
    <row r="1956" spans="1:11" x14ac:dyDescent="0.25">
      <c r="A1956">
        <v>116.271313089538</v>
      </c>
      <c r="B1956">
        <v>118.842015389279</v>
      </c>
      <c r="C1956">
        <v>2001</v>
      </c>
    </row>
    <row r="1957" spans="1:11" x14ac:dyDescent="0.25">
      <c r="A1957">
        <v>147.42929770025901</v>
      </c>
      <c r="B1957">
        <v>150</v>
      </c>
      <c r="C1957">
        <v>2001</v>
      </c>
    </row>
    <row r="1958" spans="1:11" x14ac:dyDescent="0.25">
      <c r="A1958">
        <v>147.42929770025901</v>
      </c>
      <c r="B1958">
        <v>150</v>
      </c>
      <c r="C1958">
        <v>2000</v>
      </c>
    </row>
    <row r="1959" spans="1:11" x14ac:dyDescent="0.25">
      <c r="A1959" t="s">
        <v>83</v>
      </c>
    </row>
    <row r="1960" spans="1:11" x14ac:dyDescent="0.25">
      <c r="A1960">
        <v>674</v>
      </c>
      <c r="B1960">
        <v>0</v>
      </c>
      <c r="C1960">
        <v>23.495727078013498</v>
      </c>
      <c r="D1960">
        <v>19.991540269552299</v>
      </c>
      <c r="E1960">
        <v>8</v>
      </c>
      <c r="F1960">
        <v>1.01722196789785</v>
      </c>
      <c r="G1960" t="s">
        <v>81</v>
      </c>
      <c r="H1960" t="s">
        <v>84</v>
      </c>
      <c r="I1960">
        <v>0</v>
      </c>
      <c r="J1960">
        <v>646</v>
      </c>
      <c r="K1960">
        <v>0</v>
      </c>
    </row>
    <row r="1961" spans="1:11" x14ac:dyDescent="0.25">
      <c r="A1961" t="s">
        <v>82</v>
      </c>
    </row>
    <row r="1962" spans="1:11" x14ac:dyDescent="0.25">
      <c r="A1962">
        <v>16.772445171596502</v>
      </c>
      <c r="B1962">
        <v>56.465672755936403</v>
      </c>
      <c r="C1962">
        <v>2000</v>
      </c>
    </row>
    <row r="1963" spans="1:11" x14ac:dyDescent="0.25">
      <c r="A1963">
        <v>9.9995639279220292</v>
      </c>
      <c r="B1963">
        <v>49.692791512261898</v>
      </c>
      <c r="C1963">
        <v>2000</v>
      </c>
    </row>
    <row r="1964" spans="1:11" x14ac:dyDescent="0.25">
      <c r="A1964">
        <v>0</v>
      </c>
      <c r="B1964">
        <v>39.693227584339901</v>
      </c>
      <c r="C1964">
        <v>2000</v>
      </c>
    </row>
    <row r="1965" spans="1:11" x14ac:dyDescent="0.25">
      <c r="A1965">
        <v>0</v>
      </c>
      <c r="B1965">
        <v>40.567259633237498</v>
      </c>
      <c r="C1965">
        <v>2001</v>
      </c>
    </row>
    <row r="1966" spans="1:11" x14ac:dyDescent="0.25">
      <c r="A1966">
        <v>9.7399488545005308</v>
      </c>
      <c r="B1966">
        <v>50.307208487738102</v>
      </c>
      <c r="C1966">
        <v>2001</v>
      </c>
    </row>
    <row r="1967" spans="1:11" x14ac:dyDescent="0.25">
      <c r="A1967">
        <v>16.455530719947099</v>
      </c>
      <c r="B1967">
        <v>57.022790353184597</v>
      </c>
      <c r="C1967">
        <v>2001</v>
      </c>
    </row>
    <row r="1968" spans="1:11" x14ac:dyDescent="0.25">
      <c r="A1968">
        <v>30.531633624511802</v>
      </c>
      <c r="B1968">
        <v>71.098893257749296</v>
      </c>
      <c r="C1968">
        <v>2001</v>
      </c>
    </row>
    <row r="1969" spans="1:11" x14ac:dyDescent="0.25">
      <c r="A1969">
        <v>30.9686496489606</v>
      </c>
      <c r="B1969">
        <v>70.661877233300501</v>
      </c>
      <c r="C1969">
        <v>2000</v>
      </c>
    </row>
    <row r="1970" spans="1:11" x14ac:dyDescent="0.25">
      <c r="A1970" t="s">
        <v>83</v>
      </c>
    </row>
    <row r="1971" spans="1:11" x14ac:dyDescent="0.25">
      <c r="A1971">
        <v>737</v>
      </c>
      <c r="B1971">
        <v>0</v>
      </c>
      <c r="C1971">
        <v>4.9600054083390104</v>
      </c>
      <c r="D1971">
        <v>38.315823591436498</v>
      </c>
      <c r="E1971">
        <v>8</v>
      </c>
      <c r="F1971">
        <v>1.01722196789785</v>
      </c>
      <c r="G1971" t="s">
        <v>84</v>
      </c>
      <c r="H1971" t="s">
        <v>84</v>
      </c>
      <c r="I1971">
        <v>110</v>
      </c>
      <c r="J1971">
        <v>200</v>
      </c>
      <c r="K1971">
        <v>0.13222554274631901</v>
      </c>
    </row>
    <row r="1972" spans="1:11" x14ac:dyDescent="0.25">
      <c r="A1972" t="s">
        <v>82</v>
      </c>
    </row>
    <row r="1973" spans="1:11" x14ac:dyDescent="0.25">
      <c r="A1973">
        <v>84.171443196088902</v>
      </c>
      <c r="B1973">
        <v>62.256250322920202</v>
      </c>
      <c r="C1973">
        <v>2000</v>
      </c>
    </row>
    <row r="1974" spans="1:11" x14ac:dyDescent="0.25">
      <c r="A1974">
        <v>80.664189737130499</v>
      </c>
      <c r="B1974">
        <v>58.7489968639617</v>
      </c>
      <c r="C1974">
        <v>2000</v>
      </c>
    </row>
    <row r="1975" spans="1:11" x14ac:dyDescent="0.25">
      <c r="A1975">
        <v>80.227173712681605</v>
      </c>
      <c r="B1975">
        <v>59.186012888410602</v>
      </c>
      <c r="C1975">
        <v>2001</v>
      </c>
    </row>
    <row r="1976" spans="1:11" x14ac:dyDescent="0.25">
      <c r="A1976">
        <v>83.734427171640107</v>
      </c>
      <c r="B1976">
        <v>62.693266347368997</v>
      </c>
      <c r="C1976">
        <v>2001</v>
      </c>
    </row>
    <row r="1977" spans="1:11" x14ac:dyDescent="0.25">
      <c r="A1977">
        <v>99.781491987775595</v>
      </c>
      <c r="B1977">
        <v>78.740331163504493</v>
      </c>
      <c r="C1977">
        <v>2001</v>
      </c>
    </row>
    <row r="1978" spans="1:11" x14ac:dyDescent="0.25">
      <c r="A1978">
        <v>110.827805859892</v>
      </c>
      <c r="B1978">
        <v>89.786645035621305</v>
      </c>
      <c r="C1978">
        <v>2001</v>
      </c>
    </row>
    <row r="1979" spans="1:11" x14ac:dyDescent="0.25">
      <c r="A1979">
        <v>111.264821884341</v>
      </c>
      <c r="B1979">
        <v>89.349629011172496</v>
      </c>
      <c r="C1979">
        <v>2000</v>
      </c>
    </row>
    <row r="1980" spans="1:11" x14ac:dyDescent="0.25">
      <c r="A1980">
        <v>100.21850801222401</v>
      </c>
      <c r="B1980">
        <v>78.303315139055698</v>
      </c>
      <c r="C1980">
        <v>2000</v>
      </c>
    </row>
    <row r="1981" spans="1:11" x14ac:dyDescent="0.25">
      <c r="A1981" t="s">
        <v>83</v>
      </c>
    </row>
    <row r="1982" spans="1:11" x14ac:dyDescent="0.25">
      <c r="A1982">
        <v>404</v>
      </c>
      <c r="B1982">
        <v>0</v>
      </c>
      <c r="C1982">
        <v>41.405659246280202</v>
      </c>
      <c r="D1982">
        <v>1.8642984262535001</v>
      </c>
      <c r="E1982">
        <v>6</v>
      </c>
      <c r="F1982">
        <v>1.5707963267949001</v>
      </c>
      <c r="G1982" t="s">
        <v>84</v>
      </c>
      <c r="H1982" t="s">
        <v>81</v>
      </c>
      <c r="I1982">
        <v>84</v>
      </c>
      <c r="J1982">
        <v>0</v>
      </c>
      <c r="K1982">
        <v>0</v>
      </c>
    </row>
    <row r="1983" spans="1:11" x14ac:dyDescent="0.25">
      <c r="A1983" t="s">
        <v>82</v>
      </c>
    </row>
    <row r="1984" spans="1:11" x14ac:dyDescent="0.25">
      <c r="A1984">
        <v>148.68174194064099</v>
      </c>
      <c r="B1984">
        <v>141.40125336889199</v>
      </c>
      <c r="C1984">
        <v>2000</v>
      </c>
    </row>
    <row r="1985" spans="1:11" x14ac:dyDescent="0.25">
      <c r="A1985">
        <v>119.40351950809701</v>
      </c>
      <c r="B1985">
        <v>112.123030936348</v>
      </c>
      <c r="C1985">
        <v>2000</v>
      </c>
    </row>
    <row r="1986" spans="1:11" x14ac:dyDescent="0.25">
      <c r="A1986">
        <v>119.40351950809701</v>
      </c>
      <c r="B1986">
        <v>112.123030936348</v>
      </c>
      <c r="C1986">
        <v>2001</v>
      </c>
    </row>
    <row r="1987" spans="1:11" x14ac:dyDescent="0.25">
      <c r="A1987">
        <v>148.68174194064099</v>
      </c>
      <c r="B1987">
        <v>141.40125336889199</v>
      </c>
      <c r="C1987">
        <v>2001</v>
      </c>
    </row>
    <row r="1988" spans="1:11" x14ac:dyDescent="0.25">
      <c r="A1988">
        <v>150</v>
      </c>
      <c r="B1988">
        <v>142.71951142825199</v>
      </c>
      <c r="C1988">
        <v>2001</v>
      </c>
    </row>
    <row r="1989" spans="1:11" x14ac:dyDescent="0.25">
      <c r="A1989">
        <v>150</v>
      </c>
      <c r="B1989">
        <v>142.71951142825199</v>
      </c>
      <c r="C1989">
        <v>2000</v>
      </c>
    </row>
    <row r="1990" spans="1:11" x14ac:dyDescent="0.25">
      <c r="A1990" t="s">
        <v>83</v>
      </c>
    </row>
    <row r="1991" spans="1:11" x14ac:dyDescent="0.25">
      <c r="A1991">
        <v>722</v>
      </c>
      <c r="B1991">
        <v>0</v>
      </c>
      <c r="C1991">
        <v>5.7770876258691404</v>
      </c>
      <c r="D1991">
        <v>37.453966011485598</v>
      </c>
      <c r="E1991">
        <v>6</v>
      </c>
      <c r="F1991">
        <v>1.01722196789785</v>
      </c>
      <c r="G1991" t="s">
        <v>84</v>
      </c>
      <c r="H1991" t="s">
        <v>81</v>
      </c>
      <c r="I1991">
        <v>120</v>
      </c>
      <c r="J1991">
        <v>0</v>
      </c>
      <c r="K1991">
        <v>0.13160878275062499</v>
      </c>
    </row>
    <row r="1992" spans="1:11" x14ac:dyDescent="0.25">
      <c r="A1992" t="s">
        <v>82</v>
      </c>
    </row>
    <row r="1993" spans="1:11" x14ac:dyDescent="0.25">
      <c r="A1993">
        <v>123.705354821222</v>
      </c>
      <c r="B1993">
        <v>122.878720160483</v>
      </c>
      <c r="C1993">
        <v>2000</v>
      </c>
    </row>
    <row r="1994" spans="1:11" x14ac:dyDescent="0.25">
      <c r="A1994">
        <v>119.649536827411</v>
      </c>
      <c r="B1994">
        <v>118.82290216667199</v>
      </c>
      <c r="C1994">
        <v>2000</v>
      </c>
    </row>
    <row r="1995" spans="1:11" x14ac:dyDescent="0.25">
      <c r="A1995">
        <v>119.212520802963</v>
      </c>
      <c r="B1995">
        <v>119.259918191121</v>
      </c>
      <c r="C1995">
        <v>2001</v>
      </c>
    </row>
    <row r="1996" spans="1:11" x14ac:dyDescent="0.25">
      <c r="A1996">
        <v>123.29753863872401</v>
      </c>
      <c r="B1996">
        <v>123.344936026882</v>
      </c>
      <c r="C1996">
        <v>2001</v>
      </c>
    </row>
    <row r="1997" spans="1:11" x14ac:dyDescent="0.25">
      <c r="A1997">
        <v>149.78149198777601</v>
      </c>
      <c r="B1997">
        <v>149.82888937593401</v>
      </c>
      <c r="C1997">
        <v>2001</v>
      </c>
    </row>
    <row r="1998" spans="1:11" x14ac:dyDescent="0.25">
      <c r="A1998">
        <v>150</v>
      </c>
      <c r="B1998">
        <v>149.17336533926101</v>
      </c>
      <c r="C1998">
        <v>2000</v>
      </c>
    </row>
    <row r="1999" spans="1:11" x14ac:dyDescent="0.25">
      <c r="A1999" t="s">
        <v>83</v>
      </c>
    </row>
    <row r="2000" spans="1:11" x14ac:dyDescent="0.25">
      <c r="A2000">
        <v>181</v>
      </c>
      <c r="B2000">
        <v>0</v>
      </c>
      <c r="C2000">
        <v>8.8927208894996301</v>
      </c>
      <c r="D2000">
        <v>34.2845196763408</v>
      </c>
      <c r="E2000">
        <v>8</v>
      </c>
      <c r="F2000">
        <v>1.01722196789785</v>
      </c>
      <c r="G2000" t="s">
        <v>84</v>
      </c>
      <c r="H2000" t="s">
        <v>81</v>
      </c>
      <c r="I2000">
        <v>193</v>
      </c>
      <c r="J2000">
        <v>0</v>
      </c>
      <c r="K2000">
        <v>0</v>
      </c>
    </row>
    <row r="2001" spans="1:11" x14ac:dyDescent="0.25">
      <c r="A2001" t="s">
        <v>82</v>
      </c>
    </row>
    <row r="2002" spans="1:11" x14ac:dyDescent="0.25">
      <c r="A2002">
        <v>125.95003500577801</v>
      </c>
      <c r="B2002">
        <v>94.554937511011801</v>
      </c>
      <c r="C2002">
        <v>2000</v>
      </c>
    </row>
    <row r="2003" spans="1:11" x14ac:dyDescent="0.25">
      <c r="A2003">
        <v>119.687588415196</v>
      </c>
      <c r="B2003">
        <v>88.292490920429699</v>
      </c>
      <c r="C2003">
        <v>2000</v>
      </c>
    </row>
    <row r="2004" spans="1:11" x14ac:dyDescent="0.25">
      <c r="A2004">
        <v>119.250572390747</v>
      </c>
      <c r="B2004">
        <v>88.729506944878494</v>
      </c>
      <c r="C2004">
        <v>2001</v>
      </c>
    </row>
    <row r="2005" spans="1:11" x14ac:dyDescent="0.25">
      <c r="A2005">
        <v>125.564332288494</v>
      </c>
      <c r="B2005">
        <v>95.0432668426253</v>
      </c>
      <c r="C2005">
        <v>2001</v>
      </c>
    </row>
    <row r="2006" spans="1:11" x14ac:dyDescent="0.25">
      <c r="A2006">
        <v>130.78645076098499</v>
      </c>
      <c r="B2006">
        <v>100.26538531511601</v>
      </c>
      <c r="C2006">
        <v>2001</v>
      </c>
    </row>
    <row r="2007" spans="1:11" x14ac:dyDescent="0.25">
      <c r="A2007">
        <v>150</v>
      </c>
      <c r="B2007">
        <v>119.478934554132</v>
      </c>
      <c r="C2007">
        <v>2001</v>
      </c>
    </row>
    <row r="2008" spans="1:11" x14ac:dyDescent="0.25">
      <c r="A2008">
        <v>150</v>
      </c>
      <c r="B2008">
        <v>118.60490250523399</v>
      </c>
      <c r="C2008">
        <v>2000</v>
      </c>
    </row>
    <row r="2009" spans="1:11" x14ac:dyDescent="0.25">
      <c r="A2009">
        <v>131.12971217965</v>
      </c>
      <c r="B2009">
        <v>99.734614684883695</v>
      </c>
      <c r="C2009">
        <v>2000</v>
      </c>
    </row>
    <row r="2010" spans="1:11" x14ac:dyDescent="0.25">
      <c r="A2010" t="s">
        <v>83</v>
      </c>
    </row>
    <row r="2011" spans="1:11" x14ac:dyDescent="0.25">
      <c r="A2011">
        <v>562</v>
      </c>
      <c r="B2011">
        <v>0</v>
      </c>
      <c r="C2011">
        <v>42.100059387723697</v>
      </c>
      <c r="D2011">
        <v>0.76051970101948996</v>
      </c>
      <c r="E2011">
        <v>6</v>
      </c>
      <c r="F2011">
        <v>1.5707963267949001</v>
      </c>
      <c r="G2011" t="s">
        <v>81</v>
      </c>
      <c r="H2011" t="s">
        <v>84</v>
      </c>
      <c r="I2011">
        <v>0</v>
      </c>
      <c r="J2011">
        <v>570</v>
      </c>
      <c r="K2011">
        <v>0</v>
      </c>
    </row>
    <row r="2012" spans="1:11" x14ac:dyDescent="0.25">
      <c r="A2012" t="s">
        <v>82</v>
      </c>
    </row>
    <row r="2013" spans="1:11" x14ac:dyDescent="0.25">
      <c r="A2013">
        <v>29.7692374814159</v>
      </c>
      <c r="B2013">
        <v>145.24137795448399</v>
      </c>
      <c r="C2013">
        <v>2000</v>
      </c>
    </row>
    <row r="2014" spans="1:11" x14ac:dyDescent="0.25">
      <c r="A2014">
        <v>0</v>
      </c>
      <c r="B2014">
        <v>115.472140473068</v>
      </c>
      <c r="C2014">
        <v>2000</v>
      </c>
    </row>
    <row r="2015" spans="1:11" x14ac:dyDescent="0.25">
      <c r="A2015">
        <v>0</v>
      </c>
      <c r="B2015">
        <v>115.472140473068</v>
      </c>
      <c r="C2015">
        <v>2001</v>
      </c>
    </row>
    <row r="2016" spans="1:11" x14ac:dyDescent="0.25">
      <c r="A2016">
        <v>29.7692374814159</v>
      </c>
      <c r="B2016">
        <v>145.24137795448399</v>
      </c>
      <c r="C2016">
        <v>2001</v>
      </c>
    </row>
    <row r="2017" spans="1:11" x14ac:dyDescent="0.25">
      <c r="A2017">
        <v>30.3070061192327</v>
      </c>
      <c r="B2017">
        <v>145.779146592301</v>
      </c>
      <c r="C2017">
        <v>2001</v>
      </c>
    </row>
    <row r="2018" spans="1:11" x14ac:dyDescent="0.25">
      <c r="A2018">
        <v>30.3070061192327</v>
      </c>
      <c r="B2018">
        <v>145.779146592301</v>
      </c>
      <c r="C2018">
        <v>2000</v>
      </c>
    </row>
    <row r="2019" spans="1:11" x14ac:dyDescent="0.25">
      <c r="A2019" t="s">
        <v>83</v>
      </c>
    </row>
    <row r="2020" spans="1:11" x14ac:dyDescent="0.25">
      <c r="A2020">
        <v>575</v>
      </c>
      <c r="B2020">
        <v>0</v>
      </c>
      <c r="C2020">
        <v>14.302593075163999</v>
      </c>
      <c r="D2020">
        <v>28.457484198941199</v>
      </c>
      <c r="E2020">
        <v>10</v>
      </c>
      <c r="F2020">
        <v>1.5707963267949001</v>
      </c>
      <c r="G2020" t="s">
        <v>84</v>
      </c>
      <c r="H2020" t="s">
        <v>84</v>
      </c>
      <c r="I2020">
        <v>656</v>
      </c>
      <c r="J2020">
        <v>336</v>
      </c>
      <c r="K2020">
        <v>0</v>
      </c>
    </row>
    <row r="2021" spans="1:11" x14ac:dyDescent="0.25">
      <c r="A2021" t="s">
        <v>82</v>
      </c>
    </row>
    <row r="2022" spans="1:11" x14ac:dyDescent="0.25">
      <c r="A2022">
        <v>30.566971961207202</v>
      </c>
      <c r="B2022">
        <v>109.355572976338</v>
      </c>
      <c r="C2022">
        <v>2000</v>
      </c>
    </row>
    <row r="2023" spans="1:11" x14ac:dyDescent="0.25">
      <c r="A2023">
        <v>21.2113989848697</v>
      </c>
      <c r="B2023">
        <v>100</v>
      </c>
      <c r="C2023">
        <v>2000</v>
      </c>
    </row>
    <row r="2024" spans="1:11" x14ac:dyDescent="0.25">
      <c r="A2024">
        <v>20.453511409207</v>
      </c>
      <c r="B2024">
        <v>99.242112424337407</v>
      </c>
      <c r="C2024">
        <v>2000</v>
      </c>
    </row>
    <row r="2025" spans="1:11" x14ac:dyDescent="0.25">
      <c r="A2025">
        <v>20.453511409207</v>
      </c>
      <c r="B2025">
        <v>99.242112424337407</v>
      </c>
      <c r="C2025">
        <v>2001</v>
      </c>
    </row>
    <row r="2026" spans="1:11" x14ac:dyDescent="0.25">
      <c r="A2026">
        <v>21.2113989848697</v>
      </c>
      <c r="B2026">
        <v>100</v>
      </c>
      <c r="C2026">
        <v>2001</v>
      </c>
    </row>
    <row r="2027" spans="1:11" x14ac:dyDescent="0.25">
      <c r="A2027">
        <v>30.566971961207202</v>
      </c>
      <c r="B2027">
        <v>109.355572976338</v>
      </c>
      <c r="C2027">
        <v>2001</v>
      </c>
    </row>
    <row r="2028" spans="1:11" x14ac:dyDescent="0.25">
      <c r="A2028">
        <v>50</v>
      </c>
      <c r="B2028">
        <v>128.78860101513001</v>
      </c>
      <c r="C2028">
        <v>2001</v>
      </c>
    </row>
    <row r="2029" spans="1:11" x14ac:dyDescent="0.25">
      <c r="A2029">
        <v>50.689452013787601</v>
      </c>
      <c r="B2029">
        <v>129.478053028918</v>
      </c>
      <c r="C2029">
        <v>2001</v>
      </c>
    </row>
    <row r="2030" spans="1:11" x14ac:dyDescent="0.25">
      <c r="A2030">
        <v>50.689452013787601</v>
      </c>
      <c r="B2030">
        <v>129.478053028918</v>
      </c>
      <c r="C2030">
        <v>2000</v>
      </c>
    </row>
    <row r="2031" spans="1:11" x14ac:dyDescent="0.25">
      <c r="A2031">
        <v>50</v>
      </c>
      <c r="B2031">
        <v>128.78860101513001</v>
      </c>
      <c r="C2031">
        <v>2000</v>
      </c>
    </row>
    <row r="2032" spans="1:11" x14ac:dyDescent="0.25">
      <c r="A2032" t="s">
        <v>83</v>
      </c>
    </row>
    <row r="2033" spans="1:11" x14ac:dyDescent="0.25">
      <c r="A2033">
        <v>725</v>
      </c>
      <c r="B2033">
        <v>0</v>
      </c>
      <c r="C2033">
        <v>5.8260077530630996</v>
      </c>
      <c r="D2033">
        <v>36.859827946360397</v>
      </c>
      <c r="E2033">
        <v>8</v>
      </c>
      <c r="F2033">
        <v>1.01722196789785</v>
      </c>
      <c r="G2033" t="s">
        <v>84</v>
      </c>
      <c r="H2033" t="s">
        <v>84</v>
      </c>
      <c r="I2033">
        <v>679</v>
      </c>
      <c r="J2033">
        <v>335</v>
      </c>
      <c r="K2033">
        <v>0.13160878275062499</v>
      </c>
    </row>
    <row r="2034" spans="1:11" x14ac:dyDescent="0.25">
      <c r="A2034" t="s">
        <v>82</v>
      </c>
    </row>
    <row r="2035" spans="1:11" x14ac:dyDescent="0.25">
      <c r="A2035">
        <v>46.029463637638401</v>
      </c>
      <c r="B2035">
        <v>107.23320458327601</v>
      </c>
      <c r="C2035">
        <v>2000</v>
      </c>
    </row>
    <row r="2036" spans="1:11" x14ac:dyDescent="0.25">
      <c r="A2036">
        <v>41.909854048202099</v>
      </c>
      <c r="B2036">
        <v>103.11359499384</v>
      </c>
      <c r="C2036">
        <v>2000</v>
      </c>
    </row>
    <row r="2037" spans="1:11" x14ac:dyDescent="0.25">
      <c r="A2037">
        <v>42.346870072650901</v>
      </c>
      <c r="B2037">
        <v>102.676578969391</v>
      </c>
      <c r="C2037">
        <v>2001</v>
      </c>
    </row>
    <row r="2038" spans="1:11" x14ac:dyDescent="0.25">
      <c r="A2038">
        <v>46.466479662087202</v>
      </c>
      <c r="B2038">
        <v>106.796188558827</v>
      </c>
      <c r="C2038">
        <v>2001</v>
      </c>
    </row>
    <row r="2039" spans="1:11" x14ac:dyDescent="0.25">
      <c r="A2039">
        <v>50.218508012224397</v>
      </c>
      <c r="B2039">
        <v>110.54821690896399</v>
      </c>
      <c r="C2039">
        <v>2001</v>
      </c>
    </row>
    <row r="2040" spans="1:11" x14ac:dyDescent="0.25">
      <c r="A2040">
        <v>72.530313956328101</v>
      </c>
      <c r="B2040">
        <v>132.86002285306799</v>
      </c>
      <c r="C2040">
        <v>2001</v>
      </c>
    </row>
    <row r="2041" spans="1:11" x14ac:dyDescent="0.25">
      <c r="A2041">
        <v>72.093297931879306</v>
      </c>
      <c r="B2041">
        <v>133.297038877517</v>
      </c>
      <c r="C2041">
        <v>2000</v>
      </c>
    </row>
    <row r="2042" spans="1:11" x14ac:dyDescent="0.25">
      <c r="A2042">
        <v>49.781491987775603</v>
      </c>
      <c r="B2042">
        <v>110.985232933413</v>
      </c>
      <c r="C2042">
        <v>2000</v>
      </c>
    </row>
    <row r="2043" spans="1:11" x14ac:dyDescent="0.25">
      <c r="A2043" t="s">
        <v>83</v>
      </c>
    </row>
    <row r="2044" spans="1:11" x14ac:dyDescent="0.25">
      <c r="A2044">
        <v>338</v>
      </c>
      <c r="B2044">
        <v>0</v>
      </c>
      <c r="C2044">
        <v>21.6606698391486</v>
      </c>
      <c r="D2044">
        <v>21.0251658602749</v>
      </c>
      <c r="E2044">
        <v>8</v>
      </c>
      <c r="F2044">
        <v>1.5707963267949001</v>
      </c>
      <c r="G2044" t="s">
        <v>84</v>
      </c>
      <c r="H2044" t="s">
        <v>84</v>
      </c>
      <c r="I2044">
        <v>679</v>
      </c>
      <c r="J2044">
        <v>335</v>
      </c>
      <c r="K2044">
        <v>0</v>
      </c>
    </row>
    <row r="2045" spans="1:11" x14ac:dyDescent="0.25">
      <c r="A2045" t="s">
        <v>82</v>
      </c>
    </row>
    <row r="2046" spans="1:11" x14ac:dyDescent="0.25">
      <c r="A2046">
        <v>57.928815848626598</v>
      </c>
      <c r="B2046">
        <v>117.727446250025</v>
      </c>
      <c r="C2046">
        <v>2000</v>
      </c>
    </row>
    <row r="2047" spans="1:11" x14ac:dyDescent="0.25">
      <c r="A2047">
        <v>50</v>
      </c>
      <c r="B2047">
        <v>109.798630401398</v>
      </c>
      <c r="C2047">
        <v>2000</v>
      </c>
    </row>
    <row r="2048" spans="1:11" x14ac:dyDescent="0.25">
      <c r="A2048">
        <v>42.612409320321603</v>
      </c>
      <c r="B2048">
        <v>102.41103972172</v>
      </c>
      <c r="C2048">
        <v>2000</v>
      </c>
    </row>
    <row r="2049" spans="1:11" x14ac:dyDescent="0.25">
      <c r="A2049">
        <v>42.612409320321603</v>
      </c>
      <c r="B2049">
        <v>102.41103972172</v>
      </c>
      <c r="C2049">
        <v>2001</v>
      </c>
    </row>
    <row r="2050" spans="1:11" x14ac:dyDescent="0.25">
      <c r="A2050">
        <v>50</v>
      </c>
      <c r="B2050">
        <v>109.798630401398</v>
      </c>
      <c r="C2050">
        <v>2001</v>
      </c>
    </row>
    <row r="2051" spans="1:11" x14ac:dyDescent="0.25">
      <c r="A2051">
        <v>57.928815848626598</v>
      </c>
      <c r="B2051">
        <v>117.727446250025</v>
      </c>
      <c r="C2051">
        <v>2001</v>
      </c>
    </row>
    <row r="2052" spans="1:11" x14ac:dyDescent="0.25">
      <c r="A2052">
        <v>72.795853203998803</v>
      </c>
      <c r="B2052">
        <v>132.59448360539699</v>
      </c>
      <c r="C2052">
        <v>2001</v>
      </c>
    </row>
    <row r="2053" spans="1:11" x14ac:dyDescent="0.25">
      <c r="A2053">
        <v>72.795853203998803</v>
      </c>
      <c r="B2053">
        <v>132.59448360539699</v>
      </c>
      <c r="C2053">
        <v>2000</v>
      </c>
    </row>
    <row r="2054" spans="1:11" x14ac:dyDescent="0.25">
      <c r="A2054" t="s">
        <v>83</v>
      </c>
    </row>
    <row r="2055" spans="1:11" x14ac:dyDescent="0.25">
      <c r="A2055">
        <v>176</v>
      </c>
      <c r="B2055">
        <v>0</v>
      </c>
      <c r="C2055">
        <v>19.946107048281899</v>
      </c>
      <c r="D2055">
        <v>22.5682442701135</v>
      </c>
      <c r="E2055">
        <v>10</v>
      </c>
      <c r="F2055">
        <v>1.5707963267949001</v>
      </c>
      <c r="G2055" t="s">
        <v>84</v>
      </c>
      <c r="H2055" t="s">
        <v>84</v>
      </c>
      <c r="I2055">
        <v>517</v>
      </c>
      <c r="J2055">
        <v>162</v>
      </c>
      <c r="K2055">
        <v>0</v>
      </c>
    </row>
    <row r="2056" spans="1:11" x14ac:dyDescent="0.25">
      <c r="A2056" t="s">
        <v>82</v>
      </c>
    </row>
    <row r="2057" spans="1:11" x14ac:dyDescent="0.25">
      <c r="A2057">
        <v>112.340953637539</v>
      </c>
      <c r="B2057">
        <v>63.650964195211898</v>
      </c>
      <c r="C2057">
        <v>2000</v>
      </c>
    </row>
    <row r="2058" spans="1:11" x14ac:dyDescent="0.25">
      <c r="A2058">
        <v>100</v>
      </c>
      <c r="B2058">
        <v>51.310010557672904</v>
      </c>
      <c r="C2058">
        <v>2000</v>
      </c>
    </row>
    <row r="2059" spans="1:11" x14ac:dyDescent="0.25">
      <c r="A2059">
        <v>98.689989442327004</v>
      </c>
      <c r="B2059">
        <v>50</v>
      </c>
      <c r="C2059">
        <v>2000</v>
      </c>
    </row>
    <row r="2060" spans="1:11" x14ac:dyDescent="0.25">
      <c r="A2060">
        <v>98.236926085425907</v>
      </c>
      <c r="B2060">
        <v>49.546936643098903</v>
      </c>
      <c r="C2060">
        <v>2000</v>
      </c>
    </row>
    <row r="2061" spans="1:11" x14ac:dyDescent="0.25">
      <c r="A2061">
        <v>98.236926085425907</v>
      </c>
      <c r="B2061">
        <v>49.546936643098903</v>
      </c>
      <c r="C2061">
        <v>2001</v>
      </c>
    </row>
    <row r="2062" spans="1:11" x14ac:dyDescent="0.25">
      <c r="A2062">
        <v>98.689989442327004</v>
      </c>
      <c r="B2062">
        <v>50</v>
      </c>
      <c r="C2062">
        <v>2001</v>
      </c>
    </row>
    <row r="2063" spans="1:11" x14ac:dyDescent="0.25">
      <c r="A2063">
        <v>100</v>
      </c>
      <c r="B2063">
        <v>51.310010557672904</v>
      </c>
      <c r="C2063">
        <v>2001</v>
      </c>
    </row>
    <row r="2064" spans="1:11" x14ac:dyDescent="0.25">
      <c r="A2064">
        <v>112.340953637539</v>
      </c>
      <c r="B2064">
        <v>63.650964195211898</v>
      </c>
      <c r="C2064">
        <v>2001</v>
      </c>
    </row>
    <row r="2065" spans="1:11" x14ac:dyDescent="0.25">
      <c r="A2065">
        <v>128.299112200411</v>
      </c>
      <c r="B2065">
        <v>79.609122758083601</v>
      </c>
      <c r="C2065">
        <v>2001</v>
      </c>
    </row>
    <row r="2066" spans="1:11" x14ac:dyDescent="0.25">
      <c r="A2066">
        <v>128.299112200411</v>
      </c>
      <c r="B2066">
        <v>79.609122758083601</v>
      </c>
      <c r="C2066">
        <v>2000</v>
      </c>
    </row>
    <row r="2067" spans="1:11" x14ac:dyDescent="0.25">
      <c r="A2067" t="s">
        <v>83</v>
      </c>
    </row>
    <row r="2068" spans="1:11" x14ac:dyDescent="0.25">
      <c r="A2068">
        <v>280</v>
      </c>
      <c r="B2068">
        <v>0</v>
      </c>
      <c r="C2068">
        <v>18.372539114307902</v>
      </c>
      <c r="D2068">
        <v>23.863009846168602</v>
      </c>
      <c r="E2068">
        <v>6</v>
      </c>
      <c r="F2068">
        <v>1.01722196789785</v>
      </c>
      <c r="G2068" t="s">
        <v>81</v>
      </c>
      <c r="H2068" t="s">
        <v>84</v>
      </c>
      <c r="I2068">
        <v>0</v>
      </c>
      <c r="J2068">
        <v>260</v>
      </c>
      <c r="K2068">
        <v>0</v>
      </c>
    </row>
    <row r="2069" spans="1:11" x14ac:dyDescent="0.25">
      <c r="A2069" t="s">
        <v>82</v>
      </c>
    </row>
    <row r="2070" spans="1:11" x14ac:dyDescent="0.25">
      <c r="A2070">
        <v>126.05074327832401</v>
      </c>
      <c r="B2070">
        <v>13.086398370314001</v>
      </c>
      <c r="C2070">
        <v>2000</v>
      </c>
    </row>
    <row r="2071" spans="1:11" x14ac:dyDescent="0.25">
      <c r="A2071">
        <v>112.96434490801001</v>
      </c>
      <c r="B2071">
        <v>0</v>
      </c>
      <c r="C2071">
        <v>2000</v>
      </c>
    </row>
    <row r="2072" spans="1:11" x14ac:dyDescent="0.25">
      <c r="A2072">
        <v>113.83837695690799</v>
      </c>
      <c r="B2072">
        <v>0</v>
      </c>
      <c r="C2072">
        <v>2001</v>
      </c>
    </row>
    <row r="2073" spans="1:11" x14ac:dyDescent="0.25">
      <c r="A2073">
        <v>126.734672577278</v>
      </c>
      <c r="B2073">
        <v>12.896295620370401</v>
      </c>
      <c r="C2073">
        <v>2001</v>
      </c>
    </row>
    <row r="2074" spans="1:11" x14ac:dyDescent="0.25">
      <c r="A2074">
        <v>143.484912021773</v>
      </c>
      <c r="B2074">
        <v>29.646535064864899</v>
      </c>
      <c r="C2074">
        <v>2001</v>
      </c>
    </row>
    <row r="2075" spans="1:11" x14ac:dyDescent="0.25">
      <c r="A2075">
        <v>143.04789599732399</v>
      </c>
      <c r="B2075">
        <v>30.083551089313801</v>
      </c>
      <c r="C2075">
        <v>2000</v>
      </c>
    </row>
    <row r="2076" spans="1:11" x14ac:dyDescent="0.25">
      <c r="A2076" t="s">
        <v>83</v>
      </c>
    </row>
    <row r="2077" spans="1:11" x14ac:dyDescent="0.25">
      <c r="A2077">
        <v>431</v>
      </c>
      <c r="B2077">
        <v>0</v>
      </c>
      <c r="C2077">
        <v>17.714919861052699</v>
      </c>
      <c r="D2077">
        <v>23.861625369459901</v>
      </c>
      <c r="E2077">
        <v>8</v>
      </c>
      <c r="F2077">
        <v>1.01722196789785</v>
      </c>
      <c r="G2077" t="s">
        <v>84</v>
      </c>
      <c r="H2077" t="s">
        <v>84</v>
      </c>
      <c r="I2077">
        <v>323</v>
      </c>
      <c r="J2077">
        <v>433</v>
      </c>
      <c r="K2077">
        <v>0</v>
      </c>
    </row>
    <row r="2078" spans="1:11" x14ac:dyDescent="0.25">
      <c r="A2078" t="s">
        <v>82</v>
      </c>
    </row>
    <row r="2079" spans="1:11" x14ac:dyDescent="0.25">
      <c r="A2079">
        <v>100.23715216305401</v>
      </c>
      <c r="B2079">
        <v>114.63343362446101</v>
      </c>
      <c r="C2079">
        <v>2000</v>
      </c>
    </row>
    <row r="2080" spans="1:11" x14ac:dyDescent="0.25">
      <c r="A2080">
        <v>99.781491987775595</v>
      </c>
      <c r="B2080">
        <v>114.17777344918299</v>
      </c>
      <c r="C2080">
        <v>2000</v>
      </c>
    </row>
    <row r="2081" spans="1:11" x14ac:dyDescent="0.25">
      <c r="A2081">
        <v>87.710812201127595</v>
      </c>
      <c r="B2081">
        <v>102.10709366253499</v>
      </c>
      <c r="C2081">
        <v>2000</v>
      </c>
    </row>
    <row r="2082" spans="1:11" x14ac:dyDescent="0.25">
      <c r="A2082">
        <v>88.147828225576404</v>
      </c>
      <c r="B2082">
        <v>101.670077638086</v>
      </c>
      <c r="C2082">
        <v>2001</v>
      </c>
    </row>
    <row r="2083" spans="1:11" x14ac:dyDescent="0.25">
      <c r="A2083">
        <v>100.21850801222401</v>
      </c>
      <c r="B2083">
        <v>113.740757424734</v>
      </c>
      <c r="C2083">
        <v>2001</v>
      </c>
    </row>
    <row r="2084" spans="1:11" x14ac:dyDescent="0.25">
      <c r="A2084">
        <v>100.674168187503</v>
      </c>
      <c r="B2084">
        <v>114.196417600012</v>
      </c>
      <c r="C2084">
        <v>2001</v>
      </c>
    </row>
    <row r="2085" spans="1:11" x14ac:dyDescent="0.25">
      <c r="A2085">
        <v>117.54688529638101</v>
      </c>
      <c r="B2085">
        <v>131.06913470889</v>
      </c>
      <c r="C2085">
        <v>2001</v>
      </c>
    </row>
    <row r="2086" spans="1:11" x14ac:dyDescent="0.25">
      <c r="A2086">
        <v>117.109869271932</v>
      </c>
      <c r="B2086">
        <v>131.50615073333901</v>
      </c>
      <c r="C2086">
        <v>2000</v>
      </c>
    </row>
    <row r="2087" spans="1:11" x14ac:dyDescent="0.25">
      <c r="A2087" t="s">
        <v>83</v>
      </c>
    </row>
    <row r="2088" spans="1:11" x14ac:dyDescent="0.25">
      <c r="A2088">
        <v>436</v>
      </c>
      <c r="B2088">
        <v>0</v>
      </c>
      <c r="C2088">
        <v>37.349760374884298</v>
      </c>
      <c r="D2088">
        <v>3.8733336578543498</v>
      </c>
      <c r="E2088">
        <v>6</v>
      </c>
      <c r="F2088">
        <v>1.01722196789785</v>
      </c>
      <c r="G2088" t="s">
        <v>84</v>
      </c>
      <c r="H2088" t="s">
        <v>81</v>
      </c>
      <c r="I2088">
        <v>352</v>
      </c>
      <c r="J2088">
        <v>0</v>
      </c>
      <c r="K2088">
        <v>0</v>
      </c>
    </row>
    <row r="2089" spans="1:11" x14ac:dyDescent="0.25">
      <c r="A2089" t="s">
        <v>82</v>
      </c>
    </row>
    <row r="2090" spans="1:11" x14ac:dyDescent="0.25">
      <c r="A2090">
        <v>138.33913040875899</v>
      </c>
      <c r="B2090">
        <v>147.24060842966199</v>
      </c>
      <c r="C2090">
        <v>2000</v>
      </c>
    </row>
    <row r="2091" spans="1:11" x14ac:dyDescent="0.25">
      <c r="A2091">
        <v>111.73088463483199</v>
      </c>
      <c r="B2091">
        <v>120.63236265573499</v>
      </c>
      <c r="C2091">
        <v>2000</v>
      </c>
    </row>
    <row r="2092" spans="1:11" x14ac:dyDescent="0.25">
      <c r="A2092">
        <v>111.293868610384</v>
      </c>
      <c r="B2092">
        <v>121.069378680184</v>
      </c>
      <c r="C2092">
        <v>2001</v>
      </c>
    </row>
    <row r="2093" spans="1:11" x14ac:dyDescent="0.25">
      <c r="A2093">
        <v>137.50616051000401</v>
      </c>
      <c r="B2093">
        <v>147.281670579804</v>
      </c>
      <c r="C2093">
        <v>2001</v>
      </c>
    </row>
    <row r="2094" spans="1:11" x14ac:dyDescent="0.25">
      <c r="A2094">
        <v>140.22448993019901</v>
      </c>
      <c r="B2094">
        <v>150</v>
      </c>
      <c r="C2094">
        <v>2001</v>
      </c>
    </row>
    <row r="2095" spans="1:11" x14ac:dyDescent="0.25">
      <c r="A2095">
        <v>141.098521979097</v>
      </c>
      <c r="B2095">
        <v>150</v>
      </c>
      <c r="C2095">
        <v>2000</v>
      </c>
    </row>
    <row r="2096" spans="1:11" x14ac:dyDescent="0.25">
      <c r="A2096" t="s">
        <v>83</v>
      </c>
    </row>
    <row r="2097" spans="1:11" x14ac:dyDescent="0.25">
      <c r="A2097">
        <v>501</v>
      </c>
      <c r="B2097">
        <v>0</v>
      </c>
      <c r="C2097">
        <v>2.3654778463722899</v>
      </c>
      <c r="D2097">
        <v>37.774179397928599</v>
      </c>
      <c r="E2097">
        <v>6</v>
      </c>
      <c r="F2097">
        <v>1.01722196789785</v>
      </c>
      <c r="G2097" t="s">
        <v>84</v>
      </c>
      <c r="H2097" t="s">
        <v>84</v>
      </c>
      <c r="I2097">
        <v>520</v>
      </c>
      <c r="J2097">
        <v>173</v>
      </c>
      <c r="K2097">
        <v>0</v>
      </c>
    </row>
    <row r="2098" spans="1:11" x14ac:dyDescent="0.25">
      <c r="A2098" t="s">
        <v>82</v>
      </c>
    </row>
    <row r="2099" spans="1:11" x14ac:dyDescent="0.25">
      <c r="A2099">
        <v>70.117321616097797</v>
      </c>
      <c r="B2099">
        <v>9.6522831440170709</v>
      </c>
      <c r="C2099">
        <v>2000</v>
      </c>
    </row>
    <row r="2100" spans="1:11" x14ac:dyDescent="0.25">
      <c r="A2100">
        <v>68.444676190181397</v>
      </c>
      <c r="B2100">
        <v>7.9796377181006699</v>
      </c>
      <c r="C2100">
        <v>2000</v>
      </c>
    </row>
    <row r="2101" spans="1:11" x14ac:dyDescent="0.25">
      <c r="A2101">
        <v>68.881692214630206</v>
      </c>
      <c r="B2101">
        <v>7.5426216936518502</v>
      </c>
      <c r="C2101">
        <v>2001</v>
      </c>
    </row>
    <row r="2102" spans="1:11" x14ac:dyDescent="0.25">
      <c r="A2102">
        <v>70.554337640546606</v>
      </c>
      <c r="B2102">
        <v>9.2152671195682494</v>
      </c>
      <c r="C2102">
        <v>2001</v>
      </c>
    </row>
    <row r="2103" spans="1:11" x14ac:dyDescent="0.25">
      <c r="A2103">
        <v>97.264716046579096</v>
      </c>
      <c r="B2103">
        <v>35.9256455256007</v>
      </c>
      <c r="C2103">
        <v>2001</v>
      </c>
    </row>
    <row r="2104" spans="1:11" x14ac:dyDescent="0.25">
      <c r="A2104">
        <v>96.827700022130202</v>
      </c>
      <c r="B2104">
        <v>36.362661550049502</v>
      </c>
      <c r="C2104">
        <v>2000</v>
      </c>
    </row>
    <row r="2105" spans="1:11" x14ac:dyDescent="0.25">
      <c r="A2105" t="s">
        <v>83</v>
      </c>
    </row>
    <row r="2106" spans="1:11" x14ac:dyDescent="0.25">
      <c r="A2106">
        <v>14</v>
      </c>
      <c r="B2106">
        <v>0</v>
      </c>
      <c r="C2106">
        <v>25.30190616906</v>
      </c>
      <c r="D2106">
        <v>14.782672580534101</v>
      </c>
      <c r="E2106">
        <v>8</v>
      </c>
      <c r="F2106">
        <v>1.5707963267949001</v>
      </c>
      <c r="G2106" t="s">
        <v>81</v>
      </c>
      <c r="H2106" t="s">
        <v>84</v>
      </c>
      <c r="I2106">
        <v>0</v>
      </c>
      <c r="J2106">
        <v>490</v>
      </c>
      <c r="K2106">
        <v>0</v>
      </c>
    </row>
    <row r="2107" spans="1:11" x14ac:dyDescent="0.25">
      <c r="A2107" t="s">
        <v>82</v>
      </c>
    </row>
    <row r="2108" spans="1:11" x14ac:dyDescent="0.25">
      <c r="A2108">
        <v>39.971650957582398</v>
      </c>
      <c r="B2108">
        <v>17.891149429088099</v>
      </c>
      <c r="C2108">
        <v>2000</v>
      </c>
    </row>
    <row r="2109" spans="1:11" x14ac:dyDescent="0.25">
      <c r="A2109">
        <v>22.080501528494299</v>
      </c>
      <c r="B2109">
        <v>0</v>
      </c>
      <c r="C2109">
        <v>2000</v>
      </c>
    </row>
    <row r="2110" spans="1:11" x14ac:dyDescent="0.25">
      <c r="A2110">
        <v>22.080501528494299</v>
      </c>
      <c r="B2110">
        <v>0</v>
      </c>
      <c r="C2110">
        <v>2001</v>
      </c>
    </row>
    <row r="2111" spans="1:11" x14ac:dyDescent="0.25">
      <c r="A2111">
        <v>39.971650957582398</v>
      </c>
      <c r="B2111">
        <v>17.891149429088099</v>
      </c>
      <c r="C2111">
        <v>2001</v>
      </c>
    </row>
    <row r="2112" spans="1:11" x14ac:dyDescent="0.25">
      <c r="A2112">
        <v>50</v>
      </c>
      <c r="B2112">
        <v>27.919498471505701</v>
      </c>
      <c r="C2112">
        <v>2001</v>
      </c>
    </row>
    <row r="2113" spans="1:11" x14ac:dyDescent="0.25">
      <c r="A2113">
        <v>50.424578983338399</v>
      </c>
      <c r="B2113">
        <v>28.344077454844101</v>
      </c>
      <c r="C2113">
        <v>2001</v>
      </c>
    </row>
    <row r="2114" spans="1:11" x14ac:dyDescent="0.25">
      <c r="A2114">
        <v>50.424578983338399</v>
      </c>
      <c r="B2114">
        <v>28.344077454844101</v>
      </c>
      <c r="C2114">
        <v>2000</v>
      </c>
    </row>
    <row r="2115" spans="1:11" x14ac:dyDescent="0.25">
      <c r="A2115">
        <v>50</v>
      </c>
      <c r="B2115">
        <v>27.919498471505701</v>
      </c>
      <c r="C2115">
        <v>2000</v>
      </c>
    </row>
    <row r="2116" spans="1:11" x14ac:dyDescent="0.25">
      <c r="A2116" t="s">
        <v>83</v>
      </c>
    </row>
    <row r="2117" spans="1:11" x14ac:dyDescent="0.25">
      <c r="A2117">
        <v>726</v>
      </c>
      <c r="B2117">
        <v>0</v>
      </c>
      <c r="C2117">
        <v>37.7853084990738</v>
      </c>
      <c r="D2117">
        <v>1.8632459894061</v>
      </c>
      <c r="E2117">
        <v>8</v>
      </c>
      <c r="F2117">
        <v>1.01722196789785</v>
      </c>
      <c r="G2117" t="s">
        <v>84</v>
      </c>
      <c r="H2117" t="s">
        <v>84</v>
      </c>
      <c r="I2117">
        <v>669</v>
      </c>
      <c r="J2117">
        <v>343</v>
      </c>
      <c r="K2117">
        <v>0.13160878275062499</v>
      </c>
    </row>
    <row r="2118" spans="1:11" x14ac:dyDescent="0.25">
      <c r="A2118" t="s">
        <v>82</v>
      </c>
    </row>
    <row r="2119" spans="1:11" x14ac:dyDescent="0.25">
      <c r="A2119">
        <v>82.285348779659301</v>
      </c>
      <c r="B2119">
        <v>117.196774005511</v>
      </c>
      <c r="C2119">
        <v>2000</v>
      </c>
    </row>
    <row r="2120" spans="1:11" x14ac:dyDescent="0.25">
      <c r="A2120">
        <v>65.307082786372206</v>
      </c>
      <c r="B2120">
        <v>100.21850801222401</v>
      </c>
      <c r="C2120">
        <v>2000</v>
      </c>
    </row>
    <row r="2121" spans="1:11" x14ac:dyDescent="0.25">
      <c r="A2121">
        <v>55.567100910738397</v>
      </c>
      <c r="B2121">
        <v>90.478526136590602</v>
      </c>
      <c r="C2121">
        <v>2000</v>
      </c>
    </row>
    <row r="2122" spans="1:11" x14ac:dyDescent="0.25">
      <c r="A2122">
        <v>56.004116935187298</v>
      </c>
      <c r="B2122">
        <v>90.041510112141793</v>
      </c>
      <c r="C2122">
        <v>2001</v>
      </c>
    </row>
    <row r="2123" spans="1:11" x14ac:dyDescent="0.25">
      <c r="A2123">
        <v>65.7440988108211</v>
      </c>
      <c r="B2123">
        <v>99.781491987775595</v>
      </c>
      <c r="C2123">
        <v>2001</v>
      </c>
    </row>
    <row r="2124" spans="1:11" x14ac:dyDescent="0.25">
      <c r="A2124">
        <v>82.722364804108096</v>
      </c>
      <c r="B2124">
        <v>116.759757981063</v>
      </c>
      <c r="C2124">
        <v>2001</v>
      </c>
    </row>
    <row r="2125" spans="1:11" x14ac:dyDescent="0.25">
      <c r="A2125">
        <v>84.039878678235794</v>
      </c>
      <c r="B2125">
        <v>118.07727185519001</v>
      </c>
      <c r="C2125">
        <v>2001</v>
      </c>
    </row>
    <row r="2126" spans="1:11" x14ac:dyDescent="0.25">
      <c r="A2126">
        <v>83.6028626537869</v>
      </c>
      <c r="B2126">
        <v>118.514287879639</v>
      </c>
      <c r="C2126">
        <v>2000</v>
      </c>
    </row>
    <row r="2127" spans="1:11" x14ac:dyDescent="0.25">
      <c r="A2127" t="s">
        <v>83</v>
      </c>
    </row>
    <row r="2128" spans="1:11" x14ac:dyDescent="0.25">
      <c r="A2128">
        <v>585</v>
      </c>
      <c r="B2128">
        <v>0</v>
      </c>
      <c r="C2128">
        <v>29.5437536452459</v>
      </c>
      <c r="D2128">
        <v>10.0459664707647</v>
      </c>
      <c r="E2128">
        <v>8</v>
      </c>
      <c r="F2128">
        <v>1.01722196789785</v>
      </c>
      <c r="G2128" t="s">
        <v>81</v>
      </c>
      <c r="H2128" t="s">
        <v>84</v>
      </c>
      <c r="I2128">
        <v>0</v>
      </c>
      <c r="J2128">
        <v>752</v>
      </c>
      <c r="K2128">
        <v>0</v>
      </c>
    </row>
    <row r="2129" spans="1:11" x14ac:dyDescent="0.25">
      <c r="A2129" t="s">
        <v>82</v>
      </c>
    </row>
    <row r="2130" spans="1:11" x14ac:dyDescent="0.25">
      <c r="A2130">
        <v>20.712610222470001</v>
      </c>
      <c r="B2130">
        <v>108.784242935574</v>
      </c>
      <c r="C2130">
        <v>2000</v>
      </c>
    </row>
    <row r="2131" spans="1:11" x14ac:dyDescent="0.25">
      <c r="A2131">
        <v>12.2360458672595</v>
      </c>
      <c r="B2131">
        <v>100.307678580363</v>
      </c>
      <c r="C2131">
        <v>2000</v>
      </c>
    </row>
    <row r="2132" spans="1:11" x14ac:dyDescent="0.25">
      <c r="A2132">
        <v>0</v>
      </c>
      <c r="B2132">
        <v>88.071632713103895</v>
      </c>
      <c r="C2132">
        <v>2000</v>
      </c>
    </row>
    <row r="2133" spans="1:11" x14ac:dyDescent="0.25">
      <c r="A2133">
        <v>0</v>
      </c>
      <c r="B2133">
        <v>87.197600664206206</v>
      </c>
      <c r="C2133">
        <v>2001</v>
      </c>
    </row>
    <row r="2134" spans="1:11" x14ac:dyDescent="0.25">
      <c r="A2134">
        <v>12.4947207554304</v>
      </c>
      <c r="B2134">
        <v>99.692321419636599</v>
      </c>
      <c r="C2134">
        <v>2001</v>
      </c>
    </row>
    <row r="2135" spans="1:11" x14ac:dyDescent="0.25">
      <c r="A2135">
        <v>21.0685668660463</v>
      </c>
      <c r="B2135">
        <v>108.266167530253</v>
      </c>
      <c r="C2135">
        <v>2001</v>
      </c>
    </row>
    <row r="2136" spans="1:11" x14ac:dyDescent="0.25">
      <c r="A2136">
        <v>28.212667571533</v>
      </c>
      <c r="B2136">
        <v>115.410268235739</v>
      </c>
      <c r="C2136">
        <v>2001</v>
      </c>
    </row>
    <row r="2137" spans="1:11" x14ac:dyDescent="0.25">
      <c r="A2137">
        <v>27.775651547084198</v>
      </c>
      <c r="B2137">
        <v>115.847284260188</v>
      </c>
      <c r="C2137">
        <v>2000</v>
      </c>
    </row>
    <row r="2138" spans="1:11" x14ac:dyDescent="0.25">
      <c r="A2138" t="s">
        <v>83</v>
      </c>
    </row>
    <row r="2139" spans="1:11" x14ac:dyDescent="0.25">
      <c r="A2139">
        <v>321</v>
      </c>
      <c r="B2139">
        <v>0</v>
      </c>
      <c r="C2139">
        <v>24.204089870143498</v>
      </c>
      <c r="D2139">
        <v>15.135208068542299</v>
      </c>
      <c r="E2139">
        <v>6</v>
      </c>
      <c r="F2139">
        <v>1.5707963267949001</v>
      </c>
      <c r="G2139" t="s">
        <v>84</v>
      </c>
      <c r="H2139" t="s">
        <v>81</v>
      </c>
      <c r="I2139">
        <v>334</v>
      </c>
      <c r="J2139">
        <v>0</v>
      </c>
      <c r="K2139">
        <v>0</v>
      </c>
    </row>
    <row r="2140" spans="1:11" x14ac:dyDescent="0.25">
      <c r="A2140" t="s">
        <v>82</v>
      </c>
    </row>
    <row r="2141" spans="1:11" x14ac:dyDescent="0.25">
      <c r="A2141">
        <v>85.364442742599394</v>
      </c>
      <c r="B2141">
        <v>139.29779174006401</v>
      </c>
      <c r="C2141">
        <v>2000</v>
      </c>
    </row>
    <row r="2142" spans="1:11" x14ac:dyDescent="0.25">
      <c r="A2142">
        <v>68.249566662972299</v>
      </c>
      <c r="B2142">
        <v>122.182915660437</v>
      </c>
      <c r="C2142">
        <v>2000</v>
      </c>
    </row>
    <row r="2143" spans="1:11" x14ac:dyDescent="0.25">
      <c r="A2143">
        <v>68.249566662972299</v>
      </c>
      <c r="B2143">
        <v>122.182915660437</v>
      </c>
      <c r="C2143">
        <v>2001</v>
      </c>
    </row>
    <row r="2144" spans="1:11" x14ac:dyDescent="0.25">
      <c r="A2144">
        <v>85.364442742599394</v>
      </c>
      <c r="B2144">
        <v>139.29779174006401</v>
      </c>
      <c r="C2144">
        <v>2001</v>
      </c>
    </row>
    <row r="2145" spans="1:11" x14ac:dyDescent="0.25">
      <c r="A2145">
        <v>96.066651002534996</v>
      </c>
      <c r="B2145">
        <v>150</v>
      </c>
      <c r="C2145">
        <v>2001</v>
      </c>
    </row>
    <row r="2146" spans="1:11" x14ac:dyDescent="0.25">
      <c r="A2146">
        <v>96.066651002534996</v>
      </c>
      <c r="B2146">
        <v>150</v>
      </c>
      <c r="C2146">
        <v>2000</v>
      </c>
    </row>
    <row r="2147" spans="1:11" x14ac:dyDescent="0.25">
      <c r="A2147" t="s">
        <v>83</v>
      </c>
    </row>
    <row r="2148" spans="1:11" x14ac:dyDescent="0.25">
      <c r="A2148">
        <v>4</v>
      </c>
      <c r="B2148">
        <v>0</v>
      </c>
      <c r="C2148">
        <v>21.243807906325099</v>
      </c>
      <c r="D2148">
        <v>17.930766634944799</v>
      </c>
      <c r="E2148">
        <v>6</v>
      </c>
      <c r="F2148">
        <v>1.5707963267949001</v>
      </c>
      <c r="G2148" t="s">
        <v>84</v>
      </c>
      <c r="H2148" t="s">
        <v>84</v>
      </c>
      <c r="I2148">
        <v>13</v>
      </c>
      <c r="J2148">
        <v>104</v>
      </c>
      <c r="K2148">
        <v>0</v>
      </c>
    </row>
    <row r="2149" spans="1:11" x14ac:dyDescent="0.25">
      <c r="A2149" t="s">
        <v>82</v>
      </c>
    </row>
    <row r="2150" spans="1:11" x14ac:dyDescent="0.25">
      <c r="A2150">
        <v>28.527562438290399</v>
      </c>
      <c r="B2150">
        <v>26.1184141976379</v>
      </c>
      <c r="C2150">
        <v>2000</v>
      </c>
    </row>
    <row r="2151" spans="1:11" x14ac:dyDescent="0.25">
      <c r="A2151">
        <v>13.5059218095035</v>
      </c>
      <c r="B2151">
        <v>11.0967735688511</v>
      </c>
      <c r="C2151">
        <v>2000</v>
      </c>
    </row>
    <row r="2152" spans="1:11" x14ac:dyDescent="0.25">
      <c r="A2152">
        <v>13.5059218095035</v>
      </c>
      <c r="B2152">
        <v>11.0967735688511</v>
      </c>
      <c r="C2152">
        <v>2001</v>
      </c>
    </row>
    <row r="2153" spans="1:11" x14ac:dyDescent="0.25">
      <c r="A2153">
        <v>28.527562438290399</v>
      </c>
      <c r="B2153">
        <v>26.1184141976379</v>
      </c>
      <c r="C2153">
        <v>2001</v>
      </c>
    </row>
    <row r="2154" spans="1:11" x14ac:dyDescent="0.25">
      <c r="A2154">
        <v>41.206529117733297</v>
      </c>
      <c r="B2154">
        <v>38.797380877080897</v>
      </c>
      <c r="C2154">
        <v>2001</v>
      </c>
    </row>
    <row r="2155" spans="1:11" x14ac:dyDescent="0.25">
      <c r="A2155">
        <v>41.206529117733297</v>
      </c>
      <c r="B2155">
        <v>38.797380877080897</v>
      </c>
      <c r="C2155">
        <v>2000</v>
      </c>
    </row>
    <row r="2156" spans="1:11" x14ac:dyDescent="0.25">
      <c r="A2156" t="s">
        <v>83</v>
      </c>
    </row>
    <row r="2157" spans="1:11" x14ac:dyDescent="0.25">
      <c r="A2157">
        <v>746</v>
      </c>
      <c r="B2157">
        <v>0</v>
      </c>
      <c r="C2157">
        <v>18.4864570587613</v>
      </c>
      <c r="D2157">
        <v>20.5234364233776</v>
      </c>
      <c r="E2157">
        <v>8</v>
      </c>
      <c r="F2157">
        <v>1.01722196789785</v>
      </c>
      <c r="G2157" t="s">
        <v>84</v>
      </c>
      <c r="H2157" t="s">
        <v>81</v>
      </c>
      <c r="I2157">
        <v>251</v>
      </c>
      <c r="J2157">
        <v>0</v>
      </c>
      <c r="K2157">
        <v>0.13367256451839299</v>
      </c>
    </row>
    <row r="2158" spans="1:11" x14ac:dyDescent="0.25">
      <c r="A2158" t="s">
        <v>82</v>
      </c>
    </row>
    <row r="2159" spans="1:11" x14ac:dyDescent="0.25">
      <c r="A2159">
        <v>135.659085718808</v>
      </c>
      <c r="B2159">
        <v>53.728663099864598</v>
      </c>
      <c r="C2159">
        <v>2000</v>
      </c>
    </row>
    <row r="2160" spans="1:11" x14ac:dyDescent="0.25">
      <c r="A2160">
        <v>131.71191460671901</v>
      </c>
      <c r="B2160">
        <v>49.781491987775603</v>
      </c>
      <c r="C2160">
        <v>2000</v>
      </c>
    </row>
    <row r="2161" spans="1:11" x14ac:dyDescent="0.25">
      <c r="A2161">
        <v>122.63434779763899</v>
      </c>
      <c r="B2161">
        <v>40.703925178695201</v>
      </c>
      <c r="C2161">
        <v>2000</v>
      </c>
    </row>
    <row r="2162" spans="1:11" x14ac:dyDescent="0.25">
      <c r="A2162">
        <v>122.19733177319</v>
      </c>
      <c r="B2162">
        <v>41.140941203144003</v>
      </c>
      <c r="C2162">
        <v>2001</v>
      </c>
    </row>
    <row r="2163" spans="1:11" x14ac:dyDescent="0.25">
      <c r="A2163">
        <v>131.27489858227099</v>
      </c>
      <c r="B2163">
        <v>50.218508012224397</v>
      </c>
      <c r="C2163">
        <v>2001</v>
      </c>
    </row>
    <row r="2164" spans="1:11" x14ac:dyDescent="0.25">
      <c r="A2164">
        <v>135.31639214474899</v>
      </c>
      <c r="B2164">
        <v>54.260001574702798</v>
      </c>
      <c r="C2164">
        <v>2001</v>
      </c>
    </row>
    <row r="2165" spans="1:11" x14ac:dyDescent="0.25">
      <c r="A2165">
        <v>150</v>
      </c>
      <c r="B2165">
        <v>68.943609429953796</v>
      </c>
      <c r="C2165">
        <v>2001</v>
      </c>
    </row>
    <row r="2166" spans="1:11" x14ac:dyDescent="0.25">
      <c r="A2166">
        <v>150</v>
      </c>
      <c r="B2166">
        <v>68.069577381056106</v>
      </c>
      <c r="C2166">
        <v>2000</v>
      </c>
    </row>
    <row r="2167" spans="1:11" x14ac:dyDescent="0.25">
      <c r="A2167" t="s">
        <v>83</v>
      </c>
    </row>
    <row r="2168" spans="1:11" x14ac:dyDescent="0.25">
      <c r="A2168">
        <v>261</v>
      </c>
      <c r="B2168">
        <v>0</v>
      </c>
      <c r="C2168">
        <v>16.662237584077801</v>
      </c>
      <c r="D2168">
        <v>21.968968718179301</v>
      </c>
      <c r="E2168">
        <v>6</v>
      </c>
      <c r="F2168">
        <v>1.01722196789785</v>
      </c>
      <c r="G2168" t="s">
        <v>81</v>
      </c>
      <c r="H2168" t="s">
        <v>81</v>
      </c>
      <c r="I2168">
        <v>0</v>
      </c>
      <c r="J2168">
        <v>0</v>
      </c>
      <c r="K2168">
        <v>0</v>
      </c>
    </row>
    <row r="2169" spans="1:11" x14ac:dyDescent="0.25">
      <c r="A2169" t="s">
        <v>82</v>
      </c>
    </row>
    <row r="2170" spans="1:11" x14ac:dyDescent="0.25">
      <c r="A2170">
        <v>134.21706899893999</v>
      </c>
      <c r="B2170">
        <v>11.970472965131</v>
      </c>
      <c r="C2170">
        <v>2000</v>
      </c>
    </row>
    <row r="2171" spans="1:11" x14ac:dyDescent="0.25">
      <c r="A2171">
        <v>122.246596033809</v>
      </c>
      <c r="B2171">
        <v>0</v>
      </c>
      <c r="C2171">
        <v>2000</v>
      </c>
    </row>
    <row r="2172" spans="1:11" x14ac:dyDescent="0.25">
      <c r="A2172">
        <v>123.12062808270601</v>
      </c>
      <c r="B2172">
        <v>0</v>
      </c>
      <c r="C2172">
        <v>2001</v>
      </c>
    </row>
    <row r="2173" spans="1:11" x14ac:dyDescent="0.25">
      <c r="A2173">
        <v>134.714117488461</v>
      </c>
      <c r="B2173">
        <v>11.5934894057545</v>
      </c>
      <c r="C2173">
        <v>2001</v>
      </c>
    </row>
    <row r="2174" spans="1:11" x14ac:dyDescent="0.25">
      <c r="A2174">
        <v>150</v>
      </c>
      <c r="B2174">
        <v>26.8793719172937</v>
      </c>
      <c r="C2174">
        <v>2001</v>
      </c>
    </row>
    <row r="2175" spans="1:11" x14ac:dyDescent="0.25">
      <c r="A2175">
        <v>150</v>
      </c>
      <c r="B2175">
        <v>27.7534039661913</v>
      </c>
      <c r="C2175">
        <v>2000</v>
      </c>
    </row>
    <row r="2176" spans="1:11" x14ac:dyDescent="0.25">
      <c r="A2176" t="s">
        <v>83</v>
      </c>
    </row>
    <row r="2177" spans="1:11" x14ac:dyDescent="0.25">
      <c r="A2177">
        <v>596</v>
      </c>
      <c r="B2177">
        <v>0</v>
      </c>
      <c r="C2177">
        <v>0.74973467428387197</v>
      </c>
      <c r="D2177">
        <v>37.6658930557332</v>
      </c>
      <c r="E2177">
        <v>8</v>
      </c>
      <c r="F2177">
        <v>1.01722196789785</v>
      </c>
      <c r="G2177" t="s">
        <v>84</v>
      </c>
      <c r="H2177" t="s">
        <v>84</v>
      </c>
      <c r="I2177">
        <v>598</v>
      </c>
      <c r="J2177">
        <v>349</v>
      </c>
      <c r="K2177">
        <v>0</v>
      </c>
    </row>
    <row r="2178" spans="1:11" x14ac:dyDescent="0.25">
      <c r="A2178" t="s">
        <v>82</v>
      </c>
    </row>
    <row r="2179" spans="1:11" x14ac:dyDescent="0.25">
      <c r="A2179">
        <v>41.810261450623997</v>
      </c>
      <c r="B2179">
        <v>105.164902966076</v>
      </c>
      <c r="C2179">
        <v>2000</v>
      </c>
    </row>
    <row r="2180" spans="1:11" x14ac:dyDescent="0.25">
      <c r="A2180">
        <v>41.280118978347197</v>
      </c>
      <c r="B2180">
        <v>104.63476049379901</v>
      </c>
      <c r="C2180">
        <v>2000</v>
      </c>
    </row>
    <row r="2181" spans="1:11" x14ac:dyDescent="0.25">
      <c r="A2181">
        <v>41.717135002795999</v>
      </c>
      <c r="B2181">
        <v>104.19774446935099</v>
      </c>
      <c r="C2181">
        <v>2001</v>
      </c>
    </row>
    <row r="2182" spans="1:11" x14ac:dyDescent="0.25">
      <c r="A2182">
        <v>42.247277475072799</v>
      </c>
      <c r="B2182">
        <v>104.72788694162701</v>
      </c>
      <c r="C2182">
        <v>2001</v>
      </c>
    </row>
    <row r="2183" spans="1:11" x14ac:dyDescent="0.25">
      <c r="A2183">
        <v>50.218508012224397</v>
      </c>
      <c r="B2183">
        <v>112.699117478779</v>
      </c>
      <c r="C2183">
        <v>2001</v>
      </c>
    </row>
    <row r="2184" spans="1:11" x14ac:dyDescent="0.25">
      <c r="A2184">
        <v>68.8810858742291</v>
      </c>
      <c r="B2184">
        <v>131.361695340784</v>
      </c>
      <c r="C2184">
        <v>2001</v>
      </c>
    </row>
    <row r="2185" spans="1:11" x14ac:dyDescent="0.25">
      <c r="A2185">
        <v>68.444069849780306</v>
      </c>
      <c r="B2185">
        <v>131.79871136523201</v>
      </c>
      <c r="C2185">
        <v>2000</v>
      </c>
    </row>
    <row r="2186" spans="1:11" x14ac:dyDescent="0.25">
      <c r="A2186">
        <v>49.781491987775603</v>
      </c>
      <c r="B2186">
        <v>113.136133503228</v>
      </c>
      <c r="C2186">
        <v>2000</v>
      </c>
    </row>
    <row r="2187" spans="1:11" x14ac:dyDescent="0.25">
      <c r="A2187" t="s">
        <v>83</v>
      </c>
    </row>
    <row r="2188" spans="1:11" x14ac:dyDescent="0.25">
      <c r="A2188">
        <v>185</v>
      </c>
      <c r="B2188">
        <v>0</v>
      </c>
      <c r="C2188">
        <v>21.237940571509199</v>
      </c>
      <c r="D2188">
        <v>16.645833800139101</v>
      </c>
      <c r="E2188">
        <v>8</v>
      </c>
      <c r="F2188">
        <v>1.01722196789785</v>
      </c>
      <c r="G2188" t="s">
        <v>84</v>
      </c>
      <c r="H2188" t="s">
        <v>81</v>
      </c>
      <c r="I2188">
        <v>271</v>
      </c>
      <c r="J2188">
        <v>0</v>
      </c>
      <c r="K2188">
        <v>0</v>
      </c>
    </row>
    <row r="2189" spans="1:11" x14ac:dyDescent="0.25">
      <c r="A2189" t="s">
        <v>82</v>
      </c>
    </row>
    <row r="2190" spans="1:11" x14ac:dyDescent="0.25">
      <c r="A2190">
        <v>138.38167667034801</v>
      </c>
      <c r="B2190">
        <v>54.8586811325005</v>
      </c>
      <c r="C2190">
        <v>2000</v>
      </c>
    </row>
    <row r="2191" spans="1:11" x14ac:dyDescent="0.25">
      <c r="A2191">
        <v>133.30448752562299</v>
      </c>
      <c r="B2191">
        <v>49.781491987775603</v>
      </c>
      <c r="C2191">
        <v>2000</v>
      </c>
    </row>
    <row r="2192" spans="1:11" x14ac:dyDescent="0.25">
      <c r="A2192">
        <v>123.430634257091</v>
      </c>
      <c r="B2192">
        <v>39.907638719243501</v>
      </c>
      <c r="C2192">
        <v>2000</v>
      </c>
    </row>
    <row r="2193" spans="1:11" x14ac:dyDescent="0.25">
      <c r="A2193">
        <v>122.99361823264201</v>
      </c>
      <c r="B2193">
        <v>40.344654743692303</v>
      </c>
      <c r="C2193">
        <v>2001</v>
      </c>
    </row>
    <row r="2194" spans="1:11" x14ac:dyDescent="0.25">
      <c r="A2194">
        <v>132.86747150117401</v>
      </c>
      <c r="B2194">
        <v>50.218508012224397</v>
      </c>
      <c r="C2194">
        <v>2001</v>
      </c>
    </row>
    <row r="2195" spans="1:11" x14ac:dyDescent="0.25">
      <c r="A2195">
        <v>138.07755941248701</v>
      </c>
      <c r="B2195">
        <v>55.4285959235375</v>
      </c>
      <c r="C2195">
        <v>2001</v>
      </c>
    </row>
    <row r="2196" spans="1:11" x14ac:dyDescent="0.25">
      <c r="A2196">
        <v>150</v>
      </c>
      <c r="B2196">
        <v>67.351036511050395</v>
      </c>
      <c r="C2196">
        <v>2001</v>
      </c>
    </row>
    <row r="2197" spans="1:11" x14ac:dyDescent="0.25">
      <c r="A2197">
        <v>150</v>
      </c>
      <c r="B2197">
        <v>66.477004462152806</v>
      </c>
      <c r="C2197">
        <v>2000</v>
      </c>
    </row>
    <row r="2198" spans="1:11" x14ac:dyDescent="0.25">
      <c r="A2198" t="s">
        <v>83</v>
      </c>
    </row>
    <row r="2199" spans="1:11" x14ac:dyDescent="0.25">
      <c r="A2199">
        <v>333</v>
      </c>
      <c r="B2199">
        <v>0</v>
      </c>
      <c r="C2199">
        <v>37.684670451716002</v>
      </c>
      <c r="D2199">
        <v>0</v>
      </c>
      <c r="E2199">
        <v>7</v>
      </c>
      <c r="F2199">
        <v>1.5707963267949001</v>
      </c>
      <c r="G2199" t="s">
        <v>84</v>
      </c>
      <c r="H2199" t="s">
        <v>84</v>
      </c>
      <c r="I2199">
        <v>665</v>
      </c>
      <c r="J2199">
        <v>357</v>
      </c>
      <c r="K2199">
        <v>0</v>
      </c>
    </row>
    <row r="2200" spans="1:11" x14ac:dyDescent="0.25">
      <c r="A2200" t="s">
        <v>82</v>
      </c>
    </row>
    <row r="2201" spans="1:11" x14ac:dyDescent="0.25">
      <c r="A2201">
        <v>77.808933496851907</v>
      </c>
      <c r="B2201">
        <v>126.242981339452</v>
      </c>
      <c r="C2201">
        <v>2000</v>
      </c>
    </row>
    <row r="2202" spans="1:11" x14ac:dyDescent="0.25">
      <c r="A2202">
        <v>51.5659521573996</v>
      </c>
      <c r="B2202">
        <v>100</v>
      </c>
      <c r="C2202">
        <v>2000</v>
      </c>
    </row>
    <row r="2203" spans="1:11" x14ac:dyDescent="0.25">
      <c r="A2203">
        <v>51.161847473663201</v>
      </c>
      <c r="B2203">
        <v>99.595895316263594</v>
      </c>
      <c r="C2203">
        <v>2000</v>
      </c>
    </row>
    <row r="2204" spans="1:11" x14ac:dyDescent="0.25">
      <c r="A2204">
        <v>51.161847473663201</v>
      </c>
      <c r="B2204">
        <v>99.595895316263594</v>
      </c>
      <c r="C2204">
        <v>2001</v>
      </c>
    </row>
    <row r="2205" spans="1:11" x14ac:dyDescent="0.25">
      <c r="A2205">
        <v>51.5659521573996</v>
      </c>
      <c r="B2205">
        <v>100</v>
      </c>
      <c r="C2205">
        <v>2001</v>
      </c>
    </row>
    <row r="2206" spans="1:11" x14ac:dyDescent="0.25">
      <c r="A2206">
        <v>77.808933496851907</v>
      </c>
      <c r="B2206">
        <v>126.242981339452</v>
      </c>
      <c r="C2206">
        <v>2001</v>
      </c>
    </row>
    <row r="2207" spans="1:11" x14ac:dyDescent="0.25">
      <c r="A2207">
        <v>77.808933496851907</v>
      </c>
      <c r="B2207">
        <v>126.242981339452</v>
      </c>
      <c r="C2207">
        <v>2000</v>
      </c>
    </row>
    <row r="2208" spans="1:11" x14ac:dyDescent="0.25">
      <c r="A2208" t="s">
        <v>83</v>
      </c>
    </row>
    <row r="2209" spans="1:11" x14ac:dyDescent="0.25">
      <c r="A2209">
        <v>727</v>
      </c>
      <c r="B2209">
        <v>0</v>
      </c>
      <c r="C2209">
        <v>12.1757830028381</v>
      </c>
      <c r="D2209">
        <v>25.063899194631698</v>
      </c>
      <c r="E2209">
        <v>6</v>
      </c>
      <c r="F2209">
        <v>1.01722196789785</v>
      </c>
      <c r="G2209" t="s">
        <v>81</v>
      </c>
      <c r="H2209" t="s">
        <v>81</v>
      </c>
      <c r="I2209">
        <v>0</v>
      </c>
      <c r="J2209">
        <v>0</v>
      </c>
      <c r="K2209">
        <v>0.13160878275062499</v>
      </c>
    </row>
    <row r="2210" spans="1:11" x14ac:dyDescent="0.25">
      <c r="A2210" t="s">
        <v>82</v>
      </c>
    </row>
    <row r="2211" spans="1:11" x14ac:dyDescent="0.25">
      <c r="A2211">
        <v>132.571277396055</v>
      </c>
      <c r="B2211">
        <v>8.4666931826690508</v>
      </c>
      <c r="C2211">
        <v>2000</v>
      </c>
    </row>
    <row r="2212" spans="1:11" x14ac:dyDescent="0.25">
      <c r="A2212">
        <v>124.104584213386</v>
      </c>
      <c r="B2212">
        <v>0</v>
      </c>
      <c r="C2212">
        <v>2000</v>
      </c>
    </row>
    <row r="2213" spans="1:11" x14ac:dyDescent="0.25">
      <c r="A2213">
        <v>123.230552164488</v>
      </c>
      <c r="B2213">
        <v>0</v>
      </c>
      <c r="C2213">
        <v>2001</v>
      </c>
    </row>
    <row r="2214" spans="1:11" x14ac:dyDescent="0.25">
      <c r="A2214">
        <v>131.98301643694501</v>
      </c>
      <c r="B2214">
        <v>8.7524642724563595</v>
      </c>
      <c r="C2214">
        <v>2001</v>
      </c>
    </row>
    <row r="2215" spans="1:11" x14ac:dyDescent="0.25">
      <c r="A2215">
        <v>150</v>
      </c>
      <c r="B2215">
        <v>26.769447835511599</v>
      </c>
      <c r="C2215">
        <v>2001</v>
      </c>
    </row>
    <row r="2216" spans="1:11" x14ac:dyDescent="0.25">
      <c r="A2216">
        <v>150</v>
      </c>
      <c r="B2216">
        <v>25.895415786613999</v>
      </c>
      <c r="C2216">
        <v>2000</v>
      </c>
    </row>
    <row r="2217" spans="1:11" x14ac:dyDescent="0.25">
      <c r="A2217" t="s">
        <v>83</v>
      </c>
    </row>
    <row r="2218" spans="1:11" x14ac:dyDescent="0.25">
      <c r="A2218">
        <v>90</v>
      </c>
      <c r="B2218">
        <v>0</v>
      </c>
      <c r="C2218">
        <v>0</v>
      </c>
      <c r="D2218">
        <v>36.798226325411299</v>
      </c>
      <c r="E2218">
        <v>8</v>
      </c>
      <c r="F2218">
        <v>1.5707963267949001</v>
      </c>
      <c r="G2218" t="s">
        <v>84</v>
      </c>
      <c r="H2218" t="s">
        <v>84</v>
      </c>
      <c r="I2218">
        <v>103</v>
      </c>
      <c r="J2218">
        <v>405</v>
      </c>
      <c r="K2218">
        <v>0</v>
      </c>
    </row>
    <row r="2219" spans="1:11" x14ac:dyDescent="0.25">
      <c r="A2219" t="s">
        <v>82</v>
      </c>
    </row>
    <row r="2220" spans="1:11" x14ac:dyDescent="0.25">
      <c r="A2220">
        <v>91.591418588809404</v>
      </c>
      <c r="B2220">
        <v>75.679564825575596</v>
      </c>
      <c r="C2220">
        <v>2000</v>
      </c>
    </row>
    <row r="2221" spans="1:11" x14ac:dyDescent="0.25">
      <c r="A2221">
        <v>91.591418588809404</v>
      </c>
      <c r="B2221">
        <v>75.679564825575596</v>
      </c>
      <c r="C2221">
        <v>2001</v>
      </c>
    </row>
    <row r="2222" spans="1:11" x14ac:dyDescent="0.25">
      <c r="A2222">
        <v>100</v>
      </c>
      <c r="B2222">
        <v>84.088146236766207</v>
      </c>
      <c r="C2222">
        <v>2001</v>
      </c>
    </row>
    <row r="2223" spans="1:11" x14ac:dyDescent="0.25">
      <c r="A2223">
        <v>115.91185376323401</v>
      </c>
      <c r="B2223">
        <v>100</v>
      </c>
      <c r="C2223">
        <v>2001</v>
      </c>
    </row>
    <row r="2224" spans="1:11" x14ac:dyDescent="0.25">
      <c r="A2224">
        <v>117.611693959145</v>
      </c>
      <c r="B2224">
        <v>101.69984019591099</v>
      </c>
      <c r="C2224">
        <v>2001</v>
      </c>
    </row>
    <row r="2225" spans="1:11" x14ac:dyDescent="0.25">
      <c r="A2225">
        <v>117.611693959145</v>
      </c>
      <c r="B2225">
        <v>101.69984019591099</v>
      </c>
      <c r="C2225">
        <v>2000</v>
      </c>
    </row>
    <row r="2226" spans="1:11" x14ac:dyDescent="0.25">
      <c r="A2226">
        <v>115.91185376323401</v>
      </c>
      <c r="B2226">
        <v>100</v>
      </c>
      <c r="C2226">
        <v>2000</v>
      </c>
    </row>
    <row r="2227" spans="1:11" x14ac:dyDescent="0.25">
      <c r="A2227">
        <v>100</v>
      </c>
      <c r="B2227">
        <v>84.088146236766207</v>
      </c>
      <c r="C2227">
        <v>2000</v>
      </c>
    </row>
    <row r="2228" spans="1:11" x14ac:dyDescent="0.25">
      <c r="A2228" t="s">
        <v>83</v>
      </c>
    </row>
    <row r="2229" spans="1:11" x14ac:dyDescent="0.25">
      <c r="A2229">
        <v>661</v>
      </c>
      <c r="B2229">
        <v>0</v>
      </c>
      <c r="C2229">
        <v>14.8774468662077</v>
      </c>
      <c r="D2229">
        <v>21.876963619942401</v>
      </c>
      <c r="E2229">
        <v>6</v>
      </c>
      <c r="F2229">
        <v>1.01722196789785</v>
      </c>
      <c r="G2229" t="s">
        <v>81</v>
      </c>
      <c r="H2229" t="s">
        <v>84</v>
      </c>
      <c r="I2229">
        <v>0</v>
      </c>
      <c r="J2229">
        <v>597</v>
      </c>
      <c r="K2229">
        <v>0</v>
      </c>
    </row>
    <row r="2230" spans="1:11" x14ac:dyDescent="0.25">
      <c r="A2230" t="s">
        <v>82</v>
      </c>
    </row>
    <row r="2231" spans="1:11" x14ac:dyDescent="0.25">
      <c r="A2231">
        <v>10.6083912187512</v>
      </c>
      <c r="B2231">
        <v>84.069268257047597</v>
      </c>
      <c r="C2231">
        <v>2000</v>
      </c>
    </row>
    <row r="2232" spans="1:11" x14ac:dyDescent="0.25">
      <c r="A2232">
        <v>0</v>
      </c>
      <c r="B2232">
        <v>73.460877038296402</v>
      </c>
      <c r="C2232">
        <v>2000</v>
      </c>
    </row>
    <row r="2233" spans="1:11" x14ac:dyDescent="0.25">
      <c r="A2233">
        <v>0</v>
      </c>
      <c r="B2233">
        <v>74.334909087194006</v>
      </c>
      <c r="C2233">
        <v>2001</v>
      </c>
    </row>
    <row r="2234" spans="1:11" x14ac:dyDescent="0.25">
      <c r="A2234">
        <v>10.431495912924801</v>
      </c>
      <c r="B2234">
        <v>84.766405000118795</v>
      </c>
      <c r="C2234">
        <v>2001</v>
      </c>
    </row>
    <row r="2235" spans="1:11" x14ac:dyDescent="0.25">
      <c r="A2235">
        <v>25.7707848810463</v>
      </c>
      <c r="B2235">
        <v>100.10569396824</v>
      </c>
      <c r="C2235">
        <v>2001</v>
      </c>
    </row>
    <row r="2236" spans="1:11" x14ac:dyDescent="0.25">
      <c r="A2236">
        <v>26.207800905495102</v>
      </c>
      <c r="B2236">
        <v>99.668677943791494</v>
      </c>
      <c r="C2236">
        <v>2000</v>
      </c>
    </row>
    <row r="2237" spans="1:11" x14ac:dyDescent="0.25">
      <c r="A2237" t="s">
        <v>83</v>
      </c>
    </row>
    <row r="2238" spans="1:11" x14ac:dyDescent="0.25">
      <c r="A2238">
        <v>748</v>
      </c>
      <c r="B2238">
        <v>0</v>
      </c>
      <c r="C2238">
        <v>28.033694605567799</v>
      </c>
      <c r="D2238">
        <v>8.4869252942848306</v>
      </c>
      <c r="E2238">
        <v>6</v>
      </c>
      <c r="F2238">
        <v>1.5707963267949001</v>
      </c>
      <c r="G2238" t="s">
        <v>84</v>
      </c>
      <c r="H2238" t="s">
        <v>84</v>
      </c>
      <c r="I2238">
        <v>655</v>
      </c>
      <c r="J2238">
        <v>323</v>
      </c>
      <c r="K2238">
        <v>0.38291049225174001</v>
      </c>
    </row>
    <row r="2239" spans="1:11" x14ac:dyDescent="0.25">
      <c r="A2239" t="s">
        <v>82</v>
      </c>
    </row>
    <row r="2240" spans="1:11" x14ac:dyDescent="0.25">
      <c r="A2240">
        <v>79.502684648382797</v>
      </c>
      <c r="B2240">
        <v>93.475328673829907</v>
      </c>
      <c r="C2240">
        <v>2000</v>
      </c>
    </row>
    <row r="2241" spans="1:11" x14ac:dyDescent="0.25">
      <c r="A2241">
        <v>59.679869091073101</v>
      </c>
      <c r="B2241">
        <v>73.652513116520296</v>
      </c>
      <c r="C2241">
        <v>2000</v>
      </c>
    </row>
    <row r="2242" spans="1:11" x14ac:dyDescent="0.25">
      <c r="A2242">
        <v>59.679869091073101</v>
      </c>
      <c r="B2242">
        <v>73.652513116520296</v>
      </c>
      <c r="C2242">
        <v>2001</v>
      </c>
    </row>
    <row r="2243" spans="1:11" x14ac:dyDescent="0.25">
      <c r="A2243">
        <v>79.502684648382797</v>
      </c>
      <c r="B2243">
        <v>93.475328673829907</v>
      </c>
      <c r="C2243">
        <v>2001</v>
      </c>
    </row>
    <row r="2244" spans="1:11" x14ac:dyDescent="0.25">
      <c r="A2244">
        <v>85.5038470753952</v>
      </c>
      <c r="B2244">
        <v>99.476491100842395</v>
      </c>
      <c r="C2244">
        <v>2001</v>
      </c>
    </row>
    <row r="2245" spans="1:11" x14ac:dyDescent="0.25">
      <c r="A2245">
        <v>85.5038470753952</v>
      </c>
      <c r="B2245">
        <v>99.476491100842395</v>
      </c>
      <c r="C2245">
        <v>2000</v>
      </c>
    </row>
    <row r="2246" spans="1:11" x14ac:dyDescent="0.25">
      <c r="A2246" t="s">
        <v>83</v>
      </c>
    </row>
    <row r="2247" spans="1:11" x14ac:dyDescent="0.25">
      <c r="A2247">
        <v>509</v>
      </c>
      <c r="B2247">
        <v>0</v>
      </c>
      <c r="C2247">
        <v>35.092372112045602</v>
      </c>
      <c r="D2247">
        <v>1.15422176465353</v>
      </c>
      <c r="E2247">
        <v>6</v>
      </c>
      <c r="F2247">
        <v>1.01722196789785</v>
      </c>
      <c r="G2247" t="s">
        <v>84</v>
      </c>
      <c r="H2247" t="s">
        <v>84</v>
      </c>
      <c r="I2247">
        <v>495</v>
      </c>
      <c r="J2247">
        <v>518</v>
      </c>
      <c r="K2247">
        <v>0</v>
      </c>
    </row>
    <row r="2248" spans="1:11" x14ac:dyDescent="0.25">
      <c r="A2248" t="s">
        <v>82</v>
      </c>
    </row>
    <row r="2249" spans="1:11" x14ac:dyDescent="0.25">
      <c r="A2249">
        <v>85.412540672077895</v>
      </c>
      <c r="B2249">
        <v>26.679825752354301</v>
      </c>
      <c r="C2249">
        <v>2000</v>
      </c>
    </row>
    <row r="2250" spans="1:11" x14ac:dyDescent="0.25">
      <c r="A2250">
        <v>60.598486383728698</v>
      </c>
      <c r="B2250">
        <v>1.8657714640052001</v>
      </c>
      <c r="C2250">
        <v>2000</v>
      </c>
    </row>
    <row r="2251" spans="1:11" x14ac:dyDescent="0.25">
      <c r="A2251">
        <v>61.0355024081775</v>
      </c>
      <c r="B2251">
        <v>1.42875543955638</v>
      </c>
      <c r="C2251">
        <v>2001</v>
      </c>
    </row>
    <row r="2252" spans="1:11" x14ac:dyDescent="0.25">
      <c r="A2252">
        <v>85.849556696526705</v>
      </c>
      <c r="B2252">
        <v>26.242809727905499</v>
      </c>
      <c r="C2252">
        <v>2001</v>
      </c>
    </row>
    <row r="2253" spans="1:11" x14ac:dyDescent="0.25">
      <c r="A2253">
        <v>86.665714733306302</v>
      </c>
      <c r="B2253">
        <v>27.0589677646851</v>
      </c>
      <c r="C2253">
        <v>2001</v>
      </c>
    </row>
    <row r="2254" spans="1:11" x14ac:dyDescent="0.25">
      <c r="A2254">
        <v>86.228698708857493</v>
      </c>
      <c r="B2254">
        <v>27.495983789133899</v>
      </c>
      <c r="C2254">
        <v>2000</v>
      </c>
    </row>
    <row r="2255" spans="1:11" x14ac:dyDescent="0.25">
      <c r="A2255" t="s">
        <v>83</v>
      </c>
    </row>
    <row r="2256" spans="1:11" x14ac:dyDescent="0.25">
      <c r="A2256">
        <v>413</v>
      </c>
      <c r="B2256">
        <v>0</v>
      </c>
      <c r="C2256">
        <v>32.833008455948303</v>
      </c>
      <c r="D2256">
        <v>2.61523241558936</v>
      </c>
      <c r="E2256">
        <v>8</v>
      </c>
      <c r="F2256">
        <v>1.5707963267949001</v>
      </c>
      <c r="G2256" t="s">
        <v>84</v>
      </c>
      <c r="H2256" t="s">
        <v>81</v>
      </c>
      <c r="I2256">
        <v>107</v>
      </c>
      <c r="J2256">
        <v>0</v>
      </c>
      <c r="K2256">
        <v>0</v>
      </c>
    </row>
    <row r="2257" spans="1:11" x14ac:dyDescent="0.25">
      <c r="A2257" t="s">
        <v>82</v>
      </c>
    </row>
    <row r="2258" spans="1:11" x14ac:dyDescent="0.25">
      <c r="A2258">
        <v>122.92454040046999</v>
      </c>
      <c r="B2258">
        <v>148.150751424558</v>
      </c>
      <c r="C2258">
        <v>2000</v>
      </c>
    </row>
    <row r="2259" spans="1:11" x14ac:dyDescent="0.25">
      <c r="A2259">
        <v>100</v>
      </c>
      <c r="B2259">
        <v>125.226211024088</v>
      </c>
      <c r="C2259">
        <v>2000</v>
      </c>
    </row>
    <row r="2260" spans="1:11" x14ac:dyDescent="0.25">
      <c r="A2260">
        <v>99.708097474513593</v>
      </c>
      <c r="B2260">
        <v>124.93430849860199</v>
      </c>
      <c r="C2260">
        <v>2000</v>
      </c>
    </row>
    <row r="2261" spans="1:11" x14ac:dyDescent="0.25">
      <c r="A2261">
        <v>99.708097474513593</v>
      </c>
      <c r="B2261">
        <v>124.93430849860199</v>
      </c>
      <c r="C2261">
        <v>2001</v>
      </c>
    </row>
    <row r="2262" spans="1:11" x14ac:dyDescent="0.25">
      <c r="A2262">
        <v>100</v>
      </c>
      <c r="B2262">
        <v>125.226211024088</v>
      </c>
      <c r="C2262">
        <v>2001</v>
      </c>
    </row>
    <row r="2263" spans="1:11" x14ac:dyDescent="0.25">
      <c r="A2263">
        <v>122.92454040046999</v>
      </c>
      <c r="B2263">
        <v>148.150751424558</v>
      </c>
      <c r="C2263">
        <v>2001</v>
      </c>
    </row>
    <row r="2264" spans="1:11" x14ac:dyDescent="0.25">
      <c r="A2264">
        <v>124.773788975912</v>
      </c>
      <c r="B2264">
        <v>150</v>
      </c>
      <c r="C2264">
        <v>2001</v>
      </c>
    </row>
    <row r="2265" spans="1:11" x14ac:dyDescent="0.25">
      <c r="A2265">
        <v>124.773788975912</v>
      </c>
      <c r="B2265">
        <v>150</v>
      </c>
      <c r="C2265">
        <v>2000</v>
      </c>
    </row>
    <row r="2266" spans="1:11" x14ac:dyDescent="0.25">
      <c r="A2266" t="s">
        <v>83</v>
      </c>
    </row>
    <row r="2267" spans="1:11" x14ac:dyDescent="0.25">
      <c r="A2267">
        <v>92</v>
      </c>
      <c r="B2267">
        <v>0</v>
      </c>
      <c r="C2267">
        <v>27.052613998675401</v>
      </c>
      <c r="D2267">
        <v>8.2956798958445308</v>
      </c>
      <c r="E2267">
        <v>8</v>
      </c>
      <c r="F2267">
        <v>1.5707963267949001</v>
      </c>
      <c r="G2267" t="s">
        <v>84</v>
      </c>
      <c r="H2267" t="s">
        <v>84</v>
      </c>
      <c r="I2267">
        <v>731</v>
      </c>
      <c r="J2267">
        <v>107</v>
      </c>
      <c r="K2267">
        <v>0</v>
      </c>
    </row>
    <row r="2268" spans="1:11" x14ac:dyDescent="0.25">
      <c r="A2268" t="s">
        <v>82</v>
      </c>
    </row>
    <row r="2269" spans="1:11" x14ac:dyDescent="0.25">
      <c r="A2269">
        <v>64.599698451161203</v>
      </c>
      <c r="B2269">
        <v>87.815511209338695</v>
      </c>
      <c r="C2269">
        <v>2000</v>
      </c>
    </row>
    <row r="2270" spans="1:11" x14ac:dyDescent="0.25">
      <c r="A2270">
        <v>50</v>
      </c>
      <c r="B2270">
        <v>73.215812758177407</v>
      </c>
      <c r="C2270">
        <v>2000</v>
      </c>
    </row>
    <row r="2271" spans="1:11" x14ac:dyDescent="0.25">
      <c r="A2271">
        <v>45.470611643875699</v>
      </c>
      <c r="B2271">
        <v>68.686424402053206</v>
      </c>
      <c r="C2271">
        <v>2000</v>
      </c>
    </row>
    <row r="2272" spans="1:11" x14ac:dyDescent="0.25">
      <c r="A2272">
        <v>45.470611643875699</v>
      </c>
      <c r="B2272">
        <v>68.686424402053206</v>
      </c>
      <c r="C2272">
        <v>2001</v>
      </c>
    </row>
    <row r="2273" spans="1:11" x14ac:dyDescent="0.25">
      <c r="A2273">
        <v>50</v>
      </c>
      <c r="B2273">
        <v>73.215812758177407</v>
      </c>
      <c r="C2273">
        <v>2001</v>
      </c>
    </row>
    <row r="2274" spans="1:11" x14ac:dyDescent="0.25">
      <c r="A2274">
        <v>64.599698451161203</v>
      </c>
      <c r="B2274">
        <v>87.815511209338695</v>
      </c>
      <c r="C2274">
        <v>2001</v>
      </c>
    </row>
    <row r="2275" spans="1:11" x14ac:dyDescent="0.25">
      <c r="A2275">
        <v>70.465629960065797</v>
      </c>
      <c r="B2275">
        <v>93.681442718243304</v>
      </c>
      <c r="C2275">
        <v>2001</v>
      </c>
    </row>
    <row r="2276" spans="1:11" x14ac:dyDescent="0.25">
      <c r="A2276">
        <v>70.465629960065797</v>
      </c>
      <c r="B2276">
        <v>93.681442718243304</v>
      </c>
      <c r="C2276">
        <v>2000</v>
      </c>
    </row>
    <row r="2277" spans="1:11" x14ac:dyDescent="0.25">
      <c r="A2277" t="s">
        <v>83</v>
      </c>
    </row>
    <row r="2278" spans="1:11" x14ac:dyDescent="0.25">
      <c r="A2278">
        <v>741</v>
      </c>
      <c r="B2278">
        <v>0</v>
      </c>
      <c r="C2278">
        <v>22.049972475049501</v>
      </c>
      <c r="D2278">
        <v>13.1530802740784</v>
      </c>
      <c r="E2278">
        <v>8</v>
      </c>
      <c r="F2278">
        <v>1.01722196789785</v>
      </c>
      <c r="G2278" t="s">
        <v>84</v>
      </c>
      <c r="H2278" t="s">
        <v>84</v>
      </c>
      <c r="I2278">
        <v>258</v>
      </c>
      <c r="J2278">
        <v>168</v>
      </c>
      <c r="K2278">
        <v>0.13295790203782501</v>
      </c>
    </row>
    <row r="2279" spans="1:11" x14ac:dyDescent="0.25">
      <c r="A2279" t="s">
        <v>82</v>
      </c>
    </row>
    <row r="2280" spans="1:11" x14ac:dyDescent="0.25">
      <c r="A2280">
        <v>122.026967193948</v>
      </c>
      <c r="B2280">
        <v>45.392987785573801</v>
      </c>
      <c r="C2280">
        <v>2000</v>
      </c>
    </row>
    <row r="2281" spans="1:11" x14ac:dyDescent="0.25">
      <c r="A2281">
        <v>106.435282131864</v>
      </c>
      <c r="B2281">
        <v>29.801302723489599</v>
      </c>
      <c r="C2281">
        <v>2000</v>
      </c>
    </row>
    <row r="2282" spans="1:11" x14ac:dyDescent="0.25">
      <c r="A2282">
        <v>106.87229815631299</v>
      </c>
      <c r="B2282">
        <v>29.364286699040701</v>
      </c>
      <c r="C2282">
        <v>2001</v>
      </c>
    </row>
    <row r="2283" spans="1:11" x14ac:dyDescent="0.25">
      <c r="A2283">
        <v>122.463983218397</v>
      </c>
      <c r="B2283">
        <v>44.9559717611249</v>
      </c>
      <c r="C2283">
        <v>2001</v>
      </c>
    </row>
    <row r="2284" spans="1:11" x14ac:dyDescent="0.25">
      <c r="A2284">
        <v>127.289503445048</v>
      </c>
      <c r="B2284">
        <v>49.781491987775603</v>
      </c>
      <c r="C2284">
        <v>2001</v>
      </c>
    </row>
    <row r="2285" spans="1:11" x14ac:dyDescent="0.25">
      <c r="A2285">
        <v>131.76461547368899</v>
      </c>
      <c r="B2285">
        <v>54.256604016416802</v>
      </c>
      <c r="C2285">
        <v>2001</v>
      </c>
    </row>
    <row r="2286" spans="1:11" x14ac:dyDescent="0.25">
      <c r="A2286">
        <v>131.32759944924001</v>
      </c>
      <c r="B2286">
        <v>54.693620040865603</v>
      </c>
      <c r="C2286">
        <v>2000</v>
      </c>
    </row>
    <row r="2287" spans="1:11" x14ac:dyDescent="0.25">
      <c r="A2287">
        <v>126.852487420599</v>
      </c>
      <c r="B2287">
        <v>50.218508012224397</v>
      </c>
      <c r="C2287">
        <v>2000</v>
      </c>
    </row>
    <row r="2288" spans="1:11" x14ac:dyDescent="0.25">
      <c r="A2288" t="s">
        <v>83</v>
      </c>
    </row>
    <row r="2289" spans="1:11" x14ac:dyDescent="0.25">
      <c r="A2289">
        <v>21</v>
      </c>
      <c r="B2289">
        <v>0</v>
      </c>
      <c r="C2289">
        <v>29.198547775014301</v>
      </c>
      <c r="D2289">
        <v>5.8370759136910699</v>
      </c>
      <c r="E2289">
        <v>6</v>
      </c>
      <c r="F2289">
        <v>1.01722196789785</v>
      </c>
      <c r="G2289" t="s">
        <v>81</v>
      </c>
      <c r="H2289" t="s">
        <v>84</v>
      </c>
      <c r="I2289">
        <v>0</v>
      </c>
      <c r="J2289">
        <v>7</v>
      </c>
      <c r="K2289">
        <v>0</v>
      </c>
    </row>
    <row r="2290" spans="1:11" x14ac:dyDescent="0.25">
      <c r="A2290" t="s">
        <v>82</v>
      </c>
    </row>
    <row r="2291" spans="1:11" x14ac:dyDescent="0.25">
      <c r="A2291">
        <v>20.4643874345489</v>
      </c>
      <c r="B2291">
        <v>24.234272959540199</v>
      </c>
      <c r="C2291">
        <v>2000</v>
      </c>
    </row>
    <row r="2292" spans="1:11" x14ac:dyDescent="0.25">
      <c r="A2292">
        <v>0</v>
      </c>
      <c r="B2292">
        <v>3.7698855249913099</v>
      </c>
      <c r="C2292">
        <v>2000</v>
      </c>
    </row>
    <row r="2293" spans="1:11" x14ac:dyDescent="0.25">
      <c r="A2293">
        <v>0</v>
      </c>
      <c r="B2293">
        <v>2.8958534760936598</v>
      </c>
      <c r="C2293">
        <v>2001</v>
      </c>
    </row>
    <row r="2294" spans="1:11" x14ac:dyDescent="0.25">
      <c r="A2294">
        <v>20.828594830475101</v>
      </c>
      <c r="B2294">
        <v>23.724448306568799</v>
      </c>
      <c r="C2294">
        <v>2001</v>
      </c>
    </row>
    <row r="2295" spans="1:11" x14ac:dyDescent="0.25">
      <c r="A2295">
        <v>24.992435105607999</v>
      </c>
      <c r="B2295">
        <v>27.888288581701701</v>
      </c>
      <c r="C2295">
        <v>2001</v>
      </c>
    </row>
    <row r="2296" spans="1:11" x14ac:dyDescent="0.25">
      <c r="A2296">
        <v>24.555419081159201</v>
      </c>
      <c r="B2296">
        <v>28.3253046061505</v>
      </c>
      <c r="C2296">
        <v>2000</v>
      </c>
    </row>
    <row r="2297" spans="1:11" x14ac:dyDescent="0.25">
      <c r="A2297" t="s">
        <v>83</v>
      </c>
    </row>
    <row r="2298" spans="1:11" x14ac:dyDescent="0.25">
      <c r="A2298">
        <v>678</v>
      </c>
      <c r="B2298">
        <v>0</v>
      </c>
      <c r="C2298">
        <v>20.035599328618598</v>
      </c>
      <c r="D2298">
        <v>14.8449429682088</v>
      </c>
      <c r="E2298">
        <v>8</v>
      </c>
      <c r="F2298">
        <v>1.01722196789785</v>
      </c>
      <c r="G2298" t="s">
        <v>84</v>
      </c>
      <c r="H2298" t="s">
        <v>84</v>
      </c>
      <c r="I2298">
        <v>16</v>
      </c>
      <c r="J2298">
        <v>115</v>
      </c>
      <c r="K2298">
        <v>0</v>
      </c>
    </row>
    <row r="2299" spans="1:11" x14ac:dyDescent="0.25">
      <c r="A2299" t="s">
        <v>82</v>
      </c>
    </row>
    <row r="2300" spans="1:11" x14ac:dyDescent="0.25">
      <c r="A2300">
        <v>35.378255435902901</v>
      </c>
      <c r="B2300">
        <v>62.125455310631096</v>
      </c>
      <c r="C2300">
        <v>2000</v>
      </c>
    </row>
    <row r="2301" spans="1:11" x14ac:dyDescent="0.25">
      <c r="A2301">
        <v>23.0342921130474</v>
      </c>
      <c r="B2301">
        <v>49.781491987775603</v>
      </c>
      <c r="C2301">
        <v>2000</v>
      </c>
    </row>
    <row r="2302" spans="1:11" x14ac:dyDescent="0.25">
      <c r="A2302">
        <v>21.210947285500101</v>
      </c>
      <c r="B2302">
        <v>47.958147160228201</v>
      </c>
      <c r="C2302">
        <v>2000</v>
      </c>
    </row>
    <row r="2303" spans="1:11" x14ac:dyDescent="0.25">
      <c r="A2303">
        <v>20.773931261051199</v>
      </c>
      <c r="B2303">
        <v>48.395163184677102</v>
      </c>
      <c r="C2303">
        <v>2001</v>
      </c>
    </row>
    <row r="2304" spans="1:11" x14ac:dyDescent="0.25">
      <c r="A2304">
        <v>22.597276088598601</v>
      </c>
      <c r="B2304">
        <v>50.218508012224397</v>
      </c>
      <c r="C2304">
        <v>2001</v>
      </c>
    </row>
    <row r="2305" spans="1:11" x14ac:dyDescent="0.25">
      <c r="A2305">
        <v>34.941239411454099</v>
      </c>
      <c r="B2305">
        <v>62.562471335079898</v>
      </c>
      <c r="C2305">
        <v>2001</v>
      </c>
    </row>
    <row r="2306" spans="1:11" x14ac:dyDescent="0.25">
      <c r="A2306">
        <v>45.438199250602104</v>
      </c>
      <c r="B2306">
        <v>73.059431174227896</v>
      </c>
      <c r="C2306">
        <v>2001</v>
      </c>
    </row>
    <row r="2307" spans="1:11" x14ac:dyDescent="0.25">
      <c r="A2307">
        <v>45.875215275050898</v>
      </c>
      <c r="B2307">
        <v>72.622415149779101</v>
      </c>
      <c r="C2307">
        <v>2000</v>
      </c>
    </row>
    <row r="2308" spans="1:11" x14ac:dyDescent="0.25">
      <c r="A2308" t="s">
        <v>83</v>
      </c>
    </row>
    <row r="2309" spans="1:11" x14ac:dyDescent="0.25">
      <c r="A2309">
        <v>592</v>
      </c>
      <c r="B2309">
        <v>0</v>
      </c>
      <c r="C2309">
        <v>3.8229313048049498</v>
      </c>
      <c r="D2309">
        <v>30.888753490301799</v>
      </c>
      <c r="E2309">
        <v>8</v>
      </c>
      <c r="F2309">
        <v>1.01722196789785</v>
      </c>
      <c r="G2309" t="s">
        <v>84</v>
      </c>
      <c r="H2309" t="s">
        <v>81</v>
      </c>
      <c r="I2309">
        <v>588</v>
      </c>
      <c r="J2309">
        <v>0</v>
      </c>
      <c r="K2309">
        <v>0</v>
      </c>
    </row>
    <row r="2310" spans="1:11" x14ac:dyDescent="0.25">
      <c r="A2310" t="s">
        <v>82</v>
      </c>
    </row>
    <row r="2311" spans="1:11" x14ac:dyDescent="0.25">
      <c r="A2311">
        <v>41.263175581248298</v>
      </c>
      <c r="B2311">
        <v>127.960629153997</v>
      </c>
      <c r="C2311">
        <v>2000</v>
      </c>
    </row>
    <row r="2312" spans="1:11" x14ac:dyDescent="0.25">
      <c r="A2312">
        <v>38.539170709997101</v>
      </c>
      <c r="B2312">
        <v>125.23662428274601</v>
      </c>
      <c r="C2312">
        <v>2000</v>
      </c>
    </row>
    <row r="2313" spans="1:11" x14ac:dyDescent="0.25">
      <c r="A2313">
        <v>38.1021546855483</v>
      </c>
      <c r="B2313">
        <v>125.67364030719401</v>
      </c>
      <c r="C2313">
        <v>2001</v>
      </c>
    </row>
    <row r="2314" spans="1:11" x14ac:dyDescent="0.25">
      <c r="A2314">
        <v>40.784591113573001</v>
      </c>
      <c r="B2314">
        <v>128.35607673521901</v>
      </c>
      <c r="C2314">
        <v>2001</v>
      </c>
    </row>
    <row r="2315" spans="1:11" x14ac:dyDescent="0.25">
      <c r="A2315">
        <v>49.691693200977198</v>
      </c>
      <c r="B2315">
        <v>137.26317882262299</v>
      </c>
      <c r="C2315">
        <v>2001</v>
      </c>
    </row>
    <row r="2316" spans="1:11" x14ac:dyDescent="0.25">
      <c r="A2316">
        <v>62.428514378353803</v>
      </c>
      <c r="B2316">
        <v>150</v>
      </c>
      <c r="C2316">
        <v>2001</v>
      </c>
    </row>
    <row r="2317" spans="1:11" x14ac:dyDescent="0.25">
      <c r="A2317">
        <v>63.302546427251499</v>
      </c>
      <c r="B2317">
        <v>150</v>
      </c>
      <c r="C2317">
        <v>2000</v>
      </c>
    </row>
    <row r="2318" spans="1:11" x14ac:dyDescent="0.25">
      <c r="A2318">
        <v>50.308306799022802</v>
      </c>
      <c r="B2318">
        <v>137.005760371771</v>
      </c>
      <c r="C2318">
        <v>2000</v>
      </c>
    </row>
    <row r="2319" spans="1:11" x14ac:dyDescent="0.25">
      <c r="A2319" t="s">
        <v>83</v>
      </c>
    </row>
    <row r="2320" spans="1:11" x14ac:dyDescent="0.25">
      <c r="A2320">
        <v>340</v>
      </c>
      <c r="B2320">
        <v>0</v>
      </c>
      <c r="C2320">
        <v>28.146894531702301</v>
      </c>
      <c r="D2320">
        <v>6.1086104064800697</v>
      </c>
      <c r="E2320">
        <v>6</v>
      </c>
      <c r="F2320">
        <v>1.5707963267949001</v>
      </c>
      <c r="G2320" t="s">
        <v>84</v>
      </c>
      <c r="H2320" t="s">
        <v>81</v>
      </c>
      <c r="I2320">
        <v>569</v>
      </c>
      <c r="J2320">
        <v>0</v>
      </c>
      <c r="K2320">
        <v>0</v>
      </c>
    </row>
    <row r="2321" spans="1:11" x14ac:dyDescent="0.25">
      <c r="A2321" t="s">
        <v>82</v>
      </c>
    </row>
    <row r="2322" spans="1:11" x14ac:dyDescent="0.25">
      <c r="A2322">
        <v>75.379739375961805</v>
      </c>
      <c r="B2322">
        <v>145.68056015795099</v>
      </c>
      <c r="C2322">
        <v>2000</v>
      </c>
    </row>
    <row r="2323" spans="1:11" x14ac:dyDescent="0.25">
      <c r="A2323">
        <v>55.476879383252601</v>
      </c>
      <c r="B2323">
        <v>125.777700165242</v>
      </c>
      <c r="C2323">
        <v>2000</v>
      </c>
    </row>
    <row r="2324" spans="1:11" x14ac:dyDescent="0.25">
      <c r="A2324">
        <v>55.476879383252601</v>
      </c>
      <c r="B2324">
        <v>125.777700165242</v>
      </c>
      <c r="C2324">
        <v>2001</v>
      </c>
    </row>
    <row r="2325" spans="1:11" x14ac:dyDescent="0.25">
      <c r="A2325">
        <v>75.379739375961805</v>
      </c>
      <c r="B2325">
        <v>145.68056015795099</v>
      </c>
      <c r="C2325">
        <v>2001</v>
      </c>
    </row>
    <row r="2326" spans="1:11" x14ac:dyDescent="0.25">
      <c r="A2326">
        <v>79.699179218010599</v>
      </c>
      <c r="B2326">
        <v>150</v>
      </c>
      <c r="C2326">
        <v>2001</v>
      </c>
    </row>
    <row r="2327" spans="1:11" x14ac:dyDescent="0.25">
      <c r="A2327">
        <v>79.699179218010599</v>
      </c>
      <c r="B2327">
        <v>150</v>
      </c>
      <c r="C2327">
        <v>2000</v>
      </c>
    </row>
    <row r="2328" spans="1:11" x14ac:dyDescent="0.25">
      <c r="A2328" t="s">
        <v>83</v>
      </c>
    </row>
    <row r="2329" spans="1:11" x14ac:dyDescent="0.25">
      <c r="A2329">
        <v>677</v>
      </c>
      <c r="B2329">
        <v>0</v>
      </c>
      <c r="C2329">
        <v>8.0294249377260396</v>
      </c>
      <c r="D2329">
        <v>26.124166801280001</v>
      </c>
      <c r="E2329">
        <v>6</v>
      </c>
      <c r="F2329">
        <v>1.01722196789785</v>
      </c>
      <c r="G2329" t="s">
        <v>84</v>
      </c>
      <c r="H2329" t="s">
        <v>84</v>
      </c>
      <c r="I2329">
        <v>673</v>
      </c>
      <c r="J2329">
        <v>662</v>
      </c>
      <c r="K2329">
        <v>0</v>
      </c>
    </row>
    <row r="2330" spans="1:11" x14ac:dyDescent="0.25">
      <c r="A2330" t="s">
        <v>82</v>
      </c>
    </row>
    <row r="2331" spans="1:11" x14ac:dyDescent="0.25">
      <c r="A2331">
        <v>23.77506463405</v>
      </c>
      <c r="B2331">
        <v>70.443368755491903</v>
      </c>
      <c r="C2331">
        <v>2000</v>
      </c>
    </row>
    <row r="2332" spans="1:11" x14ac:dyDescent="0.25">
      <c r="A2332">
        <v>18.097403811555498</v>
      </c>
      <c r="B2332">
        <v>64.765707932997401</v>
      </c>
      <c r="C2332">
        <v>2000</v>
      </c>
    </row>
    <row r="2333" spans="1:11" x14ac:dyDescent="0.25">
      <c r="A2333">
        <v>17.6603877871067</v>
      </c>
      <c r="B2333">
        <v>65.202723957446295</v>
      </c>
      <c r="C2333">
        <v>2001</v>
      </c>
    </row>
    <row r="2334" spans="1:11" x14ac:dyDescent="0.25">
      <c r="A2334">
        <v>23.338048609601199</v>
      </c>
      <c r="B2334">
        <v>70.880384779940698</v>
      </c>
      <c r="C2334">
        <v>2001</v>
      </c>
    </row>
    <row r="2335" spans="1:11" x14ac:dyDescent="0.25">
      <c r="A2335">
        <v>41.810624107634801</v>
      </c>
      <c r="B2335">
        <v>89.352960277974304</v>
      </c>
      <c r="C2335">
        <v>2001</v>
      </c>
    </row>
    <row r="2336" spans="1:11" x14ac:dyDescent="0.25">
      <c r="A2336">
        <v>42.247640132083603</v>
      </c>
      <c r="B2336">
        <v>88.915944253525495</v>
      </c>
      <c r="C2336">
        <v>2000</v>
      </c>
    </row>
    <row r="2337" spans="1:11" x14ac:dyDescent="0.25">
      <c r="A2337" t="s">
        <v>83</v>
      </c>
    </row>
    <row r="2338" spans="1:11" x14ac:dyDescent="0.25">
      <c r="A2338">
        <v>571</v>
      </c>
      <c r="B2338">
        <v>0</v>
      </c>
      <c r="C2338">
        <v>14.7826725805277</v>
      </c>
      <c r="D2338">
        <v>19.356691208262301</v>
      </c>
      <c r="E2338">
        <v>8</v>
      </c>
      <c r="F2338">
        <v>1.5707963267949001</v>
      </c>
      <c r="G2338" t="s">
        <v>84</v>
      </c>
      <c r="H2338" t="s">
        <v>81</v>
      </c>
      <c r="I2338">
        <v>573</v>
      </c>
      <c r="J2338">
        <v>0</v>
      </c>
      <c r="K2338">
        <v>0</v>
      </c>
    </row>
    <row r="2339" spans="1:11" x14ac:dyDescent="0.25">
      <c r="A2339" t="s">
        <v>82</v>
      </c>
    </row>
    <row r="2340" spans="1:11" x14ac:dyDescent="0.25">
      <c r="A2340">
        <v>41.310693470905903</v>
      </c>
      <c r="B2340">
        <v>136.31275238530401</v>
      </c>
      <c r="C2340">
        <v>2000</v>
      </c>
    </row>
    <row r="2341" spans="1:11" x14ac:dyDescent="0.25">
      <c r="A2341">
        <v>30.8577654451543</v>
      </c>
      <c r="B2341">
        <v>125.85982435955199</v>
      </c>
      <c r="C2341">
        <v>2000</v>
      </c>
    </row>
    <row r="2342" spans="1:11" x14ac:dyDescent="0.25">
      <c r="A2342">
        <v>30.8577654451543</v>
      </c>
      <c r="B2342">
        <v>125.85982435955199</v>
      </c>
      <c r="C2342">
        <v>2001</v>
      </c>
    </row>
    <row r="2343" spans="1:11" x14ac:dyDescent="0.25">
      <c r="A2343">
        <v>41.310693470905903</v>
      </c>
      <c r="B2343">
        <v>136.31275238530401</v>
      </c>
      <c r="C2343">
        <v>2001</v>
      </c>
    </row>
    <row r="2344" spans="1:11" x14ac:dyDescent="0.25">
      <c r="A2344">
        <v>50</v>
      </c>
      <c r="B2344">
        <v>145.00205891439799</v>
      </c>
      <c r="C2344">
        <v>2001</v>
      </c>
    </row>
    <row r="2345" spans="1:11" x14ac:dyDescent="0.25">
      <c r="A2345">
        <v>54.9979410856022</v>
      </c>
      <c r="B2345">
        <v>150</v>
      </c>
      <c r="C2345">
        <v>2001</v>
      </c>
    </row>
    <row r="2346" spans="1:11" x14ac:dyDescent="0.25">
      <c r="A2346">
        <v>54.9979410856022</v>
      </c>
      <c r="B2346">
        <v>150</v>
      </c>
      <c r="C2346">
        <v>2000</v>
      </c>
    </row>
    <row r="2347" spans="1:11" x14ac:dyDescent="0.25">
      <c r="A2347">
        <v>50</v>
      </c>
      <c r="B2347">
        <v>145.00205891439799</v>
      </c>
      <c r="C2347">
        <v>2000</v>
      </c>
    </row>
    <row r="2348" spans="1:11" x14ac:dyDescent="0.25">
      <c r="A2348" t="s">
        <v>83</v>
      </c>
    </row>
    <row r="2349" spans="1:11" x14ac:dyDescent="0.25">
      <c r="A2349">
        <v>360</v>
      </c>
      <c r="B2349">
        <v>0</v>
      </c>
      <c r="C2349">
        <v>12.767133414142601</v>
      </c>
      <c r="D2349">
        <v>21.2379405715138</v>
      </c>
      <c r="E2349">
        <v>8</v>
      </c>
      <c r="F2349">
        <v>1.01722196789785</v>
      </c>
      <c r="G2349" t="s">
        <v>84</v>
      </c>
      <c r="H2349" t="s">
        <v>84</v>
      </c>
      <c r="I2349">
        <v>356</v>
      </c>
      <c r="J2349">
        <v>428</v>
      </c>
      <c r="K2349">
        <v>0</v>
      </c>
    </row>
    <row r="2350" spans="1:11" x14ac:dyDescent="0.25">
      <c r="A2350" t="s">
        <v>82</v>
      </c>
    </row>
    <row r="2351" spans="1:11" x14ac:dyDescent="0.25">
      <c r="A2351">
        <v>85.774989073986802</v>
      </c>
      <c r="B2351">
        <v>118.545132926924</v>
      </c>
      <c r="C2351">
        <v>2000</v>
      </c>
    </row>
    <row r="2352" spans="1:11" x14ac:dyDescent="0.25">
      <c r="A2352">
        <v>76.747262460533307</v>
      </c>
      <c r="B2352">
        <v>109.51740631347</v>
      </c>
      <c r="C2352">
        <v>2000</v>
      </c>
    </row>
    <row r="2353" spans="1:11" x14ac:dyDescent="0.25">
      <c r="A2353">
        <v>76.310246436084498</v>
      </c>
      <c r="B2353">
        <v>109.954422337919</v>
      </c>
      <c r="C2353">
        <v>2001</v>
      </c>
    </row>
    <row r="2354" spans="1:11" x14ac:dyDescent="0.25">
      <c r="A2354">
        <v>85.337973049537993</v>
      </c>
      <c r="B2354">
        <v>118.982148951372</v>
      </c>
      <c r="C2354">
        <v>2001</v>
      </c>
    </row>
    <row r="2355" spans="1:11" x14ac:dyDescent="0.25">
      <c r="A2355">
        <v>99.781491987775595</v>
      </c>
      <c r="B2355">
        <v>133.42566788961</v>
      </c>
      <c r="C2355">
        <v>2001</v>
      </c>
    </row>
    <row r="2356" spans="1:11" x14ac:dyDescent="0.25">
      <c r="A2356">
        <v>100.355464846092</v>
      </c>
      <c r="B2356">
        <v>133.999640747927</v>
      </c>
      <c r="C2356">
        <v>2001</v>
      </c>
    </row>
    <row r="2357" spans="1:11" x14ac:dyDescent="0.25">
      <c r="A2357">
        <v>100.792480870541</v>
      </c>
      <c r="B2357">
        <v>133.562624723478</v>
      </c>
      <c r="C2357">
        <v>2000</v>
      </c>
    </row>
    <row r="2358" spans="1:11" x14ac:dyDescent="0.25">
      <c r="A2358">
        <v>100.21850801222401</v>
      </c>
      <c r="B2358">
        <v>132.98865186516099</v>
      </c>
      <c r="C2358">
        <v>2000</v>
      </c>
    </row>
    <row r="2359" spans="1:11" x14ac:dyDescent="0.25">
      <c r="A2359" t="s">
        <v>83</v>
      </c>
    </row>
    <row r="2360" spans="1:11" x14ac:dyDescent="0.25">
      <c r="A2360">
        <v>412</v>
      </c>
      <c r="B2360">
        <v>0</v>
      </c>
      <c r="C2360">
        <v>34.005065604322901</v>
      </c>
      <c r="D2360" s="1">
        <v>8.3813335436389008E-6</v>
      </c>
      <c r="E2360">
        <v>8</v>
      </c>
      <c r="F2360">
        <v>1.5707963267949001</v>
      </c>
      <c r="G2360" t="s">
        <v>84</v>
      </c>
      <c r="H2360" t="s">
        <v>84</v>
      </c>
      <c r="I2360">
        <v>356</v>
      </c>
      <c r="J2360">
        <v>428</v>
      </c>
      <c r="K2360">
        <v>0</v>
      </c>
    </row>
    <row r="2361" spans="1:11" x14ac:dyDescent="0.25">
      <c r="A2361" t="s">
        <v>82</v>
      </c>
    </row>
    <row r="2362" spans="1:11" x14ac:dyDescent="0.25">
      <c r="A2362">
        <v>100.872182671852</v>
      </c>
      <c r="B2362">
        <v>133.482911069171</v>
      </c>
      <c r="C2362">
        <v>2000</v>
      </c>
    </row>
    <row r="2363" spans="1:11" x14ac:dyDescent="0.25">
      <c r="A2363">
        <v>100</v>
      </c>
      <c r="B2363">
        <v>132.61072839731901</v>
      </c>
      <c r="C2363">
        <v>2000</v>
      </c>
    </row>
    <row r="2364" spans="1:11" x14ac:dyDescent="0.25">
      <c r="A2364">
        <v>76.826970188342401</v>
      </c>
      <c r="B2364">
        <v>109.437698585661</v>
      </c>
      <c r="C2364">
        <v>2000</v>
      </c>
    </row>
    <row r="2365" spans="1:11" x14ac:dyDescent="0.25">
      <c r="A2365">
        <v>76.826970188342401</v>
      </c>
      <c r="B2365">
        <v>109.437698585661</v>
      </c>
      <c r="C2365">
        <v>2001</v>
      </c>
    </row>
    <row r="2366" spans="1:11" x14ac:dyDescent="0.25">
      <c r="A2366">
        <v>100</v>
      </c>
      <c r="B2366">
        <v>132.61072839731901</v>
      </c>
      <c r="C2366">
        <v>2001</v>
      </c>
    </row>
    <row r="2367" spans="1:11" x14ac:dyDescent="0.25">
      <c r="A2367">
        <v>100.872182671852</v>
      </c>
      <c r="B2367">
        <v>133.482911069171</v>
      </c>
      <c r="C2367">
        <v>2001</v>
      </c>
    </row>
    <row r="2368" spans="1:11" x14ac:dyDescent="0.25">
      <c r="A2368">
        <v>100.87218859834999</v>
      </c>
      <c r="B2368">
        <v>133.482916995669</v>
      </c>
      <c r="C2368">
        <v>2001</v>
      </c>
    </row>
    <row r="2369" spans="1:11" x14ac:dyDescent="0.25">
      <c r="A2369">
        <v>100.87218859834999</v>
      </c>
      <c r="B2369">
        <v>133.482916995669</v>
      </c>
      <c r="C2369">
        <v>2000</v>
      </c>
    </row>
    <row r="2370" spans="1:11" x14ac:dyDescent="0.25">
      <c r="A2370" t="s">
        <v>83</v>
      </c>
    </row>
    <row r="2371" spans="1:11" x14ac:dyDescent="0.25">
      <c r="A2371">
        <v>655</v>
      </c>
      <c r="B2371">
        <v>0</v>
      </c>
      <c r="C2371">
        <v>8.0256203321474793</v>
      </c>
      <c r="D2371">
        <v>25.511421875976001</v>
      </c>
      <c r="E2371">
        <v>10</v>
      </c>
      <c r="F2371">
        <v>1.5707963267949001</v>
      </c>
      <c r="G2371" t="s">
        <v>84</v>
      </c>
      <c r="H2371" t="s">
        <v>84</v>
      </c>
      <c r="I2371">
        <v>12</v>
      </c>
      <c r="J2371">
        <v>748</v>
      </c>
      <c r="K2371">
        <v>0</v>
      </c>
    </row>
    <row r="2372" spans="1:11" x14ac:dyDescent="0.25">
      <c r="A2372" t="s">
        <v>82</v>
      </c>
    </row>
    <row r="2373" spans="1:11" x14ac:dyDescent="0.25">
      <c r="A2373">
        <v>41.751654547057903</v>
      </c>
      <c r="B2373">
        <v>55.502128848108498</v>
      </c>
      <c r="C2373">
        <v>2000</v>
      </c>
    </row>
    <row r="2374" spans="1:11" x14ac:dyDescent="0.25">
      <c r="A2374">
        <v>36.249525698949398</v>
      </c>
      <c r="B2374">
        <v>50</v>
      </c>
      <c r="C2374">
        <v>2000</v>
      </c>
    </row>
    <row r="2375" spans="1:11" x14ac:dyDescent="0.25">
      <c r="A2375">
        <v>36.076683986967801</v>
      </c>
      <c r="B2375">
        <v>49.827158288018403</v>
      </c>
      <c r="C2375">
        <v>2000</v>
      </c>
    </row>
    <row r="2376" spans="1:11" x14ac:dyDescent="0.25">
      <c r="A2376">
        <v>36.076683986967801</v>
      </c>
      <c r="B2376">
        <v>49.827158288018403</v>
      </c>
      <c r="C2376">
        <v>2001</v>
      </c>
    </row>
    <row r="2377" spans="1:11" x14ac:dyDescent="0.25">
      <c r="A2377">
        <v>36.249525698949398</v>
      </c>
      <c r="B2377">
        <v>50</v>
      </c>
      <c r="C2377">
        <v>2001</v>
      </c>
    </row>
    <row r="2378" spans="1:11" x14ac:dyDescent="0.25">
      <c r="A2378">
        <v>41.751654547057903</v>
      </c>
      <c r="B2378">
        <v>55.502128848108498</v>
      </c>
      <c r="C2378">
        <v>2001</v>
      </c>
    </row>
    <row r="2379" spans="1:11" x14ac:dyDescent="0.25">
      <c r="A2379">
        <v>50</v>
      </c>
      <c r="B2379">
        <v>63.750474301050602</v>
      </c>
      <c r="C2379">
        <v>2001</v>
      </c>
    </row>
    <row r="2380" spans="1:11" x14ac:dyDescent="0.25">
      <c r="A2380">
        <v>59.790953953271298</v>
      </c>
      <c r="B2380">
        <v>73.541428254322</v>
      </c>
      <c r="C2380">
        <v>2001</v>
      </c>
    </row>
    <row r="2381" spans="1:11" x14ac:dyDescent="0.25">
      <c r="A2381">
        <v>59.790953953271298</v>
      </c>
      <c r="B2381">
        <v>73.541428254322</v>
      </c>
      <c r="C2381">
        <v>2000</v>
      </c>
    </row>
    <row r="2382" spans="1:11" x14ac:dyDescent="0.25">
      <c r="A2382">
        <v>50</v>
      </c>
      <c r="B2382">
        <v>63.750474301050602</v>
      </c>
      <c r="C2382">
        <v>2000</v>
      </c>
    </row>
    <row r="2383" spans="1:11" x14ac:dyDescent="0.25">
      <c r="A2383" t="s">
        <v>83</v>
      </c>
    </row>
    <row r="2384" spans="1:11" x14ac:dyDescent="0.25">
      <c r="A2384">
        <v>357</v>
      </c>
      <c r="B2384">
        <v>0</v>
      </c>
      <c r="C2384">
        <v>0.73083004136844898</v>
      </c>
      <c r="D2384">
        <v>32.684345885687399</v>
      </c>
      <c r="E2384">
        <v>8</v>
      </c>
      <c r="F2384">
        <v>1.01722196789785</v>
      </c>
      <c r="G2384" t="s">
        <v>84</v>
      </c>
      <c r="H2384" t="s">
        <v>81</v>
      </c>
      <c r="I2384">
        <v>665</v>
      </c>
      <c r="J2384">
        <v>0</v>
      </c>
      <c r="K2384">
        <v>0</v>
      </c>
    </row>
    <row r="2385" spans="1:11" x14ac:dyDescent="0.25">
      <c r="A2385" t="s">
        <v>82</v>
      </c>
    </row>
    <row r="2386" spans="1:11" x14ac:dyDescent="0.25">
      <c r="A2386">
        <v>77.973506424829196</v>
      </c>
      <c r="B2386">
        <v>127.10241262784901</v>
      </c>
      <c r="C2386">
        <v>2000</v>
      </c>
    </row>
    <row r="2387" spans="1:11" x14ac:dyDescent="0.25">
      <c r="A2387">
        <v>77.461504316642504</v>
      </c>
      <c r="B2387">
        <v>126.590410519662</v>
      </c>
      <c r="C2387">
        <v>2000</v>
      </c>
    </row>
    <row r="2388" spans="1:11" x14ac:dyDescent="0.25">
      <c r="A2388">
        <v>77.898520341091299</v>
      </c>
      <c r="B2388">
        <v>126.15339449521301</v>
      </c>
      <c r="C2388">
        <v>2001</v>
      </c>
    </row>
    <row r="2389" spans="1:11" x14ac:dyDescent="0.25">
      <c r="A2389">
        <v>78.420067989197506</v>
      </c>
      <c r="B2389">
        <v>126.674942143319</v>
      </c>
      <c r="C2389">
        <v>2001</v>
      </c>
    </row>
    <row r="2390" spans="1:11" x14ac:dyDescent="0.25">
      <c r="A2390">
        <v>100.42464838623</v>
      </c>
      <c r="B2390">
        <v>148.679522540352</v>
      </c>
      <c r="C2390">
        <v>2001</v>
      </c>
    </row>
    <row r="2391" spans="1:11" x14ac:dyDescent="0.25">
      <c r="A2391">
        <v>101.74512584587799</v>
      </c>
      <c r="B2391">
        <v>150</v>
      </c>
      <c r="C2391">
        <v>2001</v>
      </c>
    </row>
    <row r="2392" spans="1:11" x14ac:dyDescent="0.25">
      <c r="A2392">
        <v>100.871093796981</v>
      </c>
      <c r="B2392">
        <v>150</v>
      </c>
      <c r="C2392">
        <v>2000</v>
      </c>
    </row>
    <row r="2393" spans="1:11" x14ac:dyDescent="0.25">
      <c r="A2393">
        <v>99.575351613769897</v>
      </c>
      <c r="B2393">
        <v>148.70425781678901</v>
      </c>
      <c r="C2393">
        <v>2000</v>
      </c>
    </row>
    <row r="2394" spans="1:11" x14ac:dyDescent="0.25">
      <c r="A2394" t="s">
        <v>83</v>
      </c>
    </row>
    <row r="2395" spans="1:11" x14ac:dyDescent="0.25">
      <c r="A2395">
        <v>440</v>
      </c>
      <c r="B2395">
        <v>0</v>
      </c>
      <c r="C2395">
        <v>33.032070125394398</v>
      </c>
      <c r="D2395">
        <v>0.35637015881707201</v>
      </c>
      <c r="E2395">
        <v>8</v>
      </c>
      <c r="F2395">
        <v>1.01722196789785</v>
      </c>
      <c r="G2395" t="s">
        <v>84</v>
      </c>
      <c r="H2395" t="s">
        <v>81</v>
      </c>
      <c r="I2395">
        <v>39</v>
      </c>
      <c r="J2395">
        <v>0</v>
      </c>
      <c r="K2395">
        <v>0</v>
      </c>
    </row>
    <row r="2396" spans="1:11" x14ac:dyDescent="0.25">
      <c r="A2396" t="s">
        <v>82</v>
      </c>
    </row>
    <row r="2397" spans="1:11" x14ac:dyDescent="0.25">
      <c r="A2397">
        <v>149.75124343266501</v>
      </c>
      <c r="B2397">
        <v>116.334013543053</v>
      </c>
      <c r="C2397">
        <v>2000</v>
      </c>
    </row>
    <row r="2398" spans="1:11" x14ac:dyDescent="0.25">
      <c r="A2398">
        <v>133.19872187738699</v>
      </c>
      <c r="B2398">
        <v>99.781491987775595</v>
      </c>
      <c r="C2398">
        <v>2000</v>
      </c>
    </row>
    <row r="2399" spans="1:11" x14ac:dyDescent="0.25">
      <c r="A2399">
        <v>126.609315474016</v>
      </c>
      <c r="B2399">
        <v>93.192085584404694</v>
      </c>
      <c r="C2399">
        <v>2000</v>
      </c>
    </row>
    <row r="2400" spans="1:11" x14ac:dyDescent="0.25">
      <c r="A2400">
        <v>126.172299449568</v>
      </c>
      <c r="B2400">
        <v>93.629101608853503</v>
      </c>
      <c r="C2400">
        <v>2001</v>
      </c>
    </row>
    <row r="2401" spans="1:11" x14ac:dyDescent="0.25">
      <c r="A2401">
        <v>132.76170585293801</v>
      </c>
      <c r="B2401">
        <v>100.21850801222401</v>
      </c>
      <c r="C2401">
        <v>2001</v>
      </c>
    </row>
    <row r="2402" spans="1:11" x14ac:dyDescent="0.25">
      <c r="A2402">
        <v>149.74477305551099</v>
      </c>
      <c r="B2402">
        <v>117.201575214797</v>
      </c>
      <c r="C2402">
        <v>2001</v>
      </c>
    </row>
    <row r="2403" spans="1:11" x14ac:dyDescent="0.25">
      <c r="A2403">
        <v>150</v>
      </c>
      <c r="B2403">
        <v>117.456802159286</v>
      </c>
      <c r="C2403">
        <v>2001</v>
      </c>
    </row>
    <row r="2404" spans="1:11" x14ac:dyDescent="0.25">
      <c r="A2404">
        <v>150</v>
      </c>
      <c r="B2404">
        <v>116.582770110388</v>
      </c>
      <c r="C2404">
        <v>2000</v>
      </c>
    </row>
    <row r="2405" spans="1:11" x14ac:dyDescent="0.25">
      <c r="A2405" t="s">
        <v>83</v>
      </c>
    </row>
    <row r="2406" spans="1:11" x14ac:dyDescent="0.25">
      <c r="A2406">
        <v>573</v>
      </c>
      <c r="B2406">
        <v>0</v>
      </c>
      <c r="C2406">
        <v>18.602622826948402</v>
      </c>
      <c r="D2406">
        <v>14.6579218291013</v>
      </c>
      <c r="E2406">
        <v>6</v>
      </c>
      <c r="F2406">
        <v>1.5707963267949001</v>
      </c>
      <c r="G2406" t="s">
        <v>84</v>
      </c>
      <c r="H2406" t="s">
        <v>84</v>
      </c>
      <c r="I2406">
        <v>563</v>
      </c>
      <c r="J2406">
        <v>571</v>
      </c>
      <c r="K2406">
        <v>0</v>
      </c>
    </row>
    <row r="2407" spans="1:11" x14ac:dyDescent="0.25">
      <c r="A2407" t="s">
        <v>82</v>
      </c>
    </row>
    <row r="2408" spans="1:11" x14ac:dyDescent="0.25">
      <c r="A2408">
        <v>20.677688715829401</v>
      </c>
      <c r="B2408">
        <v>115.31046924195699</v>
      </c>
      <c r="C2408">
        <v>2000</v>
      </c>
    </row>
    <row r="2409" spans="1:11" x14ac:dyDescent="0.25">
      <c r="A2409">
        <v>7.5236479670385101</v>
      </c>
      <c r="B2409">
        <v>102.156428493167</v>
      </c>
      <c r="C2409">
        <v>2000</v>
      </c>
    </row>
    <row r="2410" spans="1:11" x14ac:dyDescent="0.25">
      <c r="A2410">
        <v>7.5236479670385101</v>
      </c>
      <c r="B2410">
        <v>102.156428493167</v>
      </c>
      <c r="C2410">
        <v>2001</v>
      </c>
    </row>
    <row r="2411" spans="1:11" x14ac:dyDescent="0.25">
      <c r="A2411">
        <v>20.677688715829401</v>
      </c>
      <c r="B2411">
        <v>115.31046924195699</v>
      </c>
      <c r="C2411">
        <v>2001</v>
      </c>
    </row>
    <row r="2412" spans="1:11" x14ac:dyDescent="0.25">
      <c r="A2412">
        <v>31.042404639289199</v>
      </c>
      <c r="B2412">
        <v>125.67518516541701</v>
      </c>
      <c r="C2412">
        <v>2001</v>
      </c>
    </row>
    <row r="2413" spans="1:11" x14ac:dyDescent="0.25">
      <c r="A2413">
        <v>31.042404639289199</v>
      </c>
      <c r="B2413">
        <v>125.67518516541701</v>
      </c>
      <c r="C2413">
        <v>2000</v>
      </c>
    </row>
    <row r="2414" spans="1:11" x14ac:dyDescent="0.25">
      <c r="A2414" t="s">
        <v>83</v>
      </c>
    </row>
    <row r="2415" spans="1:11" x14ac:dyDescent="0.25">
      <c r="A2415">
        <v>493</v>
      </c>
      <c r="B2415">
        <v>0</v>
      </c>
      <c r="C2415">
        <v>15.503657744638801</v>
      </c>
      <c r="D2415">
        <v>17.407678432319301</v>
      </c>
      <c r="E2415">
        <v>8</v>
      </c>
      <c r="F2415">
        <v>1.5707963267949001</v>
      </c>
      <c r="G2415" t="s">
        <v>84</v>
      </c>
      <c r="H2415" t="s">
        <v>84</v>
      </c>
      <c r="I2415">
        <v>494</v>
      </c>
      <c r="J2415">
        <v>754</v>
      </c>
      <c r="K2415">
        <v>0</v>
      </c>
    </row>
    <row r="2416" spans="1:11" x14ac:dyDescent="0.25">
      <c r="A2416" t="s">
        <v>82</v>
      </c>
    </row>
    <row r="2417" spans="1:11" x14ac:dyDescent="0.25">
      <c r="A2417">
        <v>79.461969344160494</v>
      </c>
      <c r="B2417">
        <v>49.734843463979097</v>
      </c>
      <c r="C2417">
        <v>2000</v>
      </c>
    </row>
    <row r="2418" spans="1:11" x14ac:dyDescent="0.25">
      <c r="A2418">
        <v>68.499227819731104</v>
      </c>
      <c r="B2418">
        <v>38.7721019395497</v>
      </c>
      <c r="C2418">
        <v>2000</v>
      </c>
    </row>
    <row r="2419" spans="1:11" x14ac:dyDescent="0.25">
      <c r="A2419">
        <v>68.499227819731104</v>
      </c>
      <c r="B2419">
        <v>38.7721019395497</v>
      </c>
      <c r="C2419">
        <v>2001</v>
      </c>
    </row>
    <row r="2420" spans="1:11" x14ac:dyDescent="0.25">
      <c r="A2420">
        <v>79.461969344160494</v>
      </c>
      <c r="B2420">
        <v>49.734843463979097</v>
      </c>
      <c r="C2420">
        <v>2001</v>
      </c>
    </row>
    <row r="2421" spans="1:11" x14ac:dyDescent="0.25">
      <c r="A2421">
        <v>79.727125880181404</v>
      </c>
      <c r="B2421">
        <v>50</v>
      </c>
      <c r="C2421">
        <v>2001</v>
      </c>
    </row>
    <row r="2422" spans="1:11" x14ac:dyDescent="0.25">
      <c r="A2422">
        <v>91.7710568083683</v>
      </c>
      <c r="B2422">
        <v>62.043930928186903</v>
      </c>
      <c r="C2422">
        <v>2001</v>
      </c>
    </row>
    <row r="2423" spans="1:11" x14ac:dyDescent="0.25">
      <c r="A2423">
        <v>91.7710568083683</v>
      </c>
      <c r="B2423">
        <v>62.043930928186903</v>
      </c>
      <c r="C2423">
        <v>2000</v>
      </c>
    </row>
    <row r="2424" spans="1:11" x14ac:dyDescent="0.25">
      <c r="A2424">
        <v>79.727125880181404</v>
      </c>
      <c r="B2424">
        <v>50</v>
      </c>
      <c r="C2424">
        <v>2000</v>
      </c>
    </row>
    <row r="2425" spans="1:11" x14ac:dyDescent="0.25">
      <c r="A2425" t="s">
        <v>83</v>
      </c>
    </row>
    <row r="2426" spans="1:11" x14ac:dyDescent="0.25">
      <c r="A2426">
        <v>499</v>
      </c>
      <c r="B2426">
        <v>0</v>
      </c>
      <c r="C2426">
        <v>21.0751533232574</v>
      </c>
      <c r="D2426">
        <v>11.793094168589001</v>
      </c>
      <c r="E2426">
        <v>6</v>
      </c>
      <c r="F2426">
        <v>1.5707963267949001</v>
      </c>
      <c r="G2426" t="s">
        <v>81</v>
      </c>
      <c r="H2426" t="s">
        <v>84</v>
      </c>
      <c r="I2426">
        <v>0</v>
      </c>
      <c r="J2426">
        <v>258</v>
      </c>
      <c r="K2426">
        <v>0</v>
      </c>
    </row>
    <row r="2427" spans="1:11" x14ac:dyDescent="0.25">
      <c r="A2427" t="s">
        <v>82</v>
      </c>
    </row>
    <row r="2428" spans="1:11" x14ac:dyDescent="0.25">
      <c r="A2428">
        <v>90.5625693805341</v>
      </c>
      <c r="B2428">
        <v>14.902383829421501</v>
      </c>
      <c r="C2428">
        <v>2000</v>
      </c>
    </row>
    <row r="2429" spans="1:11" x14ac:dyDescent="0.25">
      <c r="A2429">
        <v>75.660185551112605</v>
      </c>
      <c r="B2429">
        <v>0</v>
      </c>
      <c r="C2429">
        <v>2000</v>
      </c>
    </row>
    <row r="2430" spans="1:11" x14ac:dyDescent="0.25">
      <c r="A2430">
        <v>75.660185551112605</v>
      </c>
      <c r="B2430">
        <v>0</v>
      </c>
      <c r="C2430">
        <v>2001</v>
      </c>
    </row>
    <row r="2431" spans="1:11" x14ac:dyDescent="0.25">
      <c r="A2431">
        <v>90.5625693805341</v>
      </c>
      <c r="B2431">
        <v>14.902383829421501</v>
      </c>
      <c r="C2431">
        <v>2001</v>
      </c>
    </row>
    <row r="2432" spans="1:11" x14ac:dyDescent="0.25">
      <c r="A2432">
        <v>98.901546238314907</v>
      </c>
      <c r="B2432">
        <v>23.241360687202299</v>
      </c>
      <c r="C2432">
        <v>2001</v>
      </c>
    </row>
    <row r="2433" spans="1:11" x14ac:dyDescent="0.25">
      <c r="A2433">
        <v>98.901546238314907</v>
      </c>
      <c r="B2433">
        <v>23.241360687202299</v>
      </c>
      <c r="C2433">
        <v>2000</v>
      </c>
    </row>
    <row r="2434" spans="1:11" x14ac:dyDescent="0.25">
      <c r="A2434" t="s">
        <v>83</v>
      </c>
    </row>
    <row r="2435" spans="1:11" x14ac:dyDescent="0.25">
      <c r="A2435">
        <v>183</v>
      </c>
      <c r="B2435">
        <v>0</v>
      </c>
      <c r="C2435">
        <v>1.12315300999248</v>
      </c>
      <c r="D2435">
        <v>31.742893126178799</v>
      </c>
      <c r="E2435">
        <v>8</v>
      </c>
      <c r="F2435">
        <v>1.01722196789785</v>
      </c>
      <c r="G2435" t="s">
        <v>84</v>
      </c>
      <c r="H2435" t="s">
        <v>84</v>
      </c>
      <c r="I2435">
        <v>195</v>
      </c>
      <c r="J2435">
        <v>411</v>
      </c>
      <c r="K2435">
        <v>0</v>
      </c>
    </row>
    <row r="2436" spans="1:11" x14ac:dyDescent="0.25">
      <c r="A2436" t="s">
        <v>82</v>
      </c>
    </row>
    <row r="2437" spans="1:11" x14ac:dyDescent="0.25">
      <c r="A2437">
        <v>123.48933798051399</v>
      </c>
      <c r="B2437">
        <v>80.199899402535607</v>
      </c>
      <c r="C2437">
        <v>2000</v>
      </c>
    </row>
    <row r="2438" spans="1:11" x14ac:dyDescent="0.25">
      <c r="A2438">
        <v>122.695148870838</v>
      </c>
      <c r="B2438">
        <v>79.405710292859894</v>
      </c>
      <c r="C2438">
        <v>2000</v>
      </c>
    </row>
    <row r="2439" spans="1:11" x14ac:dyDescent="0.25">
      <c r="A2439">
        <v>123.132164895287</v>
      </c>
      <c r="B2439">
        <v>78.968694268411099</v>
      </c>
      <c r="C2439">
        <v>2001</v>
      </c>
    </row>
    <row r="2440" spans="1:11" x14ac:dyDescent="0.25">
      <c r="A2440">
        <v>123.926354004963</v>
      </c>
      <c r="B2440">
        <v>79.762883378086798</v>
      </c>
      <c r="C2440">
        <v>2001</v>
      </c>
    </row>
    <row r="2441" spans="1:11" x14ac:dyDescent="0.25">
      <c r="A2441">
        <v>143.94496261465099</v>
      </c>
      <c r="B2441">
        <v>99.781491987775595</v>
      </c>
      <c r="C2441">
        <v>2001</v>
      </c>
    </row>
    <row r="2442" spans="1:11" x14ac:dyDescent="0.25">
      <c r="A2442">
        <v>146.371968988964</v>
      </c>
      <c r="B2442">
        <v>102.20849836208799</v>
      </c>
      <c r="C2442">
        <v>2001</v>
      </c>
    </row>
    <row r="2443" spans="1:11" x14ac:dyDescent="0.25">
      <c r="A2443">
        <v>145.93495296451499</v>
      </c>
      <c r="B2443">
        <v>102.645514386537</v>
      </c>
      <c r="C2443">
        <v>2000</v>
      </c>
    </row>
    <row r="2444" spans="1:11" x14ac:dyDescent="0.25">
      <c r="A2444">
        <v>143.50794659020301</v>
      </c>
      <c r="B2444">
        <v>100.21850801222401</v>
      </c>
      <c r="C2444">
        <v>2000</v>
      </c>
    </row>
    <row r="2445" spans="1:11" x14ac:dyDescent="0.25">
      <c r="A2445" t="s">
        <v>83</v>
      </c>
    </row>
    <row r="2446" spans="1:11" x14ac:dyDescent="0.25">
      <c r="A2446">
        <v>591</v>
      </c>
      <c r="B2446">
        <v>0</v>
      </c>
      <c r="C2446">
        <v>2.8436371854695301</v>
      </c>
      <c r="D2446">
        <v>29.5870502795607</v>
      </c>
      <c r="E2446">
        <v>6</v>
      </c>
      <c r="F2446">
        <v>1.01722196789785</v>
      </c>
      <c r="G2446" t="s">
        <v>81</v>
      </c>
      <c r="H2446" t="s">
        <v>81</v>
      </c>
      <c r="I2446">
        <v>0</v>
      </c>
      <c r="J2446">
        <v>0</v>
      </c>
      <c r="K2446">
        <v>0</v>
      </c>
    </row>
    <row r="2447" spans="1:11" x14ac:dyDescent="0.25">
      <c r="A2447" t="s">
        <v>82</v>
      </c>
    </row>
    <row r="2448" spans="1:11" x14ac:dyDescent="0.25">
      <c r="A2448">
        <v>1.9724360290093701</v>
      </c>
      <c r="B2448">
        <v>129.47749302839401</v>
      </c>
      <c r="C2448">
        <v>2000</v>
      </c>
    </row>
    <row r="2449" spans="1:11" x14ac:dyDescent="0.25">
      <c r="A2449">
        <v>0</v>
      </c>
      <c r="B2449">
        <v>127.505056999384</v>
      </c>
      <c r="C2449">
        <v>2000</v>
      </c>
    </row>
    <row r="2450" spans="1:11" x14ac:dyDescent="0.25">
      <c r="A2450">
        <v>0</v>
      </c>
      <c r="B2450">
        <v>126.631024950487</v>
      </c>
      <c r="C2450">
        <v>2001</v>
      </c>
    </row>
    <row r="2451" spans="1:11" x14ac:dyDescent="0.25">
      <c r="A2451">
        <v>2.0490742451500998</v>
      </c>
      <c r="B2451">
        <v>128.68009919563701</v>
      </c>
      <c r="C2451">
        <v>2001</v>
      </c>
    </row>
    <row r="2452" spans="1:11" x14ac:dyDescent="0.25">
      <c r="A2452">
        <v>23.368975049513299</v>
      </c>
      <c r="B2452">
        <v>150</v>
      </c>
      <c r="C2452">
        <v>2001</v>
      </c>
    </row>
    <row r="2453" spans="1:11" x14ac:dyDescent="0.25">
      <c r="A2453">
        <v>22.494943000615599</v>
      </c>
      <c r="B2453">
        <v>150</v>
      </c>
      <c r="C2453">
        <v>2000</v>
      </c>
    </row>
    <row r="2454" spans="1:11" x14ac:dyDescent="0.25">
      <c r="A2454" t="s">
        <v>83</v>
      </c>
    </row>
    <row r="2455" spans="1:11" x14ac:dyDescent="0.25">
      <c r="A2455">
        <v>8</v>
      </c>
      <c r="B2455">
        <v>0</v>
      </c>
      <c r="C2455">
        <v>4.3508297269813401</v>
      </c>
      <c r="D2455">
        <v>27.928746649915301</v>
      </c>
      <c r="E2455">
        <v>6</v>
      </c>
      <c r="F2455">
        <v>1.5707963267949001</v>
      </c>
      <c r="G2455" t="s">
        <v>81</v>
      </c>
      <c r="H2455" t="s">
        <v>84</v>
      </c>
      <c r="I2455">
        <v>0</v>
      </c>
      <c r="J2455">
        <v>658</v>
      </c>
      <c r="K2455">
        <v>0</v>
      </c>
    </row>
    <row r="2456" spans="1:11" x14ac:dyDescent="0.25">
      <c r="A2456" t="s">
        <v>82</v>
      </c>
    </row>
    <row r="2457" spans="1:11" x14ac:dyDescent="0.25">
      <c r="A2457">
        <v>3.07650120373652</v>
      </c>
      <c r="B2457">
        <v>26.595380949599399</v>
      </c>
      <c r="C2457">
        <v>2000</v>
      </c>
    </row>
    <row r="2458" spans="1:11" x14ac:dyDescent="0.25">
      <c r="A2458">
        <v>0</v>
      </c>
      <c r="B2458">
        <v>23.5188797458629</v>
      </c>
      <c r="C2458">
        <v>2000</v>
      </c>
    </row>
    <row r="2459" spans="1:11" x14ac:dyDescent="0.25">
      <c r="A2459">
        <v>0</v>
      </c>
      <c r="B2459">
        <v>23.5188797458629</v>
      </c>
      <c r="C2459">
        <v>2001</v>
      </c>
    </row>
    <row r="2460" spans="1:11" x14ac:dyDescent="0.25">
      <c r="A2460">
        <v>3.07650120373652</v>
      </c>
      <c r="B2460">
        <v>26.595380949599399</v>
      </c>
      <c r="C2460">
        <v>2001</v>
      </c>
    </row>
    <row r="2461" spans="1:11" x14ac:dyDescent="0.25">
      <c r="A2461">
        <v>22.825107349932701</v>
      </c>
      <c r="B2461">
        <v>46.343987095795597</v>
      </c>
      <c r="C2461">
        <v>2001</v>
      </c>
    </row>
    <row r="2462" spans="1:11" x14ac:dyDescent="0.25">
      <c r="A2462">
        <v>22.825107349932701</v>
      </c>
      <c r="B2462">
        <v>46.343987095795597</v>
      </c>
      <c r="C2462">
        <v>2000</v>
      </c>
    </row>
    <row r="2463" spans="1:11" x14ac:dyDescent="0.25">
      <c r="A2463" t="s">
        <v>83</v>
      </c>
    </row>
    <row r="2464" spans="1:11" x14ac:dyDescent="0.25">
      <c r="A2464">
        <v>663</v>
      </c>
      <c r="B2464">
        <v>0</v>
      </c>
      <c r="C2464">
        <v>6.0743850581308498</v>
      </c>
      <c r="D2464">
        <v>26.152071920158701</v>
      </c>
      <c r="E2464">
        <v>6</v>
      </c>
      <c r="F2464">
        <v>1.01722196789785</v>
      </c>
      <c r="G2464" t="s">
        <v>81</v>
      </c>
      <c r="H2464" t="s">
        <v>84</v>
      </c>
      <c r="I2464">
        <v>0</v>
      </c>
      <c r="J2464">
        <v>598</v>
      </c>
      <c r="K2464">
        <v>0</v>
      </c>
    </row>
    <row r="2465" spans="1:11" x14ac:dyDescent="0.25">
      <c r="A2465" t="s">
        <v>82</v>
      </c>
    </row>
    <row r="2466" spans="1:11" x14ac:dyDescent="0.25">
      <c r="A2466">
        <v>4.3364255782105996</v>
      </c>
      <c r="B2466">
        <v>66.120498075978603</v>
      </c>
      <c r="C2466">
        <v>2000</v>
      </c>
    </row>
    <row r="2467" spans="1:11" x14ac:dyDescent="0.25">
      <c r="A2467">
        <v>0</v>
      </c>
      <c r="B2467">
        <v>61.784072497768001</v>
      </c>
      <c r="C2467">
        <v>2000</v>
      </c>
    </row>
    <row r="2468" spans="1:11" x14ac:dyDescent="0.25">
      <c r="A2468">
        <v>0</v>
      </c>
      <c r="B2468">
        <v>62.658104546665697</v>
      </c>
      <c r="C2468">
        <v>2001</v>
      </c>
    </row>
    <row r="2469" spans="1:11" x14ac:dyDescent="0.25">
      <c r="A2469">
        <v>4.2540521540745297</v>
      </c>
      <c r="B2469">
        <v>66.912156700740198</v>
      </c>
      <c r="C2469">
        <v>2001</v>
      </c>
    </row>
    <row r="2470" spans="1:11" x14ac:dyDescent="0.25">
      <c r="A2470">
        <v>22.5690382507407</v>
      </c>
      <c r="B2470">
        <v>85.227142797406302</v>
      </c>
      <c r="C2470">
        <v>2001</v>
      </c>
    </row>
    <row r="2471" spans="1:11" x14ac:dyDescent="0.25">
      <c r="A2471">
        <v>23.006054275189499</v>
      </c>
      <c r="B2471">
        <v>84.790126772957507</v>
      </c>
      <c r="C2471">
        <v>2000</v>
      </c>
    </row>
    <row r="2472" spans="1:11" x14ac:dyDescent="0.25">
      <c r="A2472" t="s">
        <v>83</v>
      </c>
    </row>
    <row r="2473" spans="1:11" x14ac:dyDescent="0.25">
      <c r="A2473">
        <v>11</v>
      </c>
      <c r="B2473">
        <v>0</v>
      </c>
      <c r="C2473">
        <v>0</v>
      </c>
      <c r="D2473">
        <v>32.064294670387397</v>
      </c>
      <c r="E2473">
        <v>6</v>
      </c>
      <c r="F2473">
        <v>1.5707963267949001</v>
      </c>
      <c r="G2473" t="s">
        <v>84</v>
      </c>
      <c r="H2473" t="s">
        <v>84</v>
      </c>
      <c r="I2473">
        <v>30</v>
      </c>
      <c r="J2473">
        <v>197</v>
      </c>
      <c r="K2473">
        <v>0</v>
      </c>
    </row>
    <row r="2474" spans="1:11" x14ac:dyDescent="0.25">
      <c r="A2474" t="s">
        <v>82</v>
      </c>
    </row>
    <row r="2475" spans="1:11" x14ac:dyDescent="0.25">
      <c r="A2475">
        <v>27.864947637014499</v>
      </c>
      <c r="B2475">
        <v>12.6138387888734</v>
      </c>
      <c r="C2475">
        <v>2000</v>
      </c>
    </row>
    <row r="2476" spans="1:11" x14ac:dyDescent="0.25">
      <c r="A2476">
        <v>27.864947637014499</v>
      </c>
      <c r="B2476">
        <v>12.6138387888734</v>
      </c>
      <c r="C2476">
        <v>2001</v>
      </c>
    </row>
    <row r="2477" spans="1:11" x14ac:dyDescent="0.25">
      <c r="A2477">
        <v>50</v>
      </c>
      <c r="B2477">
        <v>34.748891151858899</v>
      </c>
      <c r="C2477">
        <v>2001</v>
      </c>
    </row>
    <row r="2478" spans="1:11" x14ac:dyDescent="0.25">
      <c r="A2478">
        <v>50.5378278324091</v>
      </c>
      <c r="B2478">
        <v>35.286718984267999</v>
      </c>
      <c r="C2478">
        <v>2001</v>
      </c>
    </row>
    <row r="2479" spans="1:11" x14ac:dyDescent="0.25">
      <c r="A2479">
        <v>50.5378278324091</v>
      </c>
      <c r="B2479">
        <v>35.286718984267999</v>
      </c>
      <c r="C2479">
        <v>2000</v>
      </c>
    </row>
    <row r="2480" spans="1:11" x14ac:dyDescent="0.25">
      <c r="A2480">
        <v>50</v>
      </c>
      <c r="B2480">
        <v>34.748891151858899</v>
      </c>
      <c r="C2480">
        <v>2000</v>
      </c>
    </row>
    <row r="2481" spans="1:11" x14ac:dyDescent="0.25">
      <c r="A2481" t="s">
        <v>83</v>
      </c>
    </row>
    <row r="2482" spans="1:11" x14ac:dyDescent="0.25">
      <c r="A2482">
        <v>162</v>
      </c>
      <c r="B2482">
        <v>0</v>
      </c>
      <c r="C2482">
        <v>0</v>
      </c>
      <c r="D2482">
        <v>31.999849817614798</v>
      </c>
      <c r="E2482">
        <v>6</v>
      </c>
      <c r="F2482">
        <v>1.5707963267949001</v>
      </c>
      <c r="G2482" t="s">
        <v>84</v>
      </c>
      <c r="H2482" t="s">
        <v>81</v>
      </c>
      <c r="I2482">
        <v>176</v>
      </c>
      <c r="J2482">
        <v>0</v>
      </c>
      <c r="K2482">
        <v>0</v>
      </c>
    </row>
    <row r="2483" spans="1:11" x14ac:dyDescent="0.25">
      <c r="A2483" t="s">
        <v>82</v>
      </c>
    </row>
    <row r="2484" spans="1:11" x14ac:dyDescent="0.25">
      <c r="A2484">
        <v>127.372689197014</v>
      </c>
      <c r="B2484">
        <v>80.535545761480705</v>
      </c>
      <c r="C2484">
        <v>2000</v>
      </c>
    </row>
    <row r="2485" spans="1:11" x14ac:dyDescent="0.25">
      <c r="A2485">
        <v>127.372689197014</v>
      </c>
      <c r="B2485">
        <v>80.535545761480705</v>
      </c>
      <c r="C2485">
        <v>2001</v>
      </c>
    </row>
    <row r="2486" spans="1:11" x14ac:dyDescent="0.25">
      <c r="A2486">
        <v>146.83714343553299</v>
      </c>
      <c r="B2486">
        <v>100</v>
      </c>
      <c r="C2486">
        <v>2001</v>
      </c>
    </row>
    <row r="2487" spans="1:11" x14ac:dyDescent="0.25">
      <c r="A2487">
        <v>150</v>
      </c>
      <c r="B2487">
        <v>103.16285656446701</v>
      </c>
      <c r="C2487">
        <v>2001</v>
      </c>
    </row>
    <row r="2488" spans="1:11" x14ac:dyDescent="0.25">
      <c r="A2488">
        <v>150</v>
      </c>
      <c r="B2488">
        <v>103.16285656446701</v>
      </c>
      <c r="C2488">
        <v>2000</v>
      </c>
    </row>
    <row r="2489" spans="1:11" x14ac:dyDescent="0.25">
      <c r="A2489">
        <v>146.83714343553299</v>
      </c>
      <c r="B2489">
        <v>100</v>
      </c>
      <c r="C2489">
        <v>2000</v>
      </c>
    </row>
    <row r="2490" spans="1:11" x14ac:dyDescent="0.25">
      <c r="A2490" t="s">
        <v>83</v>
      </c>
    </row>
    <row r="2491" spans="1:11" x14ac:dyDescent="0.25">
      <c r="A2491">
        <v>485</v>
      </c>
      <c r="B2491">
        <v>0</v>
      </c>
      <c r="C2491">
        <v>15.4284511724808</v>
      </c>
      <c r="D2491">
        <v>16.561199421540302</v>
      </c>
      <c r="E2491">
        <v>8</v>
      </c>
      <c r="F2491">
        <v>1.5707963267949001</v>
      </c>
      <c r="G2491" t="s">
        <v>84</v>
      </c>
      <c r="H2491" t="s">
        <v>84</v>
      </c>
      <c r="I2491">
        <v>486</v>
      </c>
      <c r="J2491">
        <v>423</v>
      </c>
      <c r="K2491">
        <v>0</v>
      </c>
    </row>
    <row r="2492" spans="1:11" x14ac:dyDescent="0.25">
      <c r="A2492" t="s">
        <v>82</v>
      </c>
    </row>
    <row r="2493" spans="1:11" x14ac:dyDescent="0.25">
      <c r="A2493">
        <v>75.289480737545304</v>
      </c>
      <c r="B2493">
        <v>38.613196049636798</v>
      </c>
      <c r="C2493">
        <v>2000</v>
      </c>
    </row>
    <row r="2494" spans="1:11" x14ac:dyDescent="0.25">
      <c r="A2494">
        <v>64.379918290278596</v>
      </c>
      <c r="B2494">
        <v>27.7036336023701</v>
      </c>
      <c r="C2494">
        <v>2000</v>
      </c>
    </row>
    <row r="2495" spans="1:11" x14ac:dyDescent="0.25">
      <c r="A2495">
        <v>64.379918290278596</v>
      </c>
      <c r="B2495">
        <v>27.7036336023701</v>
      </c>
      <c r="C2495">
        <v>2001</v>
      </c>
    </row>
    <row r="2496" spans="1:11" x14ac:dyDescent="0.25">
      <c r="A2496">
        <v>75.289480737545304</v>
      </c>
      <c r="B2496">
        <v>38.613196049636798</v>
      </c>
      <c r="C2496">
        <v>2001</v>
      </c>
    </row>
    <row r="2497" spans="1:11" x14ac:dyDescent="0.25">
      <c r="A2497">
        <v>86.676284687908506</v>
      </c>
      <c r="B2497">
        <v>50</v>
      </c>
      <c r="C2497">
        <v>2001</v>
      </c>
    </row>
    <row r="2498" spans="1:11" x14ac:dyDescent="0.25">
      <c r="A2498">
        <v>87.000017153099193</v>
      </c>
      <c r="B2498">
        <v>50.323732465190702</v>
      </c>
      <c r="C2498">
        <v>2001</v>
      </c>
    </row>
    <row r="2499" spans="1:11" x14ac:dyDescent="0.25">
      <c r="A2499">
        <v>87.000017153099193</v>
      </c>
      <c r="B2499">
        <v>50.323732465190702</v>
      </c>
      <c r="C2499">
        <v>2000</v>
      </c>
    </row>
    <row r="2500" spans="1:11" x14ac:dyDescent="0.25">
      <c r="A2500">
        <v>86.676284687908506</v>
      </c>
      <c r="B2500">
        <v>50</v>
      </c>
      <c r="C2500">
        <v>2000</v>
      </c>
    </row>
    <row r="2501" spans="1:11" x14ac:dyDescent="0.25">
      <c r="A2501" t="s">
        <v>83</v>
      </c>
    </row>
    <row r="2502" spans="1:11" x14ac:dyDescent="0.25">
      <c r="A2502">
        <v>190</v>
      </c>
      <c r="B2502">
        <v>0</v>
      </c>
      <c r="C2502">
        <v>3.4460664741267002</v>
      </c>
      <c r="D2502">
        <v>28.4727705974854</v>
      </c>
      <c r="E2502">
        <v>6</v>
      </c>
      <c r="F2502">
        <v>1.01722196789785</v>
      </c>
      <c r="G2502" t="s">
        <v>84</v>
      </c>
      <c r="H2502" t="s">
        <v>84</v>
      </c>
      <c r="I2502">
        <v>173</v>
      </c>
      <c r="J2502">
        <v>182</v>
      </c>
      <c r="K2502">
        <v>0</v>
      </c>
    </row>
    <row r="2503" spans="1:11" x14ac:dyDescent="0.25">
      <c r="A2503" t="s">
        <v>82</v>
      </c>
    </row>
    <row r="2504" spans="1:11" x14ac:dyDescent="0.25">
      <c r="A2504">
        <v>116.520203475147</v>
      </c>
      <c r="B2504">
        <v>56.584964086578502</v>
      </c>
      <c r="C2504">
        <v>2000</v>
      </c>
    </row>
    <row r="2505" spans="1:11" x14ac:dyDescent="0.25">
      <c r="A2505">
        <v>114.083466502872</v>
      </c>
      <c r="B2505">
        <v>54.1482271143039</v>
      </c>
      <c r="C2505">
        <v>2000</v>
      </c>
    </row>
    <row r="2506" spans="1:11" x14ac:dyDescent="0.25">
      <c r="A2506">
        <v>113.64645047842301</v>
      </c>
      <c r="B2506">
        <v>54.585243138752702</v>
      </c>
      <c r="C2506">
        <v>2001</v>
      </c>
    </row>
    <row r="2507" spans="1:11" x14ac:dyDescent="0.25">
      <c r="A2507">
        <v>116.08318745069801</v>
      </c>
      <c r="B2507">
        <v>57.021980111027297</v>
      </c>
      <c r="C2507">
        <v>2001</v>
      </c>
    </row>
    <row r="2508" spans="1:11" x14ac:dyDescent="0.25">
      <c r="A2508">
        <v>136.21647661934901</v>
      </c>
      <c r="B2508">
        <v>77.155269279678194</v>
      </c>
      <c r="C2508">
        <v>2001</v>
      </c>
    </row>
    <row r="2509" spans="1:11" x14ac:dyDescent="0.25">
      <c r="A2509">
        <v>136.65349264379799</v>
      </c>
      <c r="B2509">
        <v>76.718253255229399</v>
      </c>
      <c r="C2509">
        <v>2000</v>
      </c>
    </row>
    <row r="2510" spans="1:11" x14ac:dyDescent="0.25">
      <c r="A2510" t="s">
        <v>83</v>
      </c>
    </row>
    <row r="2511" spans="1:11" x14ac:dyDescent="0.25">
      <c r="A2511">
        <v>98</v>
      </c>
      <c r="B2511">
        <v>0</v>
      </c>
      <c r="C2511">
        <v>10.580294970388101</v>
      </c>
      <c r="D2511">
        <v>21.278858706346099</v>
      </c>
      <c r="E2511">
        <v>6</v>
      </c>
      <c r="F2511">
        <v>1.5707963267949001</v>
      </c>
      <c r="G2511" t="s">
        <v>84</v>
      </c>
      <c r="H2511" t="s">
        <v>84</v>
      </c>
      <c r="I2511">
        <v>99</v>
      </c>
      <c r="J2511">
        <v>95</v>
      </c>
      <c r="K2511">
        <v>0</v>
      </c>
    </row>
    <row r="2512" spans="1:11" x14ac:dyDescent="0.25">
      <c r="A2512" t="s">
        <v>82</v>
      </c>
    </row>
    <row r="2513" spans="1:11" x14ac:dyDescent="0.25">
      <c r="A2513">
        <v>84.151560724317804</v>
      </c>
      <c r="B2513">
        <v>72.519997436329703</v>
      </c>
      <c r="C2513">
        <v>2000</v>
      </c>
    </row>
    <row r="2514" spans="1:11" x14ac:dyDescent="0.25">
      <c r="A2514">
        <v>76.670162403802493</v>
      </c>
      <c r="B2514">
        <v>65.038599115814407</v>
      </c>
      <c r="C2514">
        <v>2000</v>
      </c>
    </row>
    <row r="2515" spans="1:11" x14ac:dyDescent="0.25">
      <c r="A2515">
        <v>76.670162403802493</v>
      </c>
      <c r="B2515">
        <v>65.038599115814407</v>
      </c>
      <c r="C2515">
        <v>2001</v>
      </c>
    </row>
    <row r="2516" spans="1:11" x14ac:dyDescent="0.25">
      <c r="A2516">
        <v>84.151560724317804</v>
      </c>
      <c r="B2516">
        <v>72.519997436329703</v>
      </c>
      <c r="C2516">
        <v>2001</v>
      </c>
    </row>
    <row r="2517" spans="1:11" x14ac:dyDescent="0.25">
      <c r="A2517">
        <v>99.197986011485597</v>
      </c>
      <c r="B2517">
        <v>87.566422723497496</v>
      </c>
      <c r="C2517">
        <v>2001</v>
      </c>
    </row>
    <row r="2518" spans="1:11" x14ac:dyDescent="0.25">
      <c r="A2518">
        <v>99.197986011485597</v>
      </c>
      <c r="B2518">
        <v>87.566422723497496</v>
      </c>
      <c r="C2518">
        <v>2000</v>
      </c>
    </row>
    <row r="2519" spans="1:11" x14ac:dyDescent="0.25">
      <c r="A2519" t="s">
        <v>83</v>
      </c>
    </row>
    <row r="2520" spans="1:11" x14ac:dyDescent="0.25">
      <c r="A2520">
        <v>740</v>
      </c>
      <c r="B2520">
        <v>0</v>
      </c>
      <c r="C2520">
        <v>25.279899636617301</v>
      </c>
      <c r="D2520">
        <v>6.57925404011689</v>
      </c>
      <c r="E2520">
        <v>6</v>
      </c>
      <c r="F2520">
        <v>1.01722196789785</v>
      </c>
      <c r="G2520" t="s">
        <v>84</v>
      </c>
      <c r="H2520" t="s">
        <v>84</v>
      </c>
      <c r="I2520">
        <v>99</v>
      </c>
      <c r="J2520">
        <v>95</v>
      </c>
      <c r="K2520">
        <v>0.13295790203782501</v>
      </c>
    </row>
    <row r="2521" spans="1:11" x14ac:dyDescent="0.25">
      <c r="A2521" t="s">
        <v>82</v>
      </c>
    </row>
    <row r="2522" spans="1:11" x14ac:dyDescent="0.25">
      <c r="A2522">
        <v>94.065897509490895</v>
      </c>
      <c r="B2522">
        <v>83.394040931660896</v>
      </c>
      <c r="C2522">
        <v>2000</v>
      </c>
    </row>
    <row r="2523" spans="1:11" x14ac:dyDescent="0.25">
      <c r="A2523">
        <v>76.190309048723407</v>
      </c>
      <c r="B2523">
        <v>65.518452470893394</v>
      </c>
      <c r="C2523">
        <v>2000</v>
      </c>
    </row>
    <row r="2524" spans="1:11" x14ac:dyDescent="0.25">
      <c r="A2524">
        <v>76.627325073172202</v>
      </c>
      <c r="B2524">
        <v>65.081436446444599</v>
      </c>
      <c r="C2524">
        <v>2001</v>
      </c>
    </row>
    <row r="2525" spans="1:11" x14ac:dyDescent="0.25">
      <c r="A2525">
        <v>94.502913533939605</v>
      </c>
      <c r="B2525">
        <v>82.957024907212102</v>
      </c>
      <c r="C2525">
        <v>2001</v>
      </c>
    </row>
    <row r="2526" spans="1:11" x14ac:dyDescent="0.25">
      <c r="A2526">
        <v>99.155148680855305</v>
      </c>
      <c r="B2526">
        <v>87.609260054127702</v>
      </c>
      <c r="C2526">
        <v>2001</v>
      </c>
    </row>
    <row r="2527" spans="1:11" x14ac:dyDescent="0.25">
      <c r="A2527">
        <v>98.718132656406496</v>
      </c>
      <c r="B2527">
        <v>88.046276078576497</v>
      </c>
      <c r="C2527">
        <v>2000</v>
      </c>
    </row>
    <row r="2528" spans="1:11" x14ac:dyDescent="0.25">
      <c r="A2528" t="s">
        <v>83</v>
      </c>
    </row>
    <row r="2529" spans="1:11" x14ac:dyDescent="0.25">
      <c r="A2529">
        <v>421</v>
      </c>
      <c r="B2529">
        <v>0</v>
      </c>
      <c r="C2529">
        <v>0.16197685849343199</v>
      </c>
      <c r="D2529">
        <v>31.211679943710099</v>
      </c>
      <c r="E2529">
        <v>6</v>
      </c>
      <c r="F2529">
        <v>1.01722196789785</v>
      </c>
      <c r="G2529" t="s">
        <v>84</v>
      </c>
      <c r="H2529" t="s">
        <v>81</v>
      </c>
      <c r="I2529">
        <v>401</v>
      </c>
      <c r="J2529">
        <v>0</v>
      </c>
      <c r="K2529">
        <v>0</v>
      </c>
    </row>
    <row r="2530" spans="1:11" x14ac:dyDescent="0.25">
      <c r="A2530" t="s">
        <v>82</v>
      </c>
    </row>
    <row r="2531" spans="1:11" x14ac:dyDescent="0.25">
      <c r="A2531">
        <v>122.82371881860099</v>
      </c>
      <c r="B2531">
        <v>127.712629567088</v>
      </c>
      <c r="C2531">
        <v>2000</v>
      </c>
    </row>
    <row r="2532" spans="1:11" x14ac:dyDescent="0.25">
      <c r="A2532">
        <v>122.708055763831</v>
      </c>
      <c r="B2532">
        <v>127.59696651231801</v>
      </c>
      <c r="C2532">
        <v>2000</v>
      </c>
    </row>
    <row r="2533" spans="1:11" x14ac:dyDescent="0.25">
      <c r="A2533">
        <v>122.271039739382</v>
      </c>
      <c r="B2533">
        <v>128.03398253676701</v>
      </c>
      <c r="C2533">
        <v>2001</v>
      </c>
    </row>
    <row r="2534" spans="1:11" x14ac:dyDescent="0.25">
      <c r="A2534">
        <v>122.384446554684</v>
      </c>
      <c r="B2534">
        <v>128.14738935206901</v>
      </c>
      <c r="C2534">
        <v>2001</v>
      </c>
    </row>
    <row r="2535" spans="1:11" x14ac:dyDescent="0.25">
      <c r="A2535">
        <v>144.23705720261501</v>
      </c>
      <c r="B2535">
        <v>150</v>
      </c>
      <c r="C2535">
        <v>2001</v>
      </c>
    </row>
    <row r="2536" spans="1:11" x14ac:dyDescent="0.25">
      <c r="A2536">
        <v>145.11108925151299</v>
      </c>
      <c r="B2536">
        <v>150</v>
      </c>
      <c r="C2536">
        <v>2000</v>
      </c>
    </row>
    <row r="2537" spans="1:11" x14ac:dyDescent="0.25">
      <c r="A2537" t="s">
        <v>83</v>
      </c>
    </row>
    <row r="2538" spans="1:11" x14ac:dyDescent="0.25">
      <c r="A2538">
        <v>251</v>
      </c>
      <c r="B2538">
        <v>0</v>
      </c>
      <c r="C2538">
        <v>4.9479393260277504</v>
      </c>
      <c r="D2538">
        <v>26.384232463526001</v>
      </c>
      <c r="E2538">
        <v>6</v>
      </c>
      <c r="F2538">
        <v>1.5707963267949001</v>
      </c>
      <c r="G2538" t="s">
        <v>84</v>
      </c>
      <c r="H2538" t="s">
        <v>84</v>
      </c>
      <c r="I2538">
        <v>244</v>
      </c>
      <c r="J2538">
        <v>746</v>
      </c>
      <c r="K2538">
        <v>0</v>
      </c>
    </row>
    <row r="2539" spans="1:11" x14ac:dyDescent="0.25">
      <c r="A2539" t="s">
        <v>82</v>
      </c>
    </row>
    <row r="2540" spans="1:11" x14ac:dyDescent="0.25">
      <c r="A2540">
        <v>103.591328802794</v>
      </c>
      <c r="B2540">
        <v>22.434004790817401</v>
      </c>
      <c r="C2540">
        <v>2000</v>
      </c>
    </row>
    <row r="2541" spans="1:11" x14ac:dyDescent="0.25">
      <c r="A2541">
        <v>100.09260735246001</v>
      </c>
      <c r="B2541">
        <v>18.935283340483601</v>
      </c>
      <c r="C2541">
        <v>2000</v>
      </c>
    </row>
    <row r="2542" spans="1:11" x14ac:dyDescent="0.25">
      <c r="A2542">
        <v>100.09260735246001</v>
      </c>
      <c r="B2542">
        <v>18.935283340483601</v>
      </c>
      <c r="C2542">
        <v>2001</v>
      </c>
    </row>
    <row r="2543" spans="1:11" x14ac:dyDescent="0.25">
      <c r="A2543">
        <v>103.591328802794</v>
      </c>
      <c r="B2543">
        <v>22.434004790817401</v>
      </c>
      <c r="C2543">
        <v>2001</v>
      </c>
    </row>
    <row r="2544" spans="1:11" x14ac:dyDescent="0.25">
      <c r="A2544">
        <v>122.24779849415501</v>
      </c>
      <c r="B2544">
        <v>41.090474482178898</v>
      </c>
      <c r="C2544">
        <v>2001</v>
      </c>
    </row>
    <row r="2545" spans="1:11" x14ac:dyDescent="0.25">
      <c r="A2545">
        <v>122.24779849415501</v>
      </c>
      <c r="B2545">
        <v>41.090474482178898</v>
      </c>
      <c r="C2545">
        <v>2000</v>
      </c>
    </row>
    <row r="2546" spans="1:11" x14ac:dyDescent="0.25">
      <c r="A2546" t="s">
        <v>83</v>
      </c>
    </row>
    <row r="2547" spans="1:11" x14ac:dyDescent="0.25">
      <c r="A2547">
        <v>271</v>
      </c>
      <c r="B2547">
        <v>0</v>
      </c>
      <c r="C2547">
        <v>10.0855063785813</v>
      </c>
      <c r="D2547">
        <v>21.246665410972401</v>
      </c>
      <c r="E2547">
        <v>6</v>
      </c>
      <c r="F2547">
        <v>1.01722196789785</v>
      </c>
      <c r="G2547" t="s">
        <v>84</v>
      </c>
      <c r="H2547" t="s">
        <v>84</v>
      </c>
      <c r="I2547">
        <v>244</v>
      </c>
      <c r="J2547">
        <v>746</v>
      </c>
      <c r="K2547">
        <v>0</v>
      </c>
    </row>
    <row r="2548" spans="1:11" x14ac:dyDescent="0.25">
      <c r="A2548" t="s">
        <v>82</v>
      </c>
    </row>
    <row r="2549" spans="1:11" x14ac:dyDescent="0.25">
      <c r="A2549">
        <v>107.95651628447099</v>
      </c>
      <c r="B2549">
        <v>25.3344343124628</v>
      </c>
      <c r="C2549">
        <v>2000</v>
      </c>
    </row>
    <row r="2550" spans="1:11" x14ac:dyDescent="0.25">
      <c r="A2550">
        <v>100.824986332476</v>
      </c>
      <c r="B2550">
        <v>18.202904360467802</v>
      </c>
      <c r="C2550">
        <v>2000</v>
      </c>
    </row>
    <row r="2551" spans="1:11" x14ac:dyDescent="0.25">
      <c r="A2551">
        <v>100.38797030802699</v>
      </c>
      <c r="B2551">
        <v>18.6399203849166</v>
      </c>
      <c r="C2551">
        <v>2001</v>
      </c>
    </row>
    <row r="2552" spans="1:11" x14ac:dyDescent="0.25">
      <c r="A2552">
        <v>107.519500260022</v>
      </c>
      <c r="B2552">
        <v>25.771450336911599</v>
      </c>
      <c r="C2552">
        <v>2001</v>
      </c>
    </row>
    <row r="2553" spans="1:11" x14ac:dyDescent="0.25">
      <c r="A2553">
        <v>122.54316144972201</v>
      </c>
      <c r="B2553">
        <v>40.795111526611898</v>
      </c>
      <c r="C2553">
        <v>2001</v>
      </c>
    </row>
    <row r="2554" spans="1:11" x14ac:dyDescent="0.25">
      <c r="A2554">
        <v>122.980177474171</v>
      </c>
      <c r="B2554">
        <v>40.358095502163103</v>
      </c>
      <c r="C2554">
        <v>2000</v>
      </c>
    </row>
    <row r="2555" spans="1:11" x14ac:dyDescent="0.25">
      <c r="A2555" t="s">
        <v>83</v>
      </c>
    </row>
    <row r="2556" spans="1:11" x14ac:dyDescent="0.25">
      <c r="A2556">
        <v>583</v>
      </c>
      <c r="B2556">
        <v>0</v>
      </c>
      <c r="C2556">
        <v>22.196936230969602</v>
      </c>
      <c r="D2556">
        <v>8.7457546558118207</v>
      </c>
      <c r="E2556">
        <v>6</v>
      </c>
      <c r="F2556">
        <v>1.01722196789785</v>
      </c>
      <c r="G2556" t="s">
        <v>84</v>
      </c>
      <c r="H2556" t="s">
        <v>81</v>
      </c>
      <c r="I2556">
        <v>565</v>
      </c>
      <c r="J2556">
        <v>0</v>
      </c>
      <c r="K2556">
        <v>0</v>
      </c>
    </row>
    <row r="2557" spans="1:11" x14ac:dyDescent="0.25">
      <c r="A2557" t="s">
        <v>82</v>
      </c>
    </row>
    <row r="2558" spans="1:11" x14ac:dyDescent="0.25">
      <c r="A2558">
        <v>36.172083727281297</v>
      </c>
      <c r="B2558">
        <v>143.87757747532299</v>
      </c>
      <c r="C2558">
        <v>2000</v>
      </c>
    </row>
    <row r="2559" spans="1:11" x14ac:dyDescent="0.25">
      <c r="A2559">
        <v>20.633227709980101</v>
      </c>
      <c r="B2559">
        <v>128.33872145802201</v>
      </c>
      <c r="C2559">
        <v>2000</v>
      </c>
    </row>
    <row r="2560" spans="1:11" x14ac:dyDescent="0.25">
      <c r="A2560">
        <v>21.070243734428999</v>
      </c>
      <c r="B2560">
        <v>127.901705433573</v>
      </c>
      <c r="C2560">
        <v>2001</v>
      </c>
    </row>
    <row r="2561" spans="1:11" x14ac:dyDescent="0.25">
      <c r="A2561">
        <v>36.9225959780957</v>
      </c>
      <c r="B2561">
        <v>143.75405767724001</v>
      </c>
      <c r="C2561">
        <v>2001</v>
      </c>
    </row>
    <row r="2562" spans="1:11" x14ac:dyDescent="0.25">
      <c r="A2562">
        <v>43.168538300855701</v>
      </c>
      <c r="B2562">
        <v>150</v>
      </c>
      <c r="C2562">
        <v>2001</v>
      </c>
    </row>
    <row r="2563" spans="1:11" x14ac:dyDescent="0.25">
      <c r="A2563">
        <v>42.294506251958097</v>
      </c>
      <c r="B2563">
        <v>150</v>
      </c>
      <c r="C2563">
        <v>2000</v>
      </c>
    </row>
    <row r="2564" spans="1:11" x14ac:dyDescent="0.25">
      <c r="A2564" t="s">
        <v>83</v>
      </c>
    </row>
    <row r="2565" spans="1:11" x14ac:dyDescent="0.25">
      <c r="A2565">
        <v>586</v>
      </c>
      <c r="B2565">
        <v>0</v>
      </c>
      <c r="C2565">
        <v>12.8726765664059</v>
      </c>
      <c r="D2565">
        <v>17.9149093573625</v>
      </c>
      <c r="E2565">
        <v>6</v>
      </c>
      <c r="F2565">
        <v>1.01722196789785</v>
      </c>
      <c r="G2565" t="s">
        <v>81</v>
      </c>
      <c r="H2565" t="s">
        <v>81</v>
      </c>
      <c r="I2565">
        <v>0</v>
      </c>
      <c r="J2565">
        <v>0</v>
      </c>
      <c r="K2565">
        <v>0</v>
      </c>
    </row>
    <row r="2566" spans="1:11" x14ac:dyDescent="0.25">
      <c r="A2566" t="s">
        <v>82</v>
      </c>
    </row>
    <row r="2567" spans="1:11" x14ac:dyDescent="0.25">
      <c r="A2567">
        <v>9.2850787837033302</v>
      </c>
      <c r="B2567">
        <v>137.07795197619399</v>
      </c>
      <c r="C2567">
        <v>2000</v>
      </c>
    </row>
    <row r="2568" spans="1:11" x14ac:dyDescent="0.25">
      <c r="A2568">
        <v>0</v>
      </c>
      <c r="B2568">
        <v>127.792873192491</v>
      </c>
      <c r="C2568">
        <v>2000</v>
      </c>
    </row>
    <row r="2569" spans="1:11" x14ac:dyDescent="0.25">
      <c r="A2569">
        <v>0</v>
      </c>
      <c r="B2569">
        <v>128.666905241389</v>
      </c>
      <c r="C2569">
        <v>2001</v>
      </c>
    </row>
    <row r="2570" spans="1:11" x14ac:dyDescent="0.25">
      <c r="A2570">
        <v>8.9196350005502403</v>
      </c>
      <c r="B2570">
        <v>137.58654024193899</v>
      </c>
      <c r="C2570">
        <v>2001</v>
      </c>
    </row>
    <row r="2571" spans="1:11" x14ac:dyDescent="0.25">
      <c r="A2571">
        <v>21.333094758611299</v>
      </c>
      <c r="B2571">
        <v>150</v>
      </c>
      <c r="C2571">
        <v>2001</v>
      </c>
    </row>
    <row r="2572" spans="1:11" x14ac:dyDescent="0.25">
      <c r="A2572">
        <v>22.207126807508999</v>
      </c>
      <c r="B2572">
        <v>150</v>
      </c>
      <c r="C2572">
        <v>2000</v>
      </c>
    </row>
    <row r="2573" spans="1:11" x14ac:dyDescent="0.25">
      <c r="A2573" t="s">
        <v>83</v>
      </c>
    </row>
    <row r="2574" spans="1:11" x14ac:dyDescent="0.25">
      <c r="A2574">
        <v>645</v>
      </c>
      <c r="B2574">
        <v>0</v>
      </c>
      <c r="C2574">
        <v>23.6626938764188</v>
      </c>
      <c r="D2574">
        <v>7.0347365481855801</v>
      </c>
      <c r="E2574">
        <v>8</v>
      </c>
      <c r="F2574">
        <v>1.5707963267949001</v>
      </c>
      <c r="G2574" t="s">
        <v>84</v>
      </c>
      <c r="H2574" t="s">
        <v>84</v>
      </c>
      <c r="I2574">
        <v>25</v>
      </c>
      <c r="J2574">
        <v>109</v>
      </c>
      <c r="K2574">
        <v>0</v>
      </c>
    </row>
    <row r="2575" spans="1:11" x14ac:dyDescent="0.25">
      <c r="A2575" t="s">
        <v>82</v>
      </c>
    </row>
    <row r="2576" spans="1:11" x14ac:dyDescent="0.25">
      <c r="A2576">
        <v>37.683090247531901</v>
      </c>
      <c r="B2576">
        <v>66.093154969202899</v>
      </c>
      <c r="C2576">
        <v>2000</v>
      </c>
    </row>
    <row r="2577" spans="1:11" x14ac:dyDescent="0.25">
      <c r="A2577">
        <v>21.589935278329001</v>
      </c>
      <c r="B2577">
        <v>50</v>
      </c>
      <c r="C2577">
        <v>2000</v>
      </c>
    </row>
    <row r="2578" spans="1:11" x14ac:dyDescent="0.25">
      <c r="A2578">
        <v>20.951038946374801</v>
      </c>
      <c r="B2578">
        <v>49.3611036680458</v>
      </c>
      <c r="C2578">
        <v>2000</v>
      </c>
    </row>
    <row r="2579" spans="1:11" x14ac:dyDescent="0.25">
      <c r="A2579">
        <v>20.951038946374801</v>
      </c>
      <c r="B2579">
        <v>49.3611036680458</v>
      </c>
      <c r="C2579">
        <v>2001</v>
      </c>
    </row>
    <row r="2580" spans="1:11" x14ac:dyDescent="0.25">
      <c r="A2580">
        <v>21.589935278329001</v>
      </c>
      <c r="B2580">
        <v>50</v>
      </c>
      <c r="C2580">
        <v>2001</v>
      </c>
    </row>
    <row r="2581" spans="1:11" x14ac:dyDescent="0.25">
      <c r="A2581">
        <v>37.683090247531901</v>
      </c>
      <c r="B2581">
        <v>66.093154969202899</v>
      </c>
      <c r="C2581">
        <v>2001</v>
      </c>
    </row>
    <row r="2582" spans="1:11" x14ac:dyDescent="0.25">
      <c r="A2582">
        <v>42.657400164614799</v>
      </c>
      <c r="B2582">
        <v>71.067464886285705</v>
      </c>
      <c r="C2582">
        <v>2001</v>
      </c>
    </row>
    <row r="2583" spans="1:11" x14ac:dyDescent="0.25">
      <c r="A2583">
        <v>42.657400164614799</v>
      </c>
      <c r="B2583">
        <v>71.067464886285705</v>
      </c>
      <c r="C2583">
        <v>2000</v>
      </c>
    </row>
    <row r="2584" spans="1:11" x14ac:dyDescent="0.25">
      <c r="A2584" t="s">
        <v>83</v>
      </c>
    </row>
    <row r="2585" spans="1:11" x14ac:dyDescent="0.25">
      <c r="A2585">
        <v>23</v>
      </c>
      <c r="B2585">
        <v>0</v>
      </c>
      <c r="C2585">
        <v>5.4503094905039902</v>
      </c>
      <c r="D2585">
        <v>24.9175358324845</v>
      </c>
      <c r="E2585">
        <v>6</v>
      </c>
      <c r="F2585">
        <v>1.01722196789785</v>
      </c>
      <c r="G2585" t="s">
        <v>84</v>
      </c>
      <c r="H2585" t="s">
        <v>84</v>
      </c>
      <c r="I2585">
        <v>22</v>
      </c>
      <c r="J2585">
        <v>85</v>
      </c>
      <c r="K2585">
        <v>0</v>
      </c>
    </row>
    <row r="2586" spans="1:11" x14ac:dyDescent="0.25">
      <c r="A2586" t="s">
        <v>82</v>
      </c>
    </row>
    <row r="2587" spans="1:11" x14ac:dyDescent="0.25">
      <c r="A2587">
        <v>29.293146141471102</v>
      </c>
      <c r="B2587">
        <v>31.295479146440101</v>
      </c>
      <c r="C2587">
        <v>2000</v>
      </c>
    </row>
    <row r="2588" spans="1:11" x14ac:dyDescent="0.25">
      <c r="A2588">
        <v>25.4391953411704</v>
      </c>
      <c r="B2588">
        <v>27.4415283461393</v>
      </c>
      <c r="C2588">
        <v>2000</v>
      </c>
    </row>
    <row r="2589" spans="1:11" x14ac:dyDescent="0.25">
      <c r="A2589">
        <v>25.002179316721499</v>
      </c>
      <c r="B2589">
        <v>27.878544370588099</v>
      </c>
      <c r="C2589">
        <v>2001</v>
      </c>
    </row>
    <row r="2590" spans="1:11" x14ac:dyDescent="0.25">
      <c r="A2590">
        <v>28.8561301170223</v>
      </c>
      <c r="B2590">
        <v>31.7324951708889</v>
      </c>
      <c r="C2590">
        <v>2001</v>
      </c>
    </row>
    <row r="2591" spans="1:11" x14ac:dyDescent="0.25">
      <c r="A2591">
        <v>46.475488674630903</v>
      </c>
      <c r="B2591">
        <v>49.351853728497403</v>
      </c>
      <c r="C2591">
        <v>2001</v>
      </c>
    </row>
    <row r="2592" spans="1:11" x14ac:dyDescent="0.25">
      <c r="A2592">
        <v>46.912504699079697</v>
      </c>
      <c r="B2592">
        <v>48.914837704048601</v>
      </c>
      <c r="C2592">
        <v>2000</v>
      </c>
    </row>
    <row r="2593" spans="1:11" x14ac:dyDescent="0.25">
      <c r="A2593" t="s">
        <v>83</v>
      </c>
    </row>
    <row r="2594" spans="1:11" x14ac:dyDescent="0.25">
      <c r="A2594">
        <v>676</v>
      </c>
      <c r="B2594">
        <v>0</v>
      </c>
      <c r="C2594">
        <v>8.9300262802872208</v>
      </c>
      <c r="D2594">
        <v>21.237940571506101</v>
      </c>
      <c r="E2594">
        <v>6</v>
      </c>
      <c r="F2594">
        <v>1.01722196789785</v>
      </c>
      <c r="G2594" t="s">
        <v>84</v>
      </c>
      <c r="H2594" t="s">
        <v>84</v>
      </c>
      <c r="I2594">
        <v>25</v>
      </c>
      <c r="J2594">
        <v>354</v>
      </c>
      <c r="K2594">
        <v>0</v>
      </c>
    </row>
    <row r="2595" spans="1:11" x14ac:dyDescent="0.25">
      <c r="A2595" t="s">
        <v>82</v>
      </c>
    </row>
    <row r="2596" spans="1:11" x14ac:dyDescent="0.25">
      <c r="A2596">
        <v>26.997766706621299</v>
      </c>
      <c r="B2596">
        <v>56.6921147511814</v>
      </c>
      <c r="C2596">
        <v>2000</v>
      </c>
    </row>
    <row r="2597" spans="1:11" x14ac:dyDescent="0.25">
      <c r="A2597">
        <v>20.683284567656202</v>
      </c>
      <c r="B2597">
        <v>50.377632612216303</v>
      </c>
      <c r="C2597">
        <v>2000</v>
      </c>
    </row>
    <row r="2598" spans="1:11" x14ac:dyDescent="0.25">
      <c r="A2598">
        <v>20.2462685432073</v>
      </c>
      <c r="B2598">
        <v>50.814648636665098</v>
      </c>
      <c r="C2598">
        <v>2001</v>
      </c>
    </row>
    <row r="2599" spans="1:11" x14ac:dyDescent="0.25">
      <c r="A2599">
        <v>26.5607506821725</v>
      </c>
      <c r="B2599">
        <v>57.129130775630301</v>
      </c>
      <c r="C2599">
        <v>2001</v>
      </c>
    </row>
    <row r="2600" spans="1:11" x14ac:dyDescent="0.25">
      <c r="A2600">
        <v>41.5782424787214</v>
      </c>
      <c r="B2600">
        <v>72.146622572179098</v>
      </c>
      <c r="C2600">
        <v>2001</v>
      </c>
    </row>
    <row r="2601" spans="1:11" x14ac:dyDescent="0.25">
      <c r="A2601">
        <v>42.015258503170202</v>
      </c>
      <c r="B2601">
        <v>71.709606547730303</v>
      </c>
      <c r="C2601">
        <v>2000</v>
      </c>
    </row>
    <row r="2602" spans="1:11" x14ac:dyDescent="0.25">
      <c r="A2602" t="s">
        <v>83</v>
      </c>
    </row>
    <row r="2603" spans="1:11" x14ac:dyDescent="0.25">
      <c r="A2603">
        <v>172</v>
      </c>
      <c r="B2603">
        <v>0</v>
      </c>
      <c r="C2603">
        <v>24.975973953879699</v>
      </c>
      <c r="D2603">
        <v>4.7254756843082601</v>
      </c>
      <c r="E2603">
        <v>8</v>
      </c>
      <c r="F2603">
        <v>1.5707963267949001</v>
      </c>
      <c r="G2603" t="s">
        <v>84</v>
      </c>
      <c r="H2603" t="s">
        <v>84</v>
      </c>
      <c r="I2603">
        <v>511</v>
      </c>
      <c r="J2603">
        <v>161</v>
      </c>
      <c r="K2603">
        <v>0</v>
      </c>
    </row>
    <row r="2604" spans="1:11" x14ac:dyDescent="0.25">
      <c r="A2604" t="s">
        <v>82</v>
      </c>
    </row>
    <row r="2605" spans="1:11" x14ac:dyDescent="0.25">
      <c r="A2605">
        <v>117.126574992261</v>
      </c>
      <c r="B2605">
        <v>78.246935551635403</v>
      </c>
      <c r="C2605">
        <v>2000</v>
      </c>
    </row>
    <row r="2606" spans="1:11" x14ac:dyDescent="0.25">
      <c r="A2606">
        <v>100</v>
      </c>
      <c r="B2606">
        <v>61.120360559374298</v>
      </c>
      <c r="C2606">
        <v>2000</v>
      </c>
    </row>
    <row r="2607" spans="1:11" x14ac:dyDescent="0.25">
      <c r="A2607">
        <v>99.465894442734296</v>
      </c>
      <c r="B2607">
        <v>60.586255002108501</v>
      </c>
      <c r="C2607">
        <v>2000</v>
      </c>
    </row>
    <row r="2608" spans="1:11" x14ac:dyDescent="0.25">
      <c r="A2608">
        <v>99.465894442734296</v>
      </c>
      <c r="B2608">
        <v>60.586255002108501</v>
      </c>
      <c r="C2608">
        <v>2001</v>
      </c>
    </row>
    <row r="2609" spans="1:11" x14ac:dyDescent="0.25">
      <c r="A2609">
        <v>100</v>
      </c>
      <c r="B2609">
        <v>61.120360559374298</v>
      </c>
      <c r="C2609">
        <v>2001</v>
      </c>
    </row>
    <row r="2610" spans="1:11" x14ac:dyDescent="0.25">
      <c r="A2610">
        <v>117.126574992261</v>
      </c>
      <c r="B2610">
        <v>78.246935551635403</v>
      </c>
      <c r="C2610">
        <v>2001</v>
      </c>
    </row>
    <row r="2611" spans="1:11" x14ac:dyDescent="0.25">
      <c r="A2611">
        <v>120.467990892968</v>
      </c>
      <c r="B2611">
        <v>81.588351452341897</v>
      </c>
      <c r="C2611">
        <v>2001</v>
      </c>
    </row>
    <row r="2612" spans="1:11" x14ac:dyDescent="0.25">
      <c r="A2612">
        <v>120.467990892968</v>
      </c>
      <c r="B2612">
        <v>81.588351452341897</v>
      </c>
      <c r="C2612">
        <v>2000</v>
      </c>
    </row>
    <row r="2613" spans="1:11" x14ac:dyDescent="0.25">
      <c r="A2613" t="s">
        <v>83</v>
      </c>
    </row>
    <row r="2614" spans="1:11" x14ac:dyDescent="0.25">
      <c r="A2614">
        <v>32</v>
      </c>
      <c r="B2614">
        <v>0</v>
      </c>
      <c r="C2614">
        <v>20.5793461935869</v>
      </c>
      <c r="D2614">
        <v>8.9199178639675303</v>
      </c>
      <c r="E2614">
        <v>6</v>
      </c>
      <c r="F2614">
        <v>1.01722196789785</v>
      </c>
      <c r="G2614" t="s">
        <v>81</v>
      </c>
      <c r="H2614" t="s">
        <v>84</v>
      </c>
      <c r="I2614">
        <v>0</v>
      </c>
      <c r="J2614">
        <v>16</v>
      </c>
      <c r="K2614">
        <v>0</v>
      </c>
    </row>
    <row r="2615" spans="1:11" x14ac:dyDescent="0.25">
      <c r="A2615" t="s">
        <v>82</v>
      </c>
    </row>
    <row r="2616" spans="1:11" x14ac:dyDescent="0.25">
      <c r="A2616">
        <v>14.7042313209155</v>
      </c>
      <c r="B2616">
        <v>41.718050431976302</v>
      </c>
      <c r="C2616">
        <v>2000</v>
      </c>
    </row>
    <row r="2617" spans="1:11" x14ac:dyDescent="0.25">
      <c r="A2617">
        <v>0</v>
      </c>
      <c r="B2617">
        <v>27.013819111060801</v>
      </c>
      <c r="C2617">
        <v>2000</v>
      </c>
    </row>
    <row r="2618" spans="1:11" x14ac:dyDescent="0.25">
      <c r="A2618">
        <v>0</v>
      </c>
      <c r="B2618">
        <v>27.887851159958501</v>
      </c>
      <c r="C2618">
        <v>2001</v>
      </c>
    </row>
    <row r="2619" spans="1:11" x14ac:dyDescent="0.25">
      <c r="A2619">
        <v>14.3993591708262</v>
      </c>
      <c r="B2619">
        <v>42.287210330784703</v>
      </c>
      <c r="C2619">
        <v>2001</v>
      </c>
    </row>
    <row r="2620" spans="1:11" x14ac:dyDescent="0.25">
      <c r="A2620">
        <v>20.640621642884899</v>
      </c>
      <c r="B2620">
        <v>48.528472802843403</v>
      </c>
      <c r="C2620">
        <v>2001</v>
      </c>
    </row>
    <row r="2621" spans="1:11" x14ac:dyDescent="0.25">
      <c r="A2621">
        <v>21.0776376673337</v>
      </c>
      <c r="B2621">
        <v>48.091456778394601</v>
      </c>
      <c r="C2621">
        <v>2000</v>
      </c>
    </row>
    <row r="2622" spans="1:11" x14ac:dyDescent="0.25">
      <c r="A2622" t="s">
        <v>83</v>
      </c>
    </row>
    <row r="2623" spans="1:11" x14ac:dyDescent="0.25">
      <c r="A2623">
        <v>270</v>
      </c>
      <c r="B2623">
        <v>0</v>
      </c>
      <c r="C2623">
        <v>19.168523837110801</v>
      </c>
      <c r="D2623">
        <v>10.108717249653401</v>
      </c>
      <c r="E2623">
        <v>6</v>
      </c>
      <c r="F2623">
        <v>1.01722196789785</v>
      </c>
      <c r="G2623" t="s">
        <v>81</v>
      </c>
      <c r="H2623" t="s">
        <v>84</v>
      </c>
      <c r="I2623">
        <v>0</v>
      </c>
      <c r="J2623">
        <v>276</v>
      </c>
      <c r="K2623">
        <v>0</v>
      </c>
    </row>
    <row r="2624" spans="1:11" x14ac:dyDescent="0.25">
      <c r="A2624" t="s">
        <v>82</v>
      </c>
    </row>
    <row r="2625" spans="1:11" x14ac:dyDescent="0.25">
      <c r="A2625">
        <v>130.57287338793699</v>
      </c>
      <c r="B2625">
        <v>13.6972557157625</v>
      </c>
      <c r="C2625">
        <v>2000</v>
      </c>
    </row>
    <row r="2626" spans="1:11" x14ac:dyDescent="0.25">
      <c r="A2626">
        <v>116.875617672175</v>
      </c>
      <c r="B2626">
        <v>0</v>
      </c>
      <c r="C2626">
        <v>2000</v>
      </c>
    </row>
    <row r="2627" spans="1:11" x14ac:dyDescent="0.25">
      <c r="A2627">
        <v>117.749649721072</v>
      </c>
      <c r="B2627">
        <v>0</v>
      </c>
      <c r="C2627">
        <v>2001</v>
      </c>
    </row>
    <row r="2628" spans="1:11" x14ac:dyDescent="0.25">
      <c r="A2628">
        <v>131.16078038642399</v>
      </c>
      <c r="B2628">
        <v>13.4111306653515</v>
      </c>
      <c r="C2628">
        <v>2001</v>
      </c>
    </row>
    <row r="2629" spans="1:11" x14ac:dyDescent="0.25">
      <c r="A2629">
        <v>138.233277415732</v>
      </c>
      <c r="B2629">
        <v>20.483627694659901</v>
      </c>
      <c r="C2629">
        <v>2001</v>
      </c>
    </row>
    <row r="2630" spans="1:11" x14ac:dyDescent="0.25">
      <c r="A2630">
        <v>137.796261391283</v>
      </c>
      <c r="B2630">
        <v>20.920643719108799</v>
      </c>
      <c r="C2630">
        <v>2000</v>
      </c>
    </row>
    <row r="2631" spans="1:11" x14ac:dyDescent="0.25">
      <c r="A2631" t="s">
        <v>83</v>
      </c>
    </row>
    <row r="2632" spans="1:11" x14ac:dyDescent="0.25">
      <c r="A2632">
        <v>257</v>
      </c>
      <c r="B2632">
        <v>0</v>
      </c>
      <c r="C2632">
        <v>9.4781022157471408</v>
      </c>
      <c r="D2632">
        <v>19.444094190291999</v>
      </c>
      <c r="E2632">
        <v>6</v>
      </c>
      <c r="F2632">
        <v>1.5707963267949001</v>
      </c>
      <c r="G2632" t="s">
        <v>84</v>
      </c>
      <c r="H2632" t="s">
        <v>81</v>
      </c>
      <c r="I2632">
        <v>256</v>
      </c>
      <c r="J2632">
        <v>0</v>
      </c>
      <c r="K2632">
        <v>0</v>
      </c>
    </row>
    <row r="2633" spans="1:11" x14ac:dyDescent="0.25">
      <c r="A2633" t="s">
        <v>82</v>
      </c>
    </row>
    <row r="2634" spans="1:11" x14ac:dyDescent="0.25">
      <c r="A2634">
        <v>136.25094914401501</v>
      </c>
      <c r="B2634">
        <v>14.6297017296914</v>
      </c>
      <c r="C2634">
        <v>2000</v>
      </c>
    </row>
    <row r="2635" spans="1:11" x14ac:dyDescent="0.25">
      <c r="A2635">
        <v>129.54891879448101</v>
      </c>
      <c r="B2635">
        <v>7.9276713801573804</v>
      </c>
      <c r="C2635">
        <v>2000</v>
      </c>
    </row>
    <row r="2636" spans="1:11" x14ac:dyDescent="0.25">
      <c r="A2636">
        <v>129.54891879448101</v>
      </c>
      <c r="B2636">
        <v>7.9276713801573804</v>
      </c>
      <c r="C2636">
        <v>2001</v>
      </c>
    </row>
    <row r="2637" spans="1:11" x14ac:dyDescent="0.25">
      <c r="A2637">
        <v>136.25094914401501</v>
      </c>
      <c r="B2637">
        <v>14.6297017296914</v>
      </c>
      <c r="C2637">
        <v>2001</v>
      </c>
    </row>
    <row r="2638" spans="1:11" x14ac:dyDescent="0.25">
      <c r="A2638">
        <v>150</v>
      </c>
      <c r="B2638">
        <v>28.3787525856768</v>
      </c>
      <c r="C2638">
        <v>2001</v>
      </c>
    </row>
    <row r="2639" spans="1:11" x14ac:dyDescent="0.25">
      <c r="A2639">
        <v>150</v>
      </c>
      <c r="B2639">
        <v>28.3787525856768</v>
      </c>
      <c r="C2639">
        <v>2000</v>
      </c>
    </row>
    <row r="2640" spans="1:11" x14ac:dyDescent="0.25">
      <c r="A2640" t="s">
        <v>83</v>
      </c>
    </row>
    <row r="2641" spans="1:11" x14ac:dyDescent="0.25">
      <c r="A2641">
        <v>177</v>
      </c>
      <c r="B2641">
        <v>0</v>
      </c>
      <c r="C2641">
        <v>28.744610905180799</v>
      </c>
      <c r="D2641">
        <v>0</v>
      </c>
      <c r="E2641">
        <v>7</v>
      </c>
      <c r="F2641">
        <v>1.5707963267949001</v>
      </c>
      <c r="G2641" t="s">
        <v>84</v>
      </c>
      <c r="H2641" t="s">
        <v>84</v>
      </c>
      <c r="I2641">
        <v>482</v>
      </c>
      <c r="J2641">
        <v>187</v>
      </c>
      <c r="K2641">
        <v>0</v>
      </c>
    </row>
    <row r="2642" spans="1:11" x14ac:dyDescent="0.25">
      <c r="A2642" t="s">
        <v>82</v>
      </c>
    </row>
    <row r="2643" spans="1:11" x14ac:dyDescent="0.25">
      <c r="A2643">
        <v>135.244006295802</v>
      </c>
      <c r="B2643">
        <v>69.999151884112095</v>
      </c>
      <c r="C2643">
        <v>2000</v>
      </c>
    </row>
    <row r="2644" spans="1:11" x14ac:dyDescent="0.25">
      <c r="A2644">
        <v>115.24485441169</v>
      </c>
      <c r="B2644">
        <v>50</v>
      </c>
      <c r="C2644">
        <v>2000</v>
      </c>
    </row>
    <row r="2645" spans="1:11" x14ac:dyDescent="0.25">
      <c r="A2645">
        <v>114.91849700218</v>
      </c>
      <c r="B2645">
        <v>49.673642590489997</v>
      </c>
      <c r="C2645">
        <v>2000</v>
      </c>
    </row>
    <row r="2646" spans="1:11" x14ac:dyDescent="0.25">
      <c r="A2646">
        <v>114.91849700218</v>
      </c>
      <c r="B2646">
        <v>49.673642590489997</v>
      </c>
      <c r="C2646">
        <v>2001</v>
      </c>
    </row>
    <row r="2647" spans="1:11" x14ac:dyDescent="0.25">
      <c r="A2647">
        <v>115.24485441169</v>
      </c>
      <c r="B2647">
        <v>50</v>
      </c>
      <c r="C2647">
        <v>2001</v>
      </c>
    </row>
    <row r="2648" spans="1:11" x14ac:dyDescent="0.25">
      <c r="A2648">
        <v>135.244006295802</v>
      </c>
      <c r="B2648">
        <v>69.999151884112095</v>
      </c>
      <c r="C2648">
        <v>2001</v>
      </c>
    </row>
    <row r="2649" spans="1:11" x14ac:dyDescent="0.25">
      <c r="A2649">
        <v>135.244006295802</v>
      </c>
      <c r="B2649">
        <v>69.999151884112095</v>
      </c>
      <c r="C2649">
        <v>2000</v>
      </c>
    </row>
    <row r="2650" spans="1:11" x14ac:dyDescent="0.25">
      <c r="A2650" t="s">
        <v>83</v>
      </c>
    </row>
    <row r="2651" spans="1:11" x14ac:dyDescent="0.25">
      <c r="A2651">
        <v>336</v>
      </c>
      <c r="B2651">
        <v>0</v>
      </c>
      <c r="C2651">
        <v>9.6539266667502908</v>
      </c>
      <c r="D2651">
        <v>18.9216194324671</v>
      </c>
      <c r="E2651">
        <v>8</v>
      </c>
      <c r="F2651">
        <v>1.5707963267949001</v>
      </c>
      <c r="G2651" t="s">
        <v>84</v>
      </c>
      <c r="H2651" t="s">
        <v>81</v>
      </c>
      <c r="I2651">
        <v>594</v>
      </c>
      <c r="J2651">
        <v>0</v>
      </c>
      <c r="K2651">
        <v>0</v>
      </c>
    </row>
    <row r="2652" spans="1:11" x14ac:dyDescent="0.25">
      <c r="A2652" t="s">
        <v>82</v>
      </c>
    </row>
    <row r="2653" spans="1:11" x14ac:dyDescent="0.25">
      <c r="A2653">
        <v>56.452889545565903</v>
      </c>
      <c r="B2653">
        <v>136.62039458827101</v>
      </c>
      <c r="C2653">
        <v>2000</v>
      </c>
    </row>
    <row r="2654" spans="1:11" x14ac:dyDescent="0.25">
      <c r="A2654">
        <v>50</v>
      </c>
      <c r="B2654">
        <v>130.16750504270601</v>
      </c>
      <c r="C2654">
        <v>2000</v>
      </c>
    </row>
    <row r="2655" spans="1:11" x14ac:dyDescent="0.25">
      <c r="A2655">
        <v>49.626532534429103</v>
      </c>
      <c r="B2655">
        <v>129.79403757713499</v>
      </c>
      <c r="C2655">
        <v>2000</v>
      </c>
    </row>
    <row r="2656" spans="1:11" x14ac:dyDescent="0.25">
      <c r="A2656">
        <v>49.626532534429103</v>
      </c>
      <c r="B2656">
        <v>129.79403757713499</v>
      </c>
      <c r="C2656">
        <v>2001</v>
      </c>
    </row>
    <row r="2657" spans="1:11" x14ac:dyDescent="0.25">
      <c r="A2657">
        <v>50</v>
      </c>
      <c r="B2657">
        <v>130.16750504270601</v>
      </c>
      <c r="C2657">
        <v>2001</v>
      </c>
    </row>
    <row r="2658" spans="1:11" x14ac:dyDescent="0.25">
      <c r="A2658">
        <v>56.452889545565903</v>
      </c>
      <c r="B2658">
        <v>136.62039458827101</v>
      </c>
      <c r="C2658">
        <v>2001</v>
      </c>
    </row>
    <row r="2659" spans="1:11" x14ac:dyDescent="0.25">
      <c r="A2659">
        <v>69.8324949572945</v>
      </c>
      <c r="B2659">
        <v>150</v>
      </c>
      <c r="C2659">
        <v>2001</v>
      </c>
    </row>
    <row r="2660" spans="1:11" x14ac:dyDescent="0.25">
      <c r="A2660">
        <v>69.8324949572945</v>
      </c>
      <c r="B2660">
        <v>150</v>
      </c>
      <c r="C2660">
        <v>2000</v>
      </c>
    </row>
    <row r="2661" spans="1:11" x14ac:dyDescent="0.25">
      <c r="A2661" t="s">
        <v>83</v>
      </c>
    </row>
    <row r="2662" spans="1:11" x14ac:dyDescent="0.25">
      <c r="A2662">
        <v>656</v>
      </c>
      <c r="B2662">
        <v>0</v>
      </c>
      <c r="C2662">
        <v>15.685837480948299</v>
      </c>
      <c r="D2662">
        <v>12.7929261185167</v>
      </c>
      <c r="E2662">
        <v>8</v>
      </c>
      <c r="F2662">
        <v>1.5707963267949001</v>
      </c>
      <c r="G2662" t="s">
        <v>81</v>
      </c>
      <c r="H2662" t="s">
        <v>84</v>
      </c>
      <c r="I2662">
        <v>0</v>
      </c>
      <c r="J2662">
        <v>594</v>
      </c>
      <c r="K2662">
        <v>0</v>
      </c>
    </row>
    <row r="2663" spans="1:11" x14ac:dyDescent="0.25">
      <c r="A2663" t="s">
        <v>82</v>
      </c>
    </row>
    <row r="2664" spans="1:11" x14ac:dyDescent="0.25">
      <c r="A2664">
        <v>11.091562051368699</v>
      </c>
      <c r="B2664">
        <v>91.395938217824295</v>
      </c>
      <c r="C2664">
        <v>2000</v>
      </c>
    </row>
    <row r="2665" spans="1:11" x14ac:dyDescent="0.25">
      <c r="A2665">
        <v>0</v>
      </c>
      <c r="B2665">
        <v>80.304376166455597</v>
      </c>
      <c r="C2665">
        <v>2000</v>
      </c>
    </row>
    <row r="2666" spans="1:11" x14ac:dyDescent="0.25">
      <c r="A2666">
        <v>0</v>
      </c>
      <c r="B2666">
        <v>80.304376166455597</v>
      </c>
      <c r="C2666">
        <v>2001</v>
      </c>
    </row>
    <row r="2667" spans="1:11" x14ac:dyDescent="0.25">
      <c r="A2667">
        <v>11.091562051368699</v>
      </c>
      <c r="B2667">
        <v>91.395938217824295</v>
      </c>
      <c r="C2667">
        <v>2001</v>
      </c>
    </row>
    <row r="2668" spans="1:11" x14ac:dyDescent="0.25">
      <c r="A2668">
        <v>19.695623833544399</v>
      </c>
      <c r="B2668">
        <v>100</v>
      </c>
      <c r="C2668">
        <v>2001</v>
      </c>
    </row>
    <row r="2669" spans="1:11" x14ac:dyDescent="0.25">
      <c r="A2669">
        <v>20.137526860990299</v>
      </c>
      <c r="B2669">
        <v>100.441903027446</v>
      </c>
      <c r="C2669">
        <v>2001</v>
      </c>
    </row>
    <row r="2670" spans="1:11" x14ac:dyDescent="0.25">
      <c r="A2670">
        <v>20.137526860990299</v>
      </c>
      <c r="B2670">
        <v>100.441903027446</v>
      </c>
      <c r="C2670">
        <v>2000</v>
      </c>
    </row>
    <row r="2671" spans="1:11" x14ac:dyDescent="0.25">
      <c r="A2671">
        <v>19.695623833544399</v>
      </c>
      <c r="B2671">
        <v>100</v>
      </c>
      <c r="C2671">
        <v>2000</v>
      </c>
    </row>
    <row r="2672" spans="1:11" x14ac:dyDescent="0.25">
      <c r="A2672" t="s">
        <v>83</v>
      </c>
    </row>
    <row r="2673" spans="1:11" x14ac:dyDescent="0.25">
      <c r="A2673">
        <v>492</v>
      </c>
      <c r="B2673">
        <v>0</v>
      </c>
      <c r="C2673">
        <v>24.269936631523201</v>
      </c>
      <c r="D2673">
        <v>4.1709832498165902</v>
      </c>
      <c r="E2673">
        <v>8</v>
      </c>
      <c r="F2673">
        <v>1.5707963267949001</v>
      </c>
      <c r="G2673" t="s">
        <v>81</v>
      </c>
      <c r="H2673" t="s">
        <v>84</v>
      </c>
      <c r="I2673">
        <v>0</v>
      </c>
      <c r="J2673">
        <v>489</v>
      </c>
      <c r="K2673">
        <v>0</v>
      </c>
    </row>
    <row r="2674" spans="1:11" x14ac:dyDescent="0.25">
      <c r="A2674" t="s">
        <v>82</v>
      </c>
    </row>
    <row r="2675" spans="1:11" x14ac:dyDescent="0.25">
      <c r="A2675">
        <v>51.8567214612182</v>
      </c>
      <c r="B2675">
        <v>17.161436771117799</v>
      </c>
      <c r="C2675">
        <v>2000</v>
      </c>
    </row>
    <row r="2676" spans="1:11" x14ac:dyDescent="0.25">
      <c r="A2676">
        <v>50</v>
      </c>
      <c r="B2676">
        <v>15.304715309899599</v>
      </c>
      <c r="C2676">
        <v>2000</v>
      </c>
    </row>
    <row r="2677" spans="1:11" x14ac:dyDescent="0.25">
      <c r="A2677">
        <v>34.695284690100301</v>
      </c>
      <c r="B2677">
        <v>0</v>
      </c>
      <c r="C2677">
        <v>2000</v>
      </c>
    </row>
    <row r="2678" spans="1:11" x14ac:dyDescent="0.25">
      <c r="A2678">
        <v>34.695284690100301</v>
      </c>
      <c r="B2678">
        <v>0</v>
      </c>
      <c r="C2678">
        <v>2001</v>
      </c>
    </row>
    <row r="2679" spans="1:11" x14ac:dyDescent="0.25">
      <c r="A2679">
        <v>50</v>
      </c>
      <c r="B2679">
        <v>15.304715309899599</v>
      </c>
      <c r="C2679">
        <v>2001</v>
      </c>
    </row>
    <row r="2680" spans="1:11" x14ac:dyDescent="0.25">
      <c r="A2680">
        <v>51.8567214612182</v>
      </c>
      <c r="B2680">
        <v>17.161436771117799</v>
      </c>
      <c r="C2680">
        <v>2001</v>
      </c>
    </row>
    <row r="2681" spans="1:11" x14ac:dyDescent="0.25">
      <c r="A2681">
        <v>54.806052001379001</v>
      </c>
      <c r="B2681">
        <v>20.1107673112786</v>
      </c>
      <c r="C2681">
        <v>2001</v>
      </c>
    </row>
    <row r="2682" spans="1:11" x14ac:dyDescent="0.25">
      <c r="A2682">
        <v>54.806052001379001</v>
      </c>
      <c r="B2682">
        <v>20.1107673112786</v>
      </c>
      <c r="C2682">
        <v>2000</v>
      </c>
    </row>
    <row r="2683" spans="1:11" x14ac:dyDescent="0.25">
      <c r="A2683" t="s">
        <v>83</v>
      </c>
    </row>
    <row r="2684" spans="1:11" x14ac:dyDescent="0.25">
      <c r="A2684">
        <v>417</v>
      </c>
      <c r="B2684">
        <v>0</v>
      </c>
      <c r="C2684">
        <v>0</v>
      </c>
      <c r="D2684">
        <v>28.218994346752201</v>
      </c>
      <c r="E2684">
        <v>4</v>
      </c>
      <c r="F2684">
        <v>1.5707963267949001</v>
      </c>
      <c r="G2684" t="s">
        <v>84</v>
      </c>
      <c r="H2684" t="s">
        <v>84</v>
      </c>
      <c r="I2684">
        <v>721</v>
      </c>
      <c r="J2684">
        <v>416</v>
      </c>
      <c r="K2684">
        <v>0</v>
      </c>
    </row>
    <row r="2685" spans="1:11" x14ac:dyDescent="0.25">
      <c r="A2685" t="s">
        <v>82</v>
      </c>
    </row>
    <row r="2686" spans="1:11" x14ac:dyDescent="0.25">
      <c r="A2686">
        <v>129.69596018302099</v>
      </c>
      <c r="B2686">
        <v>103.264024261508</v>
      </c>
      <c r="C2686">
        <v>2000</v>
      </c>
    </row>
    <row r="2687" spans="1:11" x14ac:dyDescent="0.25">
      <c r="A2687">
        <v>129.69596018302099</v>
      </c>
      <c r="B2687">
        <v>103.264024261508</v>
      </c>
      <c r="C2687">
        <v>2001</v>
      </c>
    </row>
    <row r="2688" spans="1:11" x14ac:dyDescent="0.25">
      <c r="A2688">
        <v>149.64980244387399</v>
      </c>
      <c r="B2688">
        <v>123.21786652236101</v>
      </c>
      <c r="C2688">
        <v>2001</v>
      </c>
    </row>
    <row r="2689" spans="1:11" x14ac:dyDescent="0.25">
      <c r="A2689">
        <v>149.64980244387399</v>
      </c>
      <c r="B2689">
        <v>123.21786652236101</v>
      </c>
      <c r="C2689">
        <v>2000</v>
      </c>
    </row>
    <row r="2690" spans="1:11" x14ac:dyDescent="0.25">
      <c r="A2690" t="s">
        <v>83</v>
      </c>
    </row>
    <row r="2691" spans="1:11" x14ac:dyDescent="0.25">
      <c r="A2691">
        <v>749</v>
      </c>
      <c r="B2691">
        <v>0</v>
      </c>
      <c r="C2691">
        <v>17.027984794892099</v>
      </c>
      <c r="D2691">
        <v>11.153217612588501</v>
      </c>
      <c r="E2691">
        <v>6</v>
      </c>
      <c r="F2691">
        <v>1.5707963267949001</v>
      </c>
      <c r="G2691" t="s">
        <v>84</v>
      </c>
      <c r="H2691" t="s">
        <v>81</v>
      </c>
      <c r="I2691">
        <v>422</v>
      </c>
      <c r="J2691">
        <v>0</v>
      </c>
      <c r="K2691">
        <v>0.38291049225174001</v>
      </c>
    </row>
    <row r="2692" spans="1:11" x14ac:dyDescent="0.25">
      <c r="A2692" t="s">
        <v>82</v>
      </c>
    </row>
    <row r="2693" spans="1:11" x14ac:dyDescent="0.25">
      <c r="A2693">
        <v>135.71175155728699</v>
      </c>
      <c r="B2693">
        <v>142.11348419408901</v>
      </c>
      <c r="C2693">
        <v>2000</v>
      </c>
    </row>
    <row r="2694" spans="1:11" x14ac:dyDescent="0.25">
      <c r="A2694">
        <v>123.67114803887701</v>
      </c>
      <c r="B2694">
        <v>130.07288067568001</v>
      </c>
      <c r="C2694">
        <v>2000</v>
      </c>
    </row>
    <row r="2695" spans="1:11" x14ac:dyDescent="0.25">
      <c r="A2695">
        <v>123.67114803887701</v>
      </c>
      <c r="B2695">
        <v>130.07288067568001</v>
      </c>
      <c r="C2695">
        <v>2001</v>
      </c>
    </row>
    <row r="2696" spans="1:11" x14ac:dyDescent="0.25">
      <c r="A2696">
        <v>135.71175155728699</v>
      </c>
      <c r="B2696">
        <v>142.11348419408901</v>
      </c>
      <c r="C2696">
        <v>2001</v>
      </c>
    </row>
    <row r="2697" spans="1:11" x14ac:dyDescent="0.25">
      <c r="A2697">
        <v>143.59826736319701</v>
      </c>
      <c r="B2697">
        <v>150</v>
      </c>
      <c r="C2697">
        <v>2001</v>
      </c>
    </row>
    <row r="2698" spans="1:11" x14ac:dyDescent="0.25">
      <c r="A2698">
        <v>143.59826736319701</v>
      </c>
      <c r="B2698">
        <v>150</v>
      </c>
      <c r="C2698">
        <v>2000</v>
      </c>
    </row>
    <row r="2699" spans="1:11" x14ac:dyDescent="0.25">
      <c r="A2699" t="s">
        <v>83</v>
      </c>
    </row>
    <row r="2700" spans="1:11" x14ac:dyDescent="0.25">
      <c r="A2700">
        <v>84</v>
      </c>
      <c r="B2700">
        <v>0</v>
      </c>
      <c r="C2700">
        <v>0</v>
      </c>
      <c r="D2700">
        <v>28.146894531708298</v>
      </c>
      <c r="E2700">
        <v>8</v>
      </c>
      <c r="F2700">
        <v>1.5707963267949001</v>
      </c>
      <c r="G2700" t="s">
        <v>84</v>
      </c>
      <c r="H2700" t="s">
        <v>84</v>
      </c>
      <c r="I2700">
        <v>87</v>
      </c>
      <c r="J2700">
        <v>404</v>
      </c>
      <c r="K2700">
        <v>0</v>
      </c>
    </row>
    <row r="2701" spans="1:11" x14ac:dyDescent="0.25">
      <c r="A2701" t="s">
        <v>82</v>
      </c>
    </row>
    <row r="2702" spans="1:11" x14ac:dyDescent="0.25">
      <c r="A2702">
        <v>98.797952581102905</v>
      </c>
      <c r="B2702">
        <v>92.9228778779148</v>
      </c>
      <c r="C2702">
        <v>2000</v>
      </c>
    </row>
    <row r="2703" spans="1:11" x14ac:dyDescent="0.25">
      <c r="A2703">
        <v>98.797952581102905</v>
      </c>
      <c r="B2703">
        <v>92.9228778779148</v>
      </c>
      <c r="C2703">
        <v>2001</v>
      </c>
    </row>
    <row r="2704" spans="1:11" x14ac:dyDescent="0.25">
      <c r="A2704">
        <v>100</v>
      </c>
      <c r="B2704">
        <v>94.124925296811796</v>
      </c>
      <c r="C2704">
        <v>2001</v>
      </c>
    </row>
    <row r="2705" spans="1:11" x14ac:dyDescent="0.25">
      <c r="A2705">
        <v>105.87507470318801</v>
      </c>
      <c r="B2705">
        <v>100</v>
      </c>
      <c r="C2705">
        <v>2001</v>
      </c>
    </row>
    <row r="2706" spans="1:11" x14ac:dyDescent="0.25">
      <c r="A2706">
        <v>118.70081257381599</v>
      </c>
      <c r="B2706">
        <v>112.825737870628</v>
      </c>
      <c r="C2706">
        <v>2001</v>
      </c>
    </row>
    <row r="2707" spans="1:11" x14ac:dyDescent="0.25">
      <c r="A2707">
        <v>118.70081257381599</v>
      </c>
      <c r="B2707">
        <v>112.825737870628</v>
      </c>
      <c r="C2707">
        <v>2000</v>
      </c>
    </row>
    <row r="2708" spans="1:11" x14ac:dyDescent="0.25">
      <c r="A2708">
        <v>105.87507470318801</v>
      </c>
      <c r="B2708">
        <v>100</v>
      </c>
      <c r="C2708">
        <v>2000</v>
      </c>
    </row>
    <row r="2709" spans="1:11" x14ac:dyDescent="0.25">
      <c r="A2709">
        <v>100</v>
      </c>
      <c r="B2709">
        <v>94.124925296811796</v>
      </c>
      <c r="C2709">
        <v>2000</v>
      </c>
    </row>
    <row r="2710" spans="1:11" x14ac:dyDescent="0.25">
      <c r="A2710" t="s">
        <v>83</v>
      </c>
    </row>
    <row r="2711" spans="1:11" x14ac:dyDescent="0.25">
      <c r="A2711">
        <v>262</v>
      </c>
      <c r="B2711">
        <v>0</v>
      </c>
      <c r="C2711">
        <v>25.178128514042101</v>
      </c>
      <c r="D2711">
        <v>2.9597390686219902</v>
      </c>
      <c r="E2711">
        <v>6</v>
      </c>
      <c r="F2711">
        <v>1.01722196789785</v>
      </c>
      <c r="G2711" t="s">
        <v>81</v>
      </c>
      <c r="H2711" t="s">
        <v>84</v>
      </c>
      <c r="I2711">
        <v>0</v>
      </c>
      <c r="J2711">
        <v>276</v>
      </c>
      <c r="K2711">
        <v>0</v>
      </c>
    </row>
    <row r="2712" spans="1:11" x14ac:dyDescent="0.25">
      <c r="A2712" t="s">
        <v>82</v>
      </c>
    </row>
    <row r="2713" spans="1:11" x14ac:dyDescent="0.25">
      <c r="A2713">
        <v>136.969068792353</v>
      </c>
      <c r="B2713">
        <v>17.608101609173399</v>
      </c>
      <c r="C2713">
        <v>2000</v>
      </c>
    </row>
    <row r="2714" spans="1:11" x14ac:dyDescent="0.25">
      <c r="A2714">
        <v>119.360967183179</v>
      </c>
      <c r="B2714">
        <v>0</v>
      </c>
      <c r="C2714">
        <v>2000</v>
      </c>
    </row>
    <row r="2715" spans="1:11" x14ac:dyDescent="0.25">
      <c r="A2715">
        <v>118.486935134281</v>
      </c>
      <c r="B2715">
        <v>0</v>
      </c>
      <c r="C2715">
        <v>2001</v>
      </c>
    </row>
    <row r="2716" spans="1:11" x14ac:dyDescent="0.25">
      <c r="A2716">
        <v>136.48608434483901</v>
      </c>
      <c r="B2716">
        <v>17.9991492105577</v>
      </c>
      <c r="C2716">
        <v>2001</v>
      </c>
    </row>
    <row r="2717" spans="1:11" x14ac:dyDescent="0.25">
      <c r="A2717">
        <v>138.60192012233699</v>
      </c>
      <c r="B2717">
        <v>20.114984988055301</v>
      </c>
      <c r="C2717">
        <v>2001</v>
      </c>
    </row>
    <row r="2718" spans="1:11" x14ac:dyDescent="0.25">
      <c r="A2718">
        <v>139.038936146786</v>
      </c>
      <c r="B2718">
        <v>19.677968963606499</v>
      </c>
      <c r="C2718">
        <v>2000</v>
      </c>
    </row>
    <row r="2719" spans="1:11" x14ac:dyDescent="0.25">
      <c r="A2719" t="s">
        <v>83</v>
      </c>
    </row>
    <row r="2720" spans="1:11" x14ac:dyDescent="0.25">
      <c r="A2720">
        <v>7</v>
      </c>
      <c r="B2720">
        <v>0</v>
      </c>
      <c r="C2720">
        <v>27.926344819548</v>
      </c>
      <c r="D2720">
        <v>0</v>
      </c>
      <c r="E2720">
        <v>5</v>
      </c>
      <c r="F2720">
        <v>1.5707963267949001</v>
      </c>
      <c r="G2720" t="s">
        <v>84</v>
      </c>
      <c r="H2720" t="s">
        <v>84</v>
      </c>
      <c r="I2720">
        <v>21</v>
      </c>
      <c r="J2720">
        <v>747</v>
      </c>
      <c r="K2720">
        <v>0</v>
      </c>
    </row>
    <row r="2721" spans="1:11" x14ac:dyDescent="0.25">
      <c r="A2721" t="s">
        <v>82</v>
      </c>
    </row>
    <row r="2722" spans="1:11" x14ac:dyDescent="0.25">
      <c r="A2722">
        <v>43.745672874499903</v>
      </c>
      <c r="B2722">
        <v>48.6288664041221</v>
      </c>
      <c r="C2722">
        <v>2000</v>
      </c>
    </row>
    <row r="2723" spans="1:11" x14ac:dyDescent="0.25">
      <c r="A2723">
        <v>23.9987650788437</v>
      </c>
      <c r="B2723">
        <v>28.881958608466</v>
      </c>
      <c r="C2723">
        <v>2000</v>
      </c>
    </row>
    <row r="2724" spans="1:11" x14ac:dyDescent="0.25">
      <c r="A2724">
        <v>23.9987650788437</v>
      </c>
      <c r="B2724">
        <v>28.881958608466</v>
      </c>
      <c r="C2724">
        <v>2001</v>
      </c>
    </row>
    <row r="2725" spans="1:11" x14ac:dyDescent="0.25">
      <c r="A2725">
        <v>43.745672874499903</v>
      </c>
      <c r="B2725">
        <v>48.6288664041221</v>
      </c>
      <c r="C2725">
        <v>2001</v>
      </c>
    </row>
    <row r="2726" spans="1:11" x14ac:dyDescent="0.25">
      <c r="A2726">
        <v>43.745672874499903</v>
      </c>
      <c r="B2726">
        <v>48.6288664041221</v>
      </c>
      <c r="C2726">
        <v>2000</v>
      </c>
    </row>
    <row r="2727" spans="1:11" x14ac:dyDescent="0.25">
      <c r="A2727" t="s">
        <v>83</v>
      </c>
    </row>
    <row r="2728" spans="1:11" x14ac:dyDescent="0.25">
      <c r="A2728">
        <v>113</v>
      </c>
      <c r="B2728">
        <v>0</v>
      </c>
      <c r="C2728">
        <v>25.956079337954002</v>
      </c>
      <c r="D2728">
        <v>1.81679350310166</v>
      </c>
      <c r="E2728">
        <v>10</v>
      </c>
      <c r="F2728">
        <v>1.01722196789785</v>
      </c>
      <c r="G2728" t="s">
        <v>84</v>
      </c>
      <c r="H2728" t="s">
        <v>84</v>
      </c>
      <c r="I2728">
        <v>26</v>
      </c>
      <c r="J2728">
        <v>97</v>
      </c>
      <c r="K2728">
        <v>0</v>
      </c>
    </row>
    <row r="2729" spans="1:11" x14ac:dyDescent="0.25">
      <c r="A2729" t="s">
        <v>82</v>
      </c>
    </row>
    <row r="2730" spans="1:11" x14ac:dyDescent="0.25">
      <c r="A2730">
        <v>58.122195908861102</v>
      </c>
      <c r="B2730">
        <v>58.589153511719601</v>
      </c>
      <c r="C2730">
        <v>2000</v>
      </c>
    </row>
    <row r="2731" spans="1:11" x14ac:dyDescent="0.25">
      <c r="A2731">
        <v>49.781491987775603</v>
      </c>
      <c r="B2731">
        <v>50.248449590634003</v>
      </c>
      <c r="C2731">
        <v>2000</v>
      </c>
    </row>
    <row r="2732" spans="1:11" x14ac:dyDescent="0.25">
      <c r="A2732">
        <v>49.751550409365997</v>
      </c>
      <c r="B2732">
        <v>50.218508012224397</v>
      </c>
      <c r="C2732">
        <v>2000</v>
      </c>
    </row>
    <row r="2733" spans="1:11" x14ac:dyDescent="0.25">
      <c r="A2733">
        <v>39.768476195977897</v>
      </c>
      <c r="B2733">
        <v>40.235433798836297</v>
      </c>
      <c r="C2733">
        <v>2000</v>
      </c>
    </row>
    <row r="2734" spans="1:11" x14ac:dyDescent="0.25">
      <c r="A2734">
        <v>40.205492220426699</v>
      </c>
      <c r="B2734">
        <v>39.798417774387502</v>
      </c>
      <c r="C2734">
        <v>2001</v>
      </c>
    </row>
    <row r="2735" spans="1:11" x14ac:dyDescent="0.25">
      <c r="A2735">
        <v>50.188566433814799</v>
      </c>
      <c r="B2735">
        <v>49.781491987775603</v>
      </c>
      <c r="C2735">
        <v>2001</v>
      </c>
    </row>
    <row r="2736" spans="1:11" x14ac:dyDescent="0.25">
      <c r="A2736">
        <v>50.218508012224397</v>
      </c>
      <c r="B2736">
        <v>49.811433566185201</v>
      </c>
      <c r="C2736">
        <v>2001</v>
      </c>
    </row>
    <row r="2737" spans="1:11" x14ac:dyDescent="0.25">
      <c r="A2737">
        <v>58.559211933310003</v>
      </c>
      <c r="B2737">
        <v>58.152137487270799</v>
      </c>
      <c r="C2737">
        <v>2001</v>
      </c>
    </row>
    <row r="2738" spans="1:11" x14ac:dyDescent="0.25">
      <c r="A2738">
        <v>59.8438789393688</v>
      </c>
      <c r="B2738">
        <v>59.436804493329603</v>
      </c>
      <c r="C2738">
        <v>2001</v>
      </c>
    </row>
    <row r="2739" spans="1:11" x14ac:dyDescent="0.25">
      <c r="A2739">
        <v>59.406862914919998</v>
      </c>
      <c r="B2739">
        <v>59.873820517778398</v>
      </c>
      <c r="C2739">
        <v>2000</v>
      </c>
    </row>
    <row r="2740" spans="1:11" x14ac:dyDescent="0.25">
      <c r="A2740" t="s">
        <v>83</v>
      </c>
    </row>
    <row r="2741" spans="1:11" x14ac:dyDescent="0.25">
      <c r="A2741">
        <v>427</v>
      </c>
      <c r="B2741">
        <v>0</v>
      </c>
      <c r="C2741">
        <v>4.0913993650888996</v>
      </c>
      <c r="D2741">
        <v>23.549652521910399</v>
      </c>
      <c r="E2741">
        <v>6</v>
      </c>
      <c r="F2741">
        <v>1.01722196789785</v>
      </c>
      <c r="G2741" t="s">
        <v>84</v>
      </c>
      <c r="H2741" t="s">
        <v>81</v>
      </c>
      <c r="I2741">
        <v>422</v>
      </c>
      <c r="J2741">
        <v>0</v>
      </c>
      <c r="K2741">
        <v>0</v>
      </c>
    </row>
    <row r="2742" spans="1:11" x14ac:dyDescent="0.25">
      <c r="A2742" t="s">
        <v>82</v>
      </c>
    </row>
    <row r="2743" spans="1:11" x14ac:dyDescent="0.25">
      <c r="A2743">
        <v>125.931408840706</v>
      </c>
      <c r="B2743">
        <v>133.53404569374499</v>
      </c>
      <c r="C2743">
        <v>2000</v>
      </c>
    </row>
    <row r="2744" spans="1:11" x14ac:dyDescent="0.25">
      <c r="A2744">
        <v>123.070695930759</v>
      </c>
      <c r="B2744">
        <v>130.673332783798</v>
      </c>
      <c r="C2744">
        <v>2000</v>
      </c>
    </row>
    <row r="2745" spans="1:11" x14ac:dyDescent="0.25">
      <c r="A2745">
        <v>123.50771195520799</v>
      </c>
      <c r="B2745">
        <v>130.23631675934899</v>
      </c>
      <c r="C2745">
        <v>2001</v>
      </c>
    </row>
    <row r="2746" spans="1:11" x14ac:dyDescent="0.25">
      <c r="A2746">
        <v>126.43311151645401</v>
      </c>
      <c r="B2746">
        <v>133.16171632059601</v>
      </c>
      <c r="C2746">
        <v>2001</v>
      </c>
    </row>
    <row r="2747" spans="1:11" x14ac:dyDescent="0.25">
      <c r="A2747">
        <v>143.27139519585899</v>
      </c>
      <c r="B2747">
        <v>150</v>
      </c>
      <c r="C2747">
        <v>2001</v>
      </c>
    </row>
    <row r="2748" spans="1:11" x14ac:dyDescent="0.25">
      <c r="A2748">
        <v>142.397363146961</v>
      </c>
      <c r="B2748">
        <v>150</v>
      </c>
      <c r="C2748">
        <v>2000</v>
      </c>
    </row>
    <row r="2749" spans="1:11" x14ac:dyDescent="0.25">
      <c r="A2749" t="s">
        <v>83</v>
      </c>
    </row>
    <row r="2750" spans="1:11" x14ac:dyDescent="0.25">
      <c r="A2750">
        <v>593</v>
      </c>
      <c r="B2750">
        <v>0</v>
      </c>
      <c r="C2750">
        <v>15.9461544286651</v>
      </c>
      <c r="D2750">
        <v>11.571259361544801</v>
      </c>
      <c r="E2750">
        <v>6</v>
      </c>
      <c r="F2750">
        <v>1.01722196789785</v>
      </c>
      <c r="G2750" t="s">
        <v>81</v>
      </c>
      <c r="H2750" t="s">
        <v>81</v>
      </c>
      <c r="I2750">
        <v>0</v>
      </c>
      <c r="J2750">
        <v>0</v>
      </c>
      <c r="K2750">
        <v>0</v>
      </c>
    </row>
    <row r="2751" spans="1:11" x14ac:dyDescent="0.25">
      <c r="A2751" t="s">
        <v>82</v>
      </c>
    </row>
    <row r="2752" spans="1:11" x14ac:dyDescent="0.25">
      <c r="A2752">
        <v>11.5288817488763</v>
      </c>
      <c r="B2752">
        <v>141.634115832654</v>
      </c>
      <c r="C2752">
        <v>2000</v>
      </c>
    </row>
    <row r="2753" spans="1:11" x14ac:dyDescent="0.25">
      <c r="A2753">
        <v>0</v>
      </c>
      <c r="B2753">
        <v>130.10523408377799</v>
      </c>
      <c r="C2753">
        <v>2000</v>
      </c>
    </row>
    <row r="2754" spans="1:11" x14ac:dyDescent="0.25">
      <c r="A2754">
        <v>0</v>
      </c>
      <c r="B2754">
        <v>130.97926613267501</v>
      </c>
      <c r="C2754">
        <v>2001</v>
      </c>
    </row>
    <row r="2755" spans="1:11" x14ac:dyDescent="0.25">
      <c r="A2755">
        <v>11.022386111837699</v>
      </c>
      <c r="B2755">
        <v>142.001652244513</v>
      </c>
      <c r="C2755">
        <v>2001</v>
      </c>
    </row>
    <row r="2756" spans="1:11" x14ac:dyDescent="0.25">
      <c r="A2756">
        <v>19.0207338673248</v>
      </c>
      <c r="B2756">
        <v>150</v>
      </c>
      <c r="C2756">
        <v>2001</v>
      </c>
    </row>
    <row r="2757" spans="1:11" x14ac:dyDescent="0.25">
      <c r="A2757">
        <v>19.8947659162225</v>
      </c>
      <c r="B2757">
        <v>150</v>
      </c>
      <c r="C2757">
        <v>2000</v>
      </c>
    </row>
    <row r="2758" spans="1:11" x14ac:dyDescent="0.25">
      <c r="A2758" t="s">
        <v>83</v>
      </c>
    </row>
    <row r="2759" spans="1:11" x14ac:dyDescent="0.25">
      <c r="A2759">
        <v>598</v>
      </c>
      <c r="B2759">
        <v>0</v>
      </c>
      <c r="C2759">
        <v>25.9560793379461</v>
      </c>
      <c r="D2759">
        <v>0.99791080766894402</v>
      </c>
      <c r="E2759">
        <v>8</v>
      </c>
      <c r="F2759">
        <v>1.01722196789785</v>
      </c>
      <c r="G2759" t="s">
        <v>84</v>
      </c>
      <c r="H2759" t="s">
        <v>84</v>
      </c>
      <c r="I2759">
        <v>663</v>
      </c>
      <c r="J2759">
        <v>596</v>
      </c>
      <c r="K2759">
        <v>0</v>
      </c>
    </row>
    <row r="2760" spans="1:11" x14ac:dyDescent="0.25">
      <c r="A2760" t="s">
        <v>82</v>
      </c>
    </row>
    <row r="2761" spans="1:11" x14ac:dyDescent="0.25">
      <c r="A2761">
        <v>40.694137747727197</v>
      </c>
      <c r="B2761">
        <v>103.80948272617501</v>
      </c>
      <c r="C2761">
        <v>2000</v>
      </c>
    </row>
    <row r="2762" spans="1:11" x14ac:dyDescent="0.25">
      <c r="A2762">
        <v>37.103163033776298</v>
      </c>
      <c r="B2762">
        <v>100.21850801222401</v>
      </c>
      <c r="C2762">
        <v>2000</v>
      </c>
    </row>
    <row r="2763" spans="1:11" x14ac:dyDescent="0.25">
      <c r="A2763">
        <v>22.340418034849399</v>
      </c>
      <c r="B2763">
        <v>85.455763013297499</v>
      </c>
      <c r="C2763">
        <v>2000</v>
      </c>
    </row>
    <row r="2764" spans="1:11" x14ac:dyDescent="0.25">
      <c r="A2764">
        <v>22.777434059298301</v>
      </c>
      <c r="B2764">
        <v>85.018746988848704</v>
      </c>
      <c r="C2764">
        <v>2001</v>
      </c>
    </row>
    <row r="2765" spans="1:11" x14ac:dyDescent="0.25">
      <c r="A2765">
        <v>37.5401790582251</v>
      </c>
      <c r="B2765">
        <v>99.781491987775595</v>
      </c>
      <c r="C2765">
        <v>2001</v>
      </c>
    </row>
    <row r="2766" spans="1:11" x14ac:dyDescent="0.25">
      <c r="A2766">
        <v>41.131153772175999</v>
      </c>
      <c r="B2766">
        <v>103.372466701726</v>
      </c>
      <c r="C2766">
        <v>2001</v>
      </c>
    </row>
    <row r="2767" spans="1:11" x14ac:dyDescent="0.25">
      <c r="A2767">
        <v>41.836783271298103</v>
      </c>
      <c r="B2767">
        <v>104.078096200849</v>
      </c>
      <c r="C2767">
        <v>2001</v>
      </c>
    </row>
    <row r="2768" spans="1:11" x14ac:dyDescent="0.25">
      <c r="A2768">
        <v>41.399767246849201</v>
      </c>
      <c r="B2768">
        <v>104.515112225297</v>
      </c>
      <c r="C2768">
        <v>2000</v>
      </c>
    </row>
    <row r="2769" spans="1:11" x14ac:dyDescent="0.25">
      <c r="A2769" t="s">
        <v>83</v>
      </c>
    </row>
    <row r="2770" spans="1:11" x14ac:dyDescent="0.25">
      <c r="A2770">
        <v>433</v>
      </c>
      <c r="B2770">
        <v>0</v>
      </c>
      <c r="C2770">
        <v>23.5783101749123</v>
      </c>
      <c r="D2770">
        <v>3.1225091844702302</v>
      </c>
      <c r="E2770">
        <v>6</v>
      </c>
      <c r="F2770">
        <v>1.01722196789785</v>
      </c>
      <c r="G2770" t="s">
        <v>84</v>
      </c>
      <c r="H2770" t="s">
        <v>81</v>
      </c>
      <c r="I2770">
        <v>431</v>
      </c>
      <c r="J2770">
        <v>0</v>
      </c>
      <c r="K2770">
        <v>0</v>
      </c>
    </row>
    <row r="2771" spans="1:11" x14ac:dyDescent="0.25">
      <c r="A2771" t="s">
        <v>82</v>
      </c>
    </row>
    <row r="2772" spans="1:11" x14ac:dyDescent="0.25">
      <c r="A2772">
        <v>133.75727069775601</v>
      </c>
      <c r="B2772">
        <v>147.81760585242</v>
      </c>
      <c r="C2772">
        <v>2000</v>
      </c>
    </row>
    <row r="2773" spans="1:11" x14ac:dyDescent="0.25">
      <c r="A2773">
        <v>117.277842425304</v>
      </c>
      <c r="B2773">
        <v>131.338177579968</v>
      </c>
      <c r="C2773">
        <v>2000</v>
      </c>
    </row>
    <row r="2774" spans="1:11" x14ac:dyDescent="0.25">
      <c r="A2774">
        <v>117.714858449752</v>
      </c>
      <c r="B2774">
        <v>130.901161555519</v>
      </c>
      <c r="C2774">
        <v>2001</v>
      </c>
    </row>
    <row r="2775" spans="1:11" x14ac:dyDescent="0.25">
      <c r="A2775">
        <v>134.58019620450099</v>
      </c>
      <c r="B2775">
        <v>147.76649931026699</v>
      </c>
      <c r="C2775">
        <v>2001</v>
      </c>
    </row>
    <row r="2776" spans="1:11" x14ac:dyDescent="0.25">
      <c r="A2776">
        <v>136.813696894233</v>
      </c>
      <c r="B2776">
        <v>150</v>
      </c>
      <c r="C2776">
        <v>2001</v>
      </c>
    </row>
    <row r="2777" spans="1:11" x14ac:dyDescent="0.25">
      <c r="A2777">
        <v>135.93966484533601</v>
      </c>
      <c r="B2777">
        <v>150</v>
      </c>
      <c r="C2777">
        <v>2000</v>
      </c>
    </row>
    <row r="2778" spans="1:11" x14ac:dyDescent="0.25">
      <c r="A2778" t="s">
        <v>83</v>
      </c>
    </row>
    <row r="2779" spans="1:11" x14ac:dyDescent="0.25">
      <c r="A2779">
        <v>574</v>
      </c>
      <c r="B2779">
        <v>0</v>
      </c>
      <c r="C2779">
        <v>16.148078136989898</v>
      </c>
      <c r="D2779">
        <v>9.9657352360472693</v>
      </c>
      <c r="E2779">
        <v>8</v>
      </c>
      <c r="F2779">
        <v>1.5707963267949001</v>
      </c>
      <c r="G2779" t="s">
        <v>84</v>
      </c>
      <c r="H2779" t="s">
        <v>84</v>
      </c>
      <c r="I2779">
        <v>650</v>
      </c>
      <c r="J2779">
        <v>324</v>
      </c>
      <c r="K2779">
        <v>0</v>
      </c>
    </row>
    <row r="2780" spans="1:11" x14ac:dyDescent="0.25">
      <c r="A2780" t="s">
        <v>82</v>
      </c>
    </row>
    <row r="2781" spans="1:11" x14ac:dyDescent="0.25">
      <c r="A2781">
        <v>43.779151616049496</v>
      </c>
      <c r="B2781">
        <v>118.028885192717</v>
      </c>
      <c r="C2781">
        <v>2000</v>
      </c>
    </row>
    <row r="2782" spans="1:11" x14ac:dyDescent="0.25">
      <c r="A2782">
        <v>32.3607360622537</v>
      </c>
      <c r="B2782">
        <v>106.610469638921</v>
      </c>
      <c r="C2782">
        <v>2000</v>
      </c>
    </row>
    <row r="2783" spans="1:11" x14ac:dyDescent="0.25">
      <c r="A2783">
        <v>32.3607360622537</v>
      </c>
      <c r="B2783">
        <v>106.610469638921</v>
      </c>
      <c r="C2783">
        <v>2001</v>
      </c>
    </row>
    <row r="2784" spans="1:11" x14ac:dyDescent="0.25">
      <c r="A2784">
        <v>43.779151616049496</v>
      </c>
      <c r="B2784">
        <v>118.028885192717</v>
      </c>
      <c r="C2784">
        <v>2001</v>
      </c>
    </row>
    <row r="2785" spans="1:11" x14ac:dyDescent="0.25">
      <c r="A2785">
        <v>50</v>
      </c>
      <c r="B2785">
        <v>124.249733576667</v>
      </c>
      <c r="C2785">
        <v>2001</v>
      </c>
    </row>
    <row r="2786" spans="1:11" x14ac:dyDescent="0.25">
      <c r="A2786">
        <v>50.825990580968302</v>
      </c>
      <c r="B2786">
        <v>125.075724157636</v>
      </c>
      <c r="C2786">
        <v>2001</v>
      </c>
    </row>
    <row r="2787" spans="1:11" x14ac:dyDescent="0.25">
      <c r="A2787">
        <v>50.825990580968302</v>
      </c>
      <c r="B2787">
        <v>125.075724157636</v>
      </c>
      <c r="C2787">
        <v>2000</v>
      </c>
    </row>
    <row r="2788" spans="1:11" x14ac:dyDescent="0.25">
      <c r="A2788">
        <v>50</v>
      </c>
      <c r="B2788">
        <v>124.249733576667</v>
      </c>
      <c r="C2788">
        <v>2000</v>
      </c>
    </row>
    <row r="2789" spans="1:11" x14ac:dyDescent="0.25">
      <c r="A2789" t="s">
        <v>83</v>
      </c>
    </row>
    <row r="2790" spans="1:11" x14ac:dyDescent="0.25">
      <c r="A2790">
        <v>439</v>
      </c>
      <c r="B2790">
        <v>0</v>
      </c>
      <c r="C2790">
        <v>23.842978897647001</v>
      </c>
      <c r="D2790">
        <v>2.15644174345752</v>
      </c>
      <c r="E2790">
        <v>6</v>
      </c>
      <c r="F2790">
        <v>1.01722196789785</v>
      </c>
      <c r="G2790" t="s">
        <v>84</v>
      </c>
      <c r="H2790" t="s">
        <v>81</v>
      </c>
      <c r="I2790">
        <v>415</v>
      </c>
      <c r="J2790">
        <v>0</v>
      </c>
      <c r="K2790">
        <v>0</v>
      </c>
    </row>
    <row r="2791" spans="1:11" x14ac:dyDescent="0.25">
      <c r="A2791" t="s">
        <v>82</v>
      </c>
    </row>
    <row r="2792" spans="1:11" x14ac:dyDescent="0.25">
      <c r="A2792">
        <v>148.493288893</v>
      </c>
      <c r="B2792">
        <v>138.32321274527601</v>
      </c>
      <c r="C2792">
        <v>2000</v>
      </c>
    </row>
    <row r="2793" spans="1:11" x14ac:dyDescent="0.25">
      <c r="A2793">
        <v>131.834141369978</v>
      </c>
      <c r="B2793">
        <v>121.664065222254</v>
      </c>
      <c r="C2793">
        <v>2000</v>
      </c>
    </row>
    <row r="2794" spans="1:11" x14ac:dyDescent="0.25">
      <c r="A2794">
        <v>131.39712534552899</v>
      </c>
      <c r="B2794">
        <v>122.101081246703</v>
      </c>
      <c r="C2794">
        <v>2001</v>
      </c>
    </row>
    <row r="2795" spans="1:11" x14ac:dyDescent="0.25">
      <c r="A2795">
        <v>148.45704194693499</v>
      </c>
      <c r="B2795">
        <v>139.16099784810999</v>
      </c>
      <c r="C2795">
        <v>2001</v>
      </c>
    </row>
    <row r="2796" spans="1:11" x14ac:dyDescent="0.25">
      <c r="A2796">
        <v>150</v>
      </c>
      <c r="B2796">
        <v>140.703955901174</v>
      </c>
      <c r="C2796">
        <v>2001</v>
      </c>
    </row>
    <row r="2797" spans="1:11" x14ac:dyDescent="0.25">
      <c r="A2797">
        <v>150</v>
      </c>
      <c r="B2797">
        <v>139.82992385227701</v>
      </c>
      <c r="C2797">
        <v>2000</v>
      </c>
    </row>
    <row r="2798" spans="1:11" x14ac:dyDescent="0.25">
      <c r="A2798" t="s">
        <v>83</v>
      </c>
    </row>
    <row r="2799" spans="1:11" x14ac:dyDescent="0.25">
      <c r="A2799">
        <v>244</v>
      </c>
      <c r="B2799">
        <v>0</v>
      </c>
      <c r="C2799">
        <v>25.989046326260599</v>
      </c>
      <c r="D2799">
        <v>0</v>
      </c>
      <c r="E2799">
        <v>7</v>
      </c>
      <c r="F2799">
        <v>1.5707963267949001</v>
      </c>
      <c r="G2799" t="s">
        <v>81</v>
      </c>
      <c r="H2799" t="s">
        <v>84</v>
      </c>
      <c r="I2799">
        <v>0</v>
      </c>
      <c r="J2799">
        <v>251</v>
      </c>
      <c r="K2799">
        <v>0</v>
      </c>
    </row>
    <row r="2800" spans="1:11" x14ac:dyDescent="0.25">
      <c r="A2800" t="s">
        <v>82</v>
      </c>
    </row>
    <row r="2801" spans="1:11" x14ac:dyDescent="0.25">
      <c r="A2801">
        <v>100.650859799073</v>
      </c>
      <c r="B2801">
        <v>18.377030893870199</v>
      </c>
      <c r="C2801">
        <v>2000</v>
      </c>
    </row>
    <row r="2802" spans="1:11" x14ac:dyDescent="0.25">
      <c r="A2802">
        <v>100</v>
      </c>
      <c r="B2802">
        <v>17.726171094796701</v>
      </c>
      <c r="C2802">
        <v>2000</v>
      </c>
    </row>
    <row r="2803" spans="1:11" x14ac:dyDescent="0.25">
      <c r="A2803">
        <v>82.273828905203302</v>
      </c>
      <c r="B2803">
        <v>0</v>
      </c>
      <c r="C2803">
        <v>2000</v>
      </c>
    </row>
    <row r="2804" spans="1:11" x14ac:dyDescent="0.25">
      <c r="A2804">
        <v>82.273828905203302</v>
      </c>
      <c r="B2804">
        <v>0</v>
      </c>
      <c r="C2804">
        <v>2001</v>
      </c>
    </row>
    <row r="2805" spans="1:11" x14ac:dyDescent="0.25">
      <c r="A2805">
        <v>100</v>
      </c>
      <c r="B2805">
        <v>17.726171094796701</v>
      </c>
      <c r="C2805">
        <v>2001</v>
      </c>
    </row>
    <row r="2806" spans="1:11" x14ac:dyDescent="0.25">
      <c r="A2806">
        <v>100.650859799073</v>
      </c>
      <c r="B2806">
        <v>18.377030893870199</v>
      </c>
      <c r="C2806">
        <v>2001</v>
      </c>
    </row>
    <row r="2807" spans="1:11" x14ac:dyDescent="0.25">
      <c r="A2807">
        <v>100.650859799073</v>
      </c>
      <c r="B2807">
        <v>18.377030893870199</v>
      </c>
      <c r="C2807">
        <v>2000</v>
      </c>
    </row>
    <row r="2808" spans="1:11" x14ac:dyDescent="0.25">
      <c r="A2808" t="s">
        <v>83</v>
      </c>
    </row>
    <row r="2809" spans="1:11" x14ac:dyDescent="0.25">
      <c r="A2809">
        <v>438</v>
      </c>
      <c r="B2809">
        <v>0</v>
      </c>
      <c r="C2809">
        <v>22.527001596504899</v>
      </c>
      <c r="D2809">
        <v>3.4264414826957599</v>
      </c>
      <c r="E2809">
        <v>6</v>
      </c>
      <c r="F2809">
        <v>1.01722196789785</v>
      </c>
      <c r="G2809" t="s">
        <v>84</v>
      </c>
      <c r="H2809" t="s">
        <v>84</v>
      </c>
      <c r="I2809">
        <v>403</v>
      </c>
      <c r="J2809">
        <v>429</v>
      </c>
      <c r="K2809">
        <v>0</v>
      </c>
    </row>
    <row r="2810" spans="1:11" x14ac:dyDescent="0.25">
      <c r="A2810" t="s">
        <v>82</v>
      </c>
    </row>
    <row r="2811" spans="1:11" x14ac:dyDescent="0.25">
      <c r="A2811">
        <v>127.07038292897001</v>
      </c>
      <c r="B2811">
        <v>137.150855538976</v>
      </c>
      <c r="C2811">
        <v>2000</v>
      </c>
    </row>
    <row r="2812" spans="1:11" x14ac:dyDescent="0.25">
      <c r="A2812">
        <v>111.141387340281</v>
      </c>
      <c r="B2812">
        <v>121.221859950287</v>
      </c>
      <c r="C2812">
        <v>2000</v>
      </c>
    </row>
    <row r="2813" spans="1:11" x14ac:dyDescent="0.25">
      <c r="A2813">
        <v>110.70437131583201</v>
      </c>
      <c r="B2813">
        <v>121.65887597473601</v>
      </c>
      <c r="C2813">
        <v>2001</v>
      </c>
    </row>
    <row r="2814" spans="1:11" x14ac:dyDescent="0.25">
      <c r="A2814">
        <v>126.633366904521</v>
      </c>
      <c r="B2814">
        <v>137.58787156342501</v>
      </c>
      <c r="C2814">
        <v>2001</v>
      </c>
    </row>
    <row r="2815" spans="1:11" x14ac:dyDescent="0.25">
      <c r="A2815">
        <v>129.05622691227401</v>
      </c>
      <c r="B2815">
        <v>140.01073157117801</v>
      </c>
      <c r="C2815">
        <v>2001</v>
      </c>
    </row>
    <row r="2816" spans="1:11" x14ac:dyDescent="0.25">
      <c r="A2816">
        <v>129.49324293672299</v>
      </c>
      <c r="B2816">
        <v>139.57371554672901</v>
      </c>
      <c r="C2816">
        <v>2000</v>
      </c>
    </row>
    <row r="2817" spans="1:11" x14ac:dyDescent="0.25">
      <c r="A2817" t="s">
        <v>83</v>
      </c>
    </row>
    <row r="2818" spans="1:11" x14ac:dyDescent="0.25">
      <c r="A2818">
        <v>420</v>
      </c>
      <c r="B2818">
        <v>0</v>
      </c>
      <c r="C2818">
        <v>23.851431267233</v>
      </c>
      <c r="D2818">
        <v>2.0959559592209001</v>
      </c>
      <c r="E2818">
        <v>10</v>
      </c>
      <c r="F2818">
        <v>1.5707963267949001</v>
      </c>
      <c r="G2818" t="s">
        <v>84</v>
      </c>
      <c r="H2818" t="s">
        <v>84</v>
      </c>
      <c r="I2818">
        <v>97</v>
      </c>
      <c r="J2818">
        <v>410</v>
      </c>
      <c r="K2818">
        <v>0</v>
      </c>
    </row>
    <row r="2819" spans="1:11" x14ac:dyDescent="0.25">
      <c r="A2819" t="s">
        <v>82</v>
      </c>
    </row>
    <row r="2820" spans="1:11" x14ac:dyDescent="0.25">
      <c r="A2820">
        <v>116.506231968061</v>
      </c>
      <c r="B2820">
        <v>115.75409564690401</v>
      </c>
      <c r="C2820">
        <v>2000</v>
      </c>
    </row>
    <row r="2821" spans="1:11" x14ac:dyDescent="0.25">
      <c r="A2821">
        <v>100.752136321157</v>
      </c>
      <c r="B2821">
        <v>100</v>
      </c>
      <c r="C2821">
        <v>2000</v>
      </c>
    </row>
    <row r="2822" spans="1:11" x14ac:dyDescent="0.25">
      <c r="A2822">
        <v>100</v>
      </c>
      <c r="B2822">
        <v>99.247863678842705</v>
      </c>
      <c r="C2822">
        <v>2000</v>
      </c>
    </row>
    <row r="2823" spans="1:11" x14ac:dyDescent="0.25">
      <c r="A2823">
        <v>99.640723177995895</v>
      </c>
      <c r="B2823">
        <v>98.8885868568386</v>
      </c>
      <c r="C2823">
        <v>2000</v>
      </c>
    </row>
    <row r="2824" spans="1:11" x14ac:dyDescent="0.25">
      <c r="A2824">
        <v>99.640723177995895</v>
      </c>
      <c r="B2824">
        <v>98.8885868568386</v>
      </c>
      <c r="C2824">
        <v>2001</v>
      </c>
    </row>
    <row r="2825" spans="1:11" x14ac:dyDescent="0.25">
      <c r="A2825">
        <v>100</v>
      </c>
      <c r="B2825">
        <v>99.247863678842705</v>
      </c>
      <c r="C2825">
        <v>2001</v>
      </c>
    </row>
    <row r="2826" spans="1:11" x14ac:dyDescent="0.25">
      <c r="A2826">
        <v>100.752136321157</v>
      </c>
      <c r="B2826">
        <v>100</v>
      </c>
      <c r="C2826">
        <v>2001</v>
      </c>
    </row>
    <row r="2827" spans="1:11" x14ac:dyDescent="0.25">
      <c r="A2827">
        <v>116.506231968061</v>
      </c>
      <c r="B2827">
        <v>115.75409564690401</v>
      </c>
      <c r="C2827">
        <v>2001</v>
      </c>
    </row>
    <row r="2828" spans="1:11" x14ac:dyDescent="0.25">
      <c r="A2828">
        <v>117.988296639895</v>
      </c>
      <c r="B2828">
        <v>117.23616031873701</v>
      </c>
      <c r="C2828">
        <v>2001</v>
      </c>
    </row>
    <row r="2829" spans="1:11" x14ac:dyDescent="0.25">
      <c r="A2829">
        <v>117.988296639895</v>
      </c>
      <c r="B2829">
        <v>117.23616031873701</v>
      </c>
      <c r="C2829">
        <v>2000</v>
      </c>
    </row>
    <row r="2830" spans="1:11" x14ac:dyDescent="0.25">
      <c r="A2830" t="s">
        <v>83</v>
      </c>
    </row>
    <row r="2831" spans="1:11" x14ac:dyDescent="0.25">
      <c r="A2831">
        <v>168</v>
      </c>
      <c r="B2831">
        <v>0</v>
      </c>
      <c r="C2831">
        <v>0</v>
      </c>
      <c r="D2831">
        <v>25.873318357112598</v>
      </c>
      <c r="E2831">
        <v>4</v>
      </c>
      <c r="F2831">
        <v>1.5707963267949001</v>
      </c>
      <c r="G2831" t="s">
        <v>84</v>
      </c>
      <c r="H2831" t="s">
        <v>81</v>
      </c>
      <c r="I2831">
        <v>741</v>
      </c>
      <c r="J2831">
        <v>0</v>
      </c>
      <c r="K2831">
        <v>0</v>
      </c>
    </row>
    <row r="2832" spans="1:11" x14ac:dyDescent="0.25">
      <c r="A2832" t="s">
        <v>82</v>
      </c>
    </row>
    <row r="2833" spans="1:11" x14ac:dyDescent="0.25">
      <c r="A2833">
        <v>131.70480113788699</v>
      </c>
      <c r="B2833">
        <v>54.316418352218498</v>
      </c>
      <c r="C2833">
        <v>2000</v>
      </c>
    </row>
    <row r="2834" spans="1:11" x14ac:dyDescent="0.25">
      <c r="A2834">
        <v>131.70480113788699</v>
      </c>
      <c r="B2834">
        <v>54.316418352218498</v>
      </c>
      <c r="C2834">
        <v>2001</v>
      </c>
    </row>
    <row r="2835" spans="1:11" x14ac:dyDescent="0.25">
      <c r="A2835">
        <v>150</v>
      </c>
      <c r="B2835">
        <v>72.611617214331204</v>
      </c>
      <c r="C2835">
        <v>2001</v>
      </c>
    </row>
    <row r="2836" spans="1:11" x14ac:dyDescent="0.25">
      <c r="A2836">
        <v>150</v>
      </c>
      <c r="B2836">
        <v>72.611617214331204</v>
      </c>
      <c r="C2836">
        <v>2000</v>
      </c>
    </row>
    <row r="2837" spans="1:11" x14ac:dyDescent="0.25">
      <c r="A2837" t="s">
        <v>83</v>
      </c>
    </row>
    <row r="2838" spans="1:11" x14ac:dyDescent="0.25">
      <c r="A2838">
        <v>349</v>
      </c>
      <c r="B2838">
        <v>0</v>
      </c>
      <c r="C2838">
        <v>7.7261751099721003</v>
      </c>
      <c r="D2838">
        <v>18.0856196355615</v>
      </c>
      <c r="E2838">
        <v>6</v>
      </c>
      <c r="F2838">
        <v>1.01722196789785</v>
      </c>
      <c r="G2838" t="s">
        <v>84</v>
      </c>
      <c r="H2838" t="s">
        <v>81</v>
      </c>
      <c r="I2838">
        <v>596</v>
      </c>
      <c r="J2838">
        <v>0</v>
      </c>
      <c r="K2838">
        <v>0</v>
      </c>
    </row>
    <row r="2839" spans="1:11" x14ac:dyDescent="0.25">
      <c r="A2839" t="s">
        <v>82</v>
      </c>
    </row>
    <row r="2840" spans="1:11" x14ac:dyDescent="0.25">
      <c r="A2840">
        <v>74.241620554998505</v>
      </c>
      <c r="B2840">
        <v>137.05843311721301</v>
      </c>
      <c r="C2840">
        <v>2000</v>
      </c>
    </row>
    <row r="2841" spans="1:11" x14ac:dyDescent="0.25">
      <c r="A2841">
        <v>68.712984326399294</v>
      </c>
      <c r="B2841">
        <v>131.52979688861299</v>
      </c>
      <c r="C2841">
        <v>2000</v>
      </c>
    </row>
    <row r="2842" spans="1:11" x14ac:dyDescent="0.25">
      <c r="A2842">
        <v>68.275968301950499</v>
      </c>
      <c r="B2842">
        <v>131.966812913062</v>
      </c>
      <c r="C2842">
        <v>2001</v>
      </c>
    </row>
    <row r="2843" spans="1:11" x14ac:dyDescent="0.25">
      <c r="A2843">
        <v>73.673793699143204</v>
      </c>
      <c r="B2843">
        <v>137.364638310255</v>
      </c>
      <c r="C2843">
        <v>2001</v>
      </c>
    </row>
    <row r="2844" spans="1:11" x14ac:dyDescent="0.25">
      <c r="A2844">
        <v>86.309155388888101</v>
      </c>
      <c r="B2844">
        <v>150</v>
      </c>
      <c r="C2844">
        <v>2001</v>
      </c>
    </row>
    <row r="2845" spans="1:11" x14ac:dyDescent="0.25">
      <c r="A2845">
        <v>87.183187437785804</v>
      </c>
      <c r="B2845">
        <v>150</v>
      </c>
      <c r="C2845">
        <v>2000</v>
      </c>
    </row>
    <row r="2846" spans="1:11" x14ac:dyDescent="0.25">
      <c r="A2846" t="s">
        <v>83</v>
      </c>
    </row>
    <row r="2847" spans="1:11" x14ac:dyDescent="0.25">
      <c r="A2847">
        <v>337</v>
      </c>
      <c r="B2847">
        <v>0</v>
      </c>
      <c r="C2847">
        <v>10.011604480933901</v>
      </c>
      <c r="D2847">
        <v>15.770503998539599</v>
      </c>
      <c r="E2847">
        <v>8</v>
      </c>
      <c r="F2847">
        <v>1.5707963267949001</v>
      </c>
      <c r="G2847" t="s">
        <v>84</v>
      </c>
      <c r="H2847" t="s">
        <v>84</v>
      </c>
      <c r="I2847">
        <v>107</v>
      </c>
      <c r="J2847">
        <v>430</v>
      </c>
      <c r="K2847">
        <v>0</v>
      </c>
    </row>
    <row r="2848" spans="1:11" x14ac:dyDescent="0.25">
      <c r="A2848" t="s">
        <v>82</v>
      </c>
    </row>
    <row r="2849" spans="1:11" x14ac:dyDescent="0.25">
      <c r="A2849">
        <v>82.988226603711098</v>
      </c>
      <c r="B2849">
        <v>106.527914261226</v>
      </c>
      <c r="C2849">
        <v>2000</v>
      </c>
    </row>
    <row r="2850" spans="1:11" x14ac:dyDescent="0.25">
      <c r="A2850">
        <v>76.460312342485494</v>
      </c>
      <c r="B2850">
        <v>100</v>
      </c>
      <c r="C2850">
        <v>2000</v>
      </c>
    </row>
    <row r="2851" spans="1:11" x14ac:dyDescent="0.25">
      <c r="A2851">
        <v>75.908953184685203</v>
      </c>
      <c r="B2851">
        <v>99.448640842199595</v>
      </c>
      <c r="C2851">
        <v>2000</v>
      </c>
    </row>
    <row r="2852" spans="1:11" x14ac:dyDescent="0.25">
      <c r="A2852">
        <v>75.908953184685203</v>
      </c>
      <c r="B2852">
        <v>99.448640842199595</v>
      </c>
      <c r="C2852">
        <v>2001</v>
      </c>
    </row>
    <row r="2853" spans="1:11" x14ac:dyDescent="0.25">
      <c r="A2853">
        <v>76.460312342485494</v>
      </c>
      <c r="B2853">
        <v>100</v>
      </c>
      <c r="C2853">
        <v>2001</v>
      </c>
    </row>
    <row r="2854" spans="1:11" x14ac:dyDescent="0.25">
      <c r="A2854">
        <v>82.988226603711098</v>
      </c>
      <c r="B2854">
        <v>106.527914261226</v>
      </c>
      <c r="C2854">
        <v>2001</v>
      </c>
    </row>
    <row r="2855" spans="1:11" x14ac:dyDescent="0.25">
      <c r="A2855">
        <v>94.139656923808005</v>
      </c>
      <c r="B2855">
        <v>117.679344581322</v>
      </c>
      <c r="C2855">
        <v>2001</v>
      </c>
    </row>
    <row r="2856" spans="1:11" x14ac:dyDescent="0.25">
      <c r="A2856">
        <v>94.139656923808005</v>
      </c>
      <c r="B2856">
        <v>117.679344581322</v>
      </c>
      <c r="C2856">
        <v>2000</v>
      </c>
    </row>
    <row r="2857" spans="1:11" x14ac:dyDescent="0.25">
      <c r="A2857" t="s">
        <v>83</v>
      </c>
    </row>
    <row r="2858" spans="1:11" x14ac:dyDescent="0.25">
      <c r="A2858">
        <v>264</v>
      </c>
      <c r="B2858">
        <v>0</v>
      </c>
      <c r="C2858">
        <v>2.6054575077439099</v>
      </c>
      <c r="D2858">
        <v>23.169548731823301</v>
      </c>
      <c r="E2858">
        <v>6</v>
      </c>
      <c r="F2858">
        <v>1.01722196789785</v>
      </c>
      <c r="G2858" t="s">
        <v>81</v>
      </c>
      <c r="H2858" t="s">
        <v>81</v>
      </c>
      <c r="I2858">
        <v>0</v>
      </c>
      <c r="J2858">
        <v>0</v>
      </c>
      <c r="K2858">
        <v>0</v>
      </c>
    </row>
    <row r="2859" spans="1:11" x14ac:dyDescent="0.25">
      <c r="A2859" t="s">
        <v>82</v>
      </c>
    </row>
    <row r="2860" spans="1:11" x14ac:dyDescent="0.25">
      <c r="A2860">
        <v>133.22381456251699</v>
      </c>
      <c r="B2860">
        <v>1.8865122840894499</v>
      </c>
      <c r="C2860">
        <v>2000</v>
      </c>
    </row>
    <row r="2861" spans="1:11" x14ac:dyDescent="0.25">
      <c r="A2861">
        <v>131.33730227842801</v>
      </c>
      <c r="B2861">
        <v>0</v>
      </c>
      <c r="C2861">
        <v>2000</v>
      </c>
    </row>
    <row r="2862" spans="1:11" x14ac:dyDescent="0.25">
      <c r="A2862">
        <v>132.21133432732501</v>
      </c>
      <c r="B2862">
        <v>0</v>
      </c>
      <c r="C2862">
        <v>2001</v>
      </c>
    </row>
    <row r="2863" spans="1:11" x14ac:dyDescent="0.25">
      <c r="A2863">
        <v>134.00949538687399</v>
      </c>
      <c r="B2863">
        <v>1.79816105954878</v>
      </c>
      <c r="C2863">
        <v>2001</v>
      </c>
    </row>
    <row r="2864" spans="1:11" x14ac:dyDescent="0.25">
      <c r="A2864">
        <v>150</v>
      </c>
      <c r="B2864">
        <v>17.7886656726747</v>
      </c>
      <c r="C2864">
        <v>2001</v>
      </c>
    </row>
    <row r="2865" spans="1:11" x14ac:dyDescent="0.25">
      <c r="A2865">
        <v>150</v>
      </c>
      <c r="B2865">
        <v>18.6626977215724</v>
      </c>
      <c r="C2865">
        <v>2000</v>
      </c>
    </row>
    <row r="2866" spans="1:11" x14ac:dyDescent="0.25">
      <c r="A2866" t="s">
        <v>83</v>
      </c>
    </row>
    <row r="2867" spans="1:11" x14ac:dyDescent="0.25">
      <c r="A2867">
        <v>673</v>
      </c>
      <c r="B2867">
        <v>0</v>
      </c>
      <c r="C2867">
        <v>16.927411528033801</v>
      </c>
      <c r="D2867">
        <v>8.0200543834270999</v>
      </c>
      <c r="E2867">
        <v>8</v>
      </c>
      <c r="F2867">
        <v>1.01722196789785</v>
      </c>
      <c r="G2867" t="s">
        <v>81</v>
      </c>
      <c r="H2867" t="s">
        <v>84</v>
      </c>
      <c r="I2867">
        <v>0</v>
      </c>
      <c r="J2867">
        <v>677</v>
      </c>
      <c r="K2867">
        <v>0</v>
      </c>
    </row>
    <row r="2868" spans="1:11" x14ac:dyDescent="0.25">
      <c r="A2868" t="s">
        <v>82</v>
      </c>
    </row>
    <row r="2869" spans="1:11" x14ac:dyDescent="0.25">
      <c r="A2869">
        <v>12.1230364431448</v>
      </c>
      <c r="B2869">
        <v>59.268087524420501</v>
      </c>
      <c r="C2869">
        <v>2000</v>
      </c>
    </row>
    <row r="2870" spans="1:11" x14ac:dyDescent="0.25">
      <c r="A2870">
        <v>2.4620732729950401</v>
      </c>
      <c r="B2870">
        <v>49.607124354270702</v>
      </c>
      <c r="C2870">
        <v>2000</v>
      </c>
    </row>
    <row r="2871" spans="1:11" x14ac:dyDescent="0.25">
      <c r="A2871">
        <v>0</v>
      </c>
      <c r="B2871">
        <v>47.145051081275703</v>
      </c>
      <c r="C2871">
        <v>2000</v>
      </c>
    </row>
    <row r="2872" spans="1:11" x14ac:dyDescent="0.25">
      <c r="A2872">
        <v>0</v>
      </c>
      <c r="B2872">
        <v>48.0190831301733</v>
      </c>
      <c r="C2872">
        <v>2001</v>
      </c>
    </row>
    <row r="2873" spans="1:11" x14ac:dyDescent="0.25">
      <c r="A2873">
        <v>2.3737925155559099</v>
      </c>
      <c r="B2873">
        <v>50.392875645729198</v>
      </c>
      <c r="C2873">
        <v>2001</v>
      </c>
    </row>
    <row r="2874" spans="1:11" x14ac:dyDescent="0.25">
      <c r="A2874">
        <v>11.8159385156713</v>
      </c>
      <c r="B2874">
        <v>59.835021645844598</v>
      </c>
      <c r="C2874">
        <v>2001</v>
      </c>
    </row>
    <row r="2875" spans="1:11" x14ac:dyDescent="0.25">
      <c r="A2875">
        <v>17.422014307189801</v>
      </c>
      <c r="B2875">
        <v>65.441097437363098</v>
      </c>
      <c r="C2875">
        <v>2001</v>
      </c>
    </row>
    <row r="2876" spans="1:11" x14ac:dyDescent="0.25">
      <c r="A2876">
        <v>17.8590303316386</v>
      </c>
      <c r="B2876">
        <v>65.004081412914303</v>
      </c>
      <c r="C2876">
        <v>2000</v>
      </c>
    </row>
    <row r="2877" spans="1:11" x14ac:dyDescent="0.25">
      <c r="A2877" t="s">
        <v>83</v>
      </c>
    </row>
    <row r="2878" spans="1:11" x14ac:dyDescent="0.25">
      <c r="A2878">
        <v>334</v>
      </c>
      <c r="B2878">
        <v>0</v>
      </c>
      <c r="C2878">
        <v>10.1110693376989</v>
      </c>
      <c r="D2878">
        <v>14.782672580527599</v>
      </c>
      <c r="E2878">
        <v>6</v>
      </c>
      <c r="F2878">
        <v>1.5707963267949001</v>
      </c>
      <c r="G2878" t="s">
        <v>84</v>
      </c>
      <c r="H2878" t="s">
        <v>84</v>
      </c>
      <c r="I2878">
        <v>648</v>
      </c>
      <c r="J2878">
        <v>321</v>
      </c>
      <c r="K2878">
        <v>0</v>
      </c>
    </row>
    <row r="2879" spans="1:11" x14ac:dyDescent="0.25">
      <c r="A2879" t="s">
        <v>82</v>
      </c>
    </row>
    <row r="2880" spans="1:11" x14ac:dyDescent="0.25">
      <c r="A2880">
        <v>58.095913139682203</v>
      </c>
      <c r="B2880">
        <v>111.430713132224</v>
      </c>
      <c r="C2880">
        <v>2000</v>
      </c>
    </row>
    <row r="2881" spans="1:11" x14ac:dyDescent="0.25">
      <c r="A2881">
        <v>50.946307445947902</v>
      </c>
      <c r="B2881">
        <v>104.28110743849</v>
      </c>
      <c r="C2881">
        <v>2000</v>
      </c>
    </row>
    <row r="2882" spans="1:11" x14ac:dyDescent="0.25">
      <c r="A2882">
        <v>50.946307445947902</v>
      </c>
      <c r="B2882">
        <v>104.28110743849</v>
      </c>
      <c r="C2882">
        <v>2001</v>
      </c>
    </row>
    <row r="2883" spans="1:11" x14ac:dyDescent="0.25">
      <c r="A2883">
        <v>58.095913139682203</v>
      </c>
      <c r="B2883">
        <v>111.430713132224</v>
      </c>
      <c r="C2883">
        <v>2001</v>
      </c>
    </row>
    <row r="2884" spans="1:11" x14ac:dyDescent="0.25">
      <c r="A2884">
        <v>68.548841165433799</v>
      </c>
      <c r="B2884">
        <v>121.883641157976</v>
      </c>
      <c r="C2884">
        <v>2001</v>
      </c>
    </row>
    <row r="2885" spans="1:11" x14ac:dyDescent="0.25">
      <c r="A2885">
        <v>68.548841165433799</v>
      </c>
      <c r="B2885">
        <v>121.883641157976</v>
      </c>
      <c r="C2885">
        <v>2000</v>
      </c>
    </row>
    <row r="2886" spans="1:11" x14ac:dyDescent="0.25">
      <c r="A2886" t="s">
        <v>83</v>
      </c>
    </row>
    <row r="2887" spans="1:11" x14ac:dyDescent="0.25">
      <c r="A2887">
        <v>402</v>
      </c>
      <c r="B2887">
        <v>0</v>
      </c>
      <c r="C2887">
        <v>0</v>
      </c>
      <c r="D2887">
        <v>24.8917956338165</v>
      </c>
      <c r="E2887">
        <v>4</v>
      </c>
      <c r="F2887">
        <v>1.5707963267949001</v>
      </c>
      <c r="G2887" t="s">
        <v>84</v>
      </c>
      <c r="H2887" t="s">
        <v>81</v>
      </c>
      <c r="I2887">
        <v>406</v>
      </c>
      <c r="J2887">
        <v>0</v>
      </c>
      <c r="K2887">
        <v>0</v>
      </c>
    </row>
    <row r="2888" spans="1:11" x14ac:dyDescent="0.25">
      <c r="A2888" t="s">
        <v>82</v>
      </c>
    </row>
    <row r="2889" spans="1:11" x14ac:dyDescent="0.25">
      <c r="A2889">
        <v>132.39884251141899</v>
      </c>
      <c r="B2889">
        <v>128.97905477042301</v>
      </c>
      <c r="C2889">
        <v>2000</v>
      </c>
    </row>
    <row r="2890" spans="1:11" x14ac:dyDescent="0.25">
      <c r="A2890">
        <v>132.39884251141899</v>
      </c>
      <c r="B2890">
        <v>128.97905477042301</v>
      </c>
      <c r="C2890">
        <v>2001</v>
      </c>
    </row>
    <row r="2891" spans="1:11" x14ac:dyDescent="0.25">
      <c r="A2891">
        <v>150</v>
      </c>
      <c r="B2891">
        <v>146.58021225900401</v>
      </c>
      <c r="C2891">
        <v>2001</v>
      </c>
    </row>
    <row r="2892" spans="1:11" x14ac:dyDescent="0.25">
      <c r="A2892">
        <v>150</v>
      </c>
      <c r="B2892">
        <v>146.58021225900401</v>
      </c>
      <c r="C2892">
        <v>2000</v>
      </c>
    </row>
    <row r="2893" spans="1:11" x14ac:dyDescent="0.25">
      <c r="A2893" t="s">
        <v>83</v>
      </c>
    </row>
    <row r="2894" spans="1:11" x14ac:dyDescent="0.25">
      <c r="A2894">
        <v>173</v>
      </c>
      <c r="B2894">
        <v>0</v>
      </c>
      <c r="C2894">
        <v>24.7779635108264</v>
      </c>
      <c r="D2894">
        <v>0</v>
      </c>
      <c r="E2894">
        <v>9</v>
      </c>
      <c r="F2894">
        <v>1.5707963267949001</v>
      </c>
      <c r="G2894" t="s">
        <v>84</v>
      </c>
      <c r="H2894" t="s">
        <v>84</v>
      </c>
      <c r="I2894">
        <v>501</v>
      </c>
      <c r="J2894">
        <v>190</v>
      </c>
      <c r="K2894">
        <v>0</v>
      </c>
    </row>
    <row r="2895" spans="1:11" x14ac:dyDescent="0.25">
      <c r="A2895" t="s">
        <v>82</v>
      </c>
    </row>
    <row r="2896" spans="1:11" x14ac:dyDescent="0.25">
      <c r="A2896">
        <v>114.014439675498</v>
      </c>
      <c r="B2896">
        <v>54.217253941678102</v>
      </c>
      <c r="C2896">
        <v>2000</v>
      </c>
    </row>
    <row r="2897" spans="1:11" x14ac:dyDescent="0.25">
      <c r="A2897">
        <v>109.79718573382</v>
      </c>
      <c r="B2897">
        <v>50</v>
      </c>
      <c r="C2897">
        <v>2000</v>
      </c>
    </row>
    <row r="2898" spans="1:11" x14ac:dyDescent="0.25">
      <c r="A2898">
        <v>100</v>
      </c>
      <c r="B2898">
        <v>40.202814266180098</v>
      </c>
      <c r="C2898">
        <v>2000</v>
      </c>
    </row>
    <row r="2899" spans="1:11" x14ac:dyDescent="0.25">
      <c r="A2899">
        <v>96.493773652999806</v>
      </c>
      <c r="B2899">
        <v>36.696587919179898</v>
      </c>
      <c r="C2899">
        <v>2000</v>
      </c>
    </row>
    <row r="2900" spans="1:11" x14ac:dyDescent="0.25">
      <c r="A2900">
        <v>96.493773652999806</v>
      </c>
      <c r="B2900">
        <v>36.696587919179898</v>
      </c>
      <c r="C2900">
        <v>2001</v>
      </c>
    </row>
    <row r="2901" spans="1:11" x14ac:dyDescent="0.25">
      <c r="A2901">
        <v>100</v>
      </c>
      <c r="B2901">
        <v>40.202814266180098</v>
      </c>
      <c r="C2901">
        <v>2001</v>
      </c>
    </row>
    <row r="2902" spans="1:11" x14ac:dyDescent="0.25">
      <c r="A2902">
        <v>109.79718573382</v>
      </c>
      <c r="B2902">
        <v>50</v>
      </c>
      <c r="C2902">
        <v>2001</v>
      </c>
    </row>
    <row r="2903" spans="1:11" x14ac:dyDescent="0.25">
      <c r="A2903">
        <v>114.014439675498</v>
      </c>
      <c r="B2903">
        <v>54.217253941678102</v>
      </c>
      <c r="C2903">
        <v>2001</v>
      </c>
    </row>
    <row r="2904" spans="1:11" x14ac:dyDescent="0.25">
      <c r="A2904">
        <v>114.014439675498</v>
      </c>
      <c r="B2904">
        <v>54.217253941678102</v>
      </c>
      <c r="C2904">
        <v>2000</v>
      </c>
    </row>
    <row r="2905" spans="1:11" x14ac:dyDescent="0.25">
      <c r="A2905" t="s">
        <v>83</v>
      </c>
    </row>
    <row r="2906" spans="1:11" x14ac:dyDescent="0.25">
      <c r="A2906">
        <v>277</v>
      </c>
      <c r="B2906">
        <v>0</v>
      </c>
      <c r="C2906">
        <v>18.3520446546069</v>
      </c>
      <c r="D2906">
        <v>6.2090555496878004</v>
      </c>
      <c r="E2906">
        <v>6</v>
      </c>
      <c r="F2906">
        <v>1.01722196789785</v>
      </c>
      <c r="G2906" t="s">
        <v>84</v>
      </c>
      <c r="H2906" t="s">
        <v>84</v>
      </c>
      <c r="I2906">
        <v>723</v>
      </c>
      <c r="J2906">
        <v>254</v>
      </c>
      <c r="K2906">
        <v>0</v>
      </c>
    </row>
    <row r="2907" spans="1:11" x14ac:dyDescent="0.25">
      <c r="A2907" t="s">
        <v>82</v>
      </c>
    </row>
    <row r="2908" spans="1:11" x14ac:dyDescent="0.25">
      <c r="A2908">
        <v>117.330101323007</v>
      </c>
      <c r="B2908">
        <v>30.3318824797507</v>
      </c>
      <c r="C2908">
        <v>2000</v>
      </c>
    </row>
    <row r="2909" spans="1:11" x14ac:dyDescent="0.25">
      <c r="A2909">
        <v>104.353246099096</v>
      </c>
      <c r="B2909">
        <v>17.355027255839801</v>
      </c>
      <c r="C2909">
        <v>2000</v>
      </c>
    </row>
    <row r="2910" spans="1:11" x14ac:dyDescent="0.25">
      <c r="A2910">
        <v>104.79026212354501</v>
      </c>
      <c r="B2910">
        <v>16.918011231390999</v>
      </c>
      <c r="C2910">
        <v>2001</v>
      </c>
    </row>
    <row r="2911" spans="1:11" x14ac:dyDescent="0.25">
      <c r="A2911">
        <v>117.767117347455</v>
      </c>
      <c r="B2911">
        <v>29.894866455301901</v>
      </c>
      <c r="C2911">
        <v>2001</v>
      </c>
    </row>
    <row r="2912" spans="1:11" x14ac:dyDescent="0.25">
      <c r="A2912">
        <v>122.157582631404</v>
      </c>
      <c r="B2912">
        <v>34.285331739250097</v>
      </c>
      <c r="C2912">
        <v>2001</v>
      </c>
    </row>
    <row r="2913" spans="1:11" x14ac:dyDescent="0.25">
      <c r="A2913">
        <v>121.720566606955</v>
      </c>
      <c r="B2913">
        <v>34.722347763698899</v>
      </c>
      <c r="C2913">
        <v>2000</v>
      </c>
    </row>
    <row r="2914" spans="1:11" x14ac:dyDescent="0.25">
      <c r="A2914" t="s">
        <v>83</v>
      </c>
    </row>
    <row r="2915" spans="1:11" x14ac:dyDescent="0.25">
      <c r="A2915">
        <v>330</v>
      </c>
      <c r="B2915">
        <v>0</v>
      </c>
      <c r="C2915">
        <v>9.2599764186134905</v>
      </c>
      <c r="D2915">
        <v>15.127535747159699</v>
      </c>
      <c r="E2915">
        <v>8</v>
      </c>
      <c r="F2915">
        <v>1.5707963267949001</v>
      </c>
      <c r="G2915" t="s">
        <v>84</v>
      </c>
      <c r="H2915" t="s">
        <v>84</v>
      </c>
      <c r="I2915">
        <v>81</v>
      </c>
      <c r="J2915">
        <v>430</v>
      </c>
      <c r="K2915">
        <v>0</v>
      </c>
    </row>
    <row r="2916" spans="1:11" x14ac:dyDescent="0.25">
      <c r="A2916" t="s">
        <v>82</v>
      </c>
    </row>
    <row r="2917" spans="1:11" x14ac:dyDescent="0.25">
      <c r="A2917">
        <v>84.216041727557794</v>
      </c>
      <c r="B2917">
        <v>106.209393558656</v>
      </c>
      <c r="C2917">
        <v>2000</v>
      </c>
    </row>
    <row r="2918" spans="1:11" x14ac:dyDescent="0.25">
      <c r="A2918">
        <v>78.006648168902203</v>
      </c>
      <c r="B2918">
        <v>100</v>
      </c>
      <c r="C2918">
        <v>2000</v>
      </c>
    </row>
    <row r="2919" spans="1:11" x14ac:dyDescent="0.25">
      <c r="A2919">
        <v>77.668249608328694</v>
      </c>
      <c r="B2919">
        <v>99.661601439426505</v>
      </c>
      <c r="C2919">
        <v>2000</v>
      </c>
    </row>
    <row r="2920" spans="1:11" x14ac:dyDescent="0.25">
      <c r="A2920">
        <v>77.668249608328694</v>
      </c>
      <c r="B2920">
        <v>99.661601439426505</v>
      </c>
      <c r="C2920">
        <v>2001</v>
      </c>
    </row>
    <row r="2921" spans="1:11" x14ac:dyDescent="0.25">
      <c r="A2921">
        <v>78.006648168902203</v>
      </c>
      <c r="B2921">
        <v>100</v>
      </c>
      <c r="C2921">
        <v>2001</v>
      </c>
    </row>
    <row r="2922" spans="1:11" x14ac:dyDescent="0.25">
      <c r="A2922">
        <v>84.216041727557794</v>
      </c>
      <c r="B2922">
        <v>106.209393558656</v>
      </c>
      <c r="C2922">
        <v>2001</v>
      </c>
    </row>
    <row r="2923" spans="1:11" x14ac:dyDescent="0.25">
      <c r="A2923">
        <v>94.912824837016402</v>
      </c>
      <c r="B2923">
        <v>116.906176668114</v>
      </c>
      <c r="C2923">
        <v>2001</v>
      </c>
    </row>
    <row r="2924" spans="1:11" x14ac:dyDescent="0.25">
      <c r="A2924">
        <v>94.912824837016402</v>
      </c>
      <c r="B2924">
        <v>116.906176668114</v>
      </c>
      <c r="C2924">
        <v>2000</v>
      </c>
    </row>
    <row r="2925" spans="1:11" x14ac:dyDescent="0.25">
      <c r="A2925" t="s">
        <v>83</v>
      </c>
    </row>
    <row r="2926" spans="1:11" x14ac:dyDescent="0.25">
      <c r="A2926">
        <v>723</v>
      </c>
      <c r="B2926">
        <v>0</v>
      </c>
      <c r="C2926">
        <v>5.7883897807473597</v>
      </c>
      <c r="D2926">
        <v>18.0830145435723</v>
      </c>
      <c r="E2926">
        <v>8</v>
      </c>
      <c r="F2926">
        <v>1.01722196789785</v>
      </c>
      <c r="G2926" t="s">
        <v>81</v>
      </c>
      <c r="H2926" t="s">
        <v>84</v>
      </c>
      <c r="I2926">
        <v>0</v>
      </c>
      <c r="J2926">
        <v>277</v>
      </c>
      <c r="K2926">
        <v>0.13160878275062499</v>
      </c>
    </row>
    <row r="2927" spans="1:11" x14ac:dyDescent="0.25">
      <c r="A2927" t="s">
        <v>82</v>
      </c>
    </row>
    <row r="2928" spans="1:11" x14ac:dyDescent="0.25">
      <c r="A2928">
        <v>92.404821031195397</v>
      </c>
      <c r="B2928">
        <v>4.0187954001556498</v>
      </c>
      <c r="C2928">
        <v>2000</v>
      </c>
    </row>
    <row r="2929" spans="1:11" x14ac:dyDescent="0.25">
      <c r="A2929">
        <v>88.3860256310398</v>
      </c>
      <c r="B2929">
        <v>0</v>
      </c>
      <c r="C2929">
        <v>2000</v>
      </c>
    </row>
    <row r="2930" spans="1:11" x14ac:dyDescent="0.25">
      <c r="A2930">
        <v>87.511993582142097</v>
      </c>
      <c r="B2930">
        <v>0</v>
      </c>
      <c r="C2930">
        <v>2001</v>
      </c>
    </row>
    <row r="2931" spans="1:11" x14ac:dyDescent="0.25">
      <c r="A2931">
        <v>91.679217514221193</v>
      </c>
      <c r="B2931">
        <v>4.1672239320790903</v>
      </c>
      <c r="C2931">
        <v>2001</v>
      </c>
    </row>
    <row r="2932" spans="1:11" x14ac:dyDescent="0.25">
      <c r="A2932">
        <v>99.781491987775595</v>
      </c>
      <c r="B2932">
        <v>12.269498405633501</v>
      </c>
      <c r="C2932">
        <v>2001</v>
      </c>
    </row>
    <row r="2933" spans="1:11" x14ac:dyDescent="0.25">
      <c r="A2933">
        <v>104.610133468539</v>
      </c>
      <c r="B2933">
        <v>17.098139886396702</v>
      </c>
      <c r="C2933">
        <v>2001</v>
      </c>
    </row>
    <row r="2934" spans="1:11" x14ac:dyDescent="0.25">
      <c r="A2934">
        <v>105.047149492988</v>
      </c>
      <c r="B2934">
        <v>16.6611238619479</v>
      </c>
      <c r="C2934">
        <v>2000</v>
      </c>
    </row>
    <row r="2935" spans="1:11" x14ac:dyDescent="0.25">
      <c r="A2935">
        <v>100.21850801222401</v>
      </c>
      <c r="B2935">
        <v>11.832482381184599</v>
      </c>
      <c r="C2935">
        <v>2000</v>
      </c>
    </row>
    <row r="2936" spans="1:11" x14ac:dyDescent="0.25">
      <c r="A2936" t="s">
        <v>83</v>
      </c>
    </row>
    <row r="2937" spans="1:11" x14ac:dyDescent="0.25">
      <c r="A2937">
        <v>324</v>
      </c>
      <c r="B2937">
        <v>0</v>
      </c>
      <c r="C2937">
        <v>12.0535109187253</v>
      </c>
      <c r="D2937">
        <v>11.6181689456774</v>
      </c>
      <c r="E2937">
        <v>6</v>
      </c>
      <c r="F2937">
        <v>1.5707963267949001</v>
      </c>
      <c r="G2937" t="s">
        <v>84</v>
      </c>
      <c r="H2937" t="s">
        <v>84</v>
      </c>
      <c r="I2937">
        <v>574</v>
      </c>
      <c r="J2937">
        <v>326</v>
      </c>
      <c r="K2937">
        <v>0</v>
      </c>
    </row>
    <row r="2938" spans="1:11" x14ac:dyDescent="0.25">
      <c r="A2938" t="s">
        <v>82</v>
      </c>
    </row>
    <row r="2939" spans="1:11" x14ac:dyDescent="0.25">
      <c r="A2939">
        <v>59.361660938878401</v>
      </c>
      <c r="B2939">
        <v>133.58629241519901</v>
      </c>
      <c r="C2939">
        <v>2000</v>
      </c>
    </row>
    <row r="2940" spans="1:11" x14ac:dyDescent="0.25">
      <c r="A2940">
        <v>50.838541631141602</v>
      </c>
      <c r="B2940">
        <v>125.06317310746201</v>
      </c>
      <c r="C2940">
        <v>2000</v>
      </c>
    </row>
    <row r="2941" spans="1:11" x14ac:dyDescent="0.25">
      <c r="A2941">
        <v>50.838541631141602</v>
      </c>
      <c r="B2941">
        <v>125.06317310746201</v>
      </c>
      <c r="C2941">
        <v>2001</v>
      </c>
    </row>
    <row r="2942" spans="1:11" x14ac:dyDescent="0.25">
      <c r="A2942">
        <v>59.361660938878401</v>
      </c>
      <c r="B2942">
        <v>133.58629241519901</v>
      </c>
      <c r="C2942">
        <v>2001</v>
      </c>
    </row>
    <row r="2943" spans="1:11" x14ac:dyDescent="0.25">
      <c r="A2943">
        <v>67.576946985337798</v>
      </c>
      <c r="B2943">
        <v>141.80157846165801</v>
      </c>
      <c r="C2943">
        <v>2001</v>
      </c>
    </row>
    <row r="2944" spans="1:11" x14ac:dyDescent="0.25">
      <c r="A2944">
        <v>67.576946985337798</v>
      </c>
      <c r="B2944">
        <v>141.80157846165801</v>
      </c>
      <c r="C2944">
        <v>2000</v>
      </c>
    </row>
    <row r="2945" spans="1:11" x14ac:dyDescent="0.25">
      <c r="A2945" t="s">
        <v>83</v>
      </c>
    </row>
    <row r="2946" spans="1:11" x14ac:dyDescent="0.25">
      <c r="A2946">
        <v>579</v>
      </c>
      <c r="B2946">
        <v>0</v>
      </c>
      <c r="C2946">
        <v>18.321309850409602</v>
      </c>
      <c r="D2946">
        <v>5.2528271288531396</v>
      </c>
      <c r="E2946">
        <v>6</v>
      </c>
      <c r="F2946">
        <v>1.5707963267949001</v>
      </c>
      <c r="G2946" t="s">
        <v>81</v>
      </c>
      <c r="H2946" t="s">
        <v>84</v>
      </c>
      <c r="I2946">
        <v>0</v>
      </c>
      <c r="J2946">
        <v>577</v>
      </c>
      <c r="K2946">
        <v>0</v>
      </c>
    </row>
    <row r="2947" spans="1:11" x14ac:dyDescent="0.25">
      <c r="A2947" t="s">
        <v>82</v>
      </c>
    </row>
    <row r="2948" spans="1:11" x14ac:dyDescent="0.25">
      <c r="A2948">
        <v>12.955122435444601</v>
      </c>
      <c r="B2948">
        <v>115.460754065058</v>
      </c>
      <c r="C2948">
        <v>2000</v>
      </c>
    </row>
    <row r="2949" spans="1:11" x14ac:dyDescent="0.25">
      <c r="A2949">
        <v>0</v>
      </c>
      <c r="B2949">
        <v>102.50563162961301</v>
      </c>
      <c r="C2949">
        <v>2000</v>
      </c>
    </row>
    <row r="2950" spans="1:11" x14ac:dyDescent="0.25">
      <c r="A2950">
        <v>0</v>
      </c>
      <c r="B2950">
        <v>102.50563162961301</v>
      </c>
      <c r="C2950">
        <v>2001</v>
      </c>
    </row>
    <row r="2951" spans="1:11" x14ac:dyDescent="0.25">
      <c r="A2951">
        <v>12.955122435444601</v>
      </c>
      <c r="B2951">
        <v>115.460754065058</v>
      </c>
      <c r="C2951">
        <v>2001</v>
      </c>
    </row>
    <row r="2952" spans="1:11" x14ac:dyDescent="0.25">
      <c r="A2952">
        <v>16.669432118657301</v>
      </c>
      <c r="B2952">
        <v>119.17506374827001</v>
      </c>
      <c r="C2952">
        <v>2001</v>
      </c>
    </row>
    <row r="2953" spans="1:11" x14ac:dyDescent="0.25">
      <c r="A2953">
        <v>16.669432118657301</v>
      </c>
      <c r="B2953">
        <v>119.17506374827001</v>
      </c>
      <c r="C2953">
        <v>2000</v>
      </c>
    </row>
    <row r="2954" spans="1:11" x14ac:dyDescent="0.25">
      <c r="A2954" t="s">
        <v>83</v>
      </c>
    </row>
    <row r="2955" spans="1:11" x14ac:dyDescent="0.25">
      <c r="A2955">
        <v>644</v>
      </c>
      <c r="B2955">
        <v>0</v>
      </c>
      <c r="C2955">
        <v>10.674619190287601</v>
      </c>
      <c r="D2955">
        <v>12.6991153667124</v>
      </c>
      <c r="E2955">
        <v>6</v>
      </c>
      <c r="F2955">
        <v>1.5707963267949001</v>
      </c>
      <c r="G2955" t="s">
        <v>84</v>
      </c>
      <c r="H2955" t="s">
        <v>84</v>
      </c>
      <c r="I2955">
        <v>642</v>
      </c>
      <c r="J2955">
        <v>648</v>
      </c>
      <c r="K2955">
        <v>0</v>
      </c>
    </row>
    <row r="2956" spans="1:11" x14ac:dyDescent="0.25">
      <c r="A2956" t="s">
        <v>82</v>
      </c>
    </row>
    <row r="2957" spans="1:11" x14ac:dyDescent="0.25">
      <c r="A2957">
        <v>33.896459340535301</v>
      </c>
      <c r="B2957">
        <v>89.278016432317898</v>
      </c>
      <c r="C2957">
        <v>2000</v>
      </c>
    </row>
    <row r="2958" spans="1:11" x14ac:dyDescent="0.25">
      <c r="A2958">
        <v>26.348363724498899</v>
      </c>
      <c r="B2958">
        <v>81.729920816281506</v>
      </c>
      <c r="C2958">
        <v>2000</v>
      </c>
    </row>
    <row r="2959" spans="1:11" x14ac:dyDescent="0.25">
      <c r="A2959">
        <v>26.348363724498899</v>
      </c>
      <c r="B2959">
        <v>81.729920816281506</v>
      </c>
      <c r="C2959">
        <v>2001</v>
      </c>
    </row>
    <row r="2960" spans="1:11" x14ac:dyDescent="0.25">
      <c r="A2960">
        <v>33.896459340535301</v>
      </c>
      <c r="B2960">
        <v>89.278016432317898</v>
      </c>
      <c r="C2960">
        <v>2001</v>
      </c>
    </row>
    <row r="2961" spans="1:11" x14ac:dyDescent="0.25">
      <c r="A2961">
        <v>42.876089931408004</v>
      </c>
      <c r="B2961">
        <v>98.2576470231906</v>
      </c>
      <c r="C2961">
        <v>2001</v>
      </c>
    </row>
    <row r="2962" spans="1:11" x14ac:dyDescent="0.25">
      <c r="A2962">
        <v>42.876089931408004</v>
      </c>
      <c r="B2962">
        <v>98.2576470231906</v>
      </c>
      <c r="C2962">
        <v>2000</v>
      </c>
    </row>
    <row r="2963" spans="1:11" x14ac:dyDescent="0.25">
      <c r="A2963" t="s">
        <v>83</v>
      </c>
    </row>
    <row r="2964" spans="1:11" x14ac:dyDescent="0.25">
      <c r="A2964">
        <v>428</v>
      </c>
      <c r="B2964">
        <v>0</v>
      </c>
      <c r="C2964">
        <v>21.627493270741901</v>
      </c>
      <c r="D2964">
        <v>1.71052176397731</v>
      </c>
      <c r="E2964">
        <v>6</v>
      </c>
      <c r="F2964">
        <v>1.01722196789785</v>
      </c>
      <c r="G2964" t="s">
        <v>84</v>
      </c>
      <c r="H2964" t="s">
        <v>81</v>
      </c>
      <c r="I2964">
        <v>412</v>
      </c>
      <c r="J2964">
        <v>0</v>
      </c>
      <c r="K2964">
        <v>0</v>
      </c>
    </row>
    <row r="2965" spans="1:11" x14ac:dyDescent="0.25">
      <c r="A2965" t="s">
        <v>82</v>
      </c>
    </row>
    <row r="2966" spans="1:11" x14ac:dyDescent="0.25">
      <c r="A2966">
        <v>115.72952060038401</v>
      </c>
      <c r="B2966">
        <v>148.806493649847</v>
      </c>
      <c r="C2966">
        <v>2000</v>
      </c>
    </row>
    <row r="2967" spans="1:11" x14ac:dyDescent="0.25">
      <c r="A2967">
        <v>100.639066272278</v>
      </c>
      <c r="B2967">
        <v>133.71603932174099</v>
      </c>
      <c r="C2967">
        <v>2000</v>
      </c>
    </row>
    <row r="2968" spans="1:11" x14ac:dyDescent="0.25">
      <c r="A2968">
        <v>101.07608229672699</v>
      </c>
      <c r="B2968">
        <v>133.27902329729201</v>
      </c>
      <c r="C2968">
        <v>2001</v>
      </c>
    </row>
    <row r="2969" spans="1:11" x14ac:dyDescent="0.25">
      <c r="A2969">
        <v>116.571522272237</v>
      </c>
      <c r="B2969">
        <v>148.774463272802</v>
      </c>
      <c r="C2969">
        <v>2001</v>
      </c>
    </row>
    <row r="2970" spans="1:11" x14ac:dyDescent="0.25">
      <c r="A2970">
        <v>117.797058999435</v>
      </c>
      <c r="B2970">
        <v>150</v>
      </c>
      <c r="C2970">
        <v>2001</v>
      </c>
    </row>
    <row r="2971" spans="1:11" x14ac:dyDescent="0.25">
      <c r="A2971">
        <v>116.92302695053699</v>
      </c>
      <c r="B2971">
        <v>150</v>
      </c>
      <c r="C2971">
        <v>2000</v>
      </c>
    </row>
    <row r="2972" spans="1:11" x14ac:dyDescent="0.25">
      <c r="A2972" t="s">
        <v>83</v>
      </c>
    </row>
    <row r="2973" spans="1:11" x14ac:dyDescent="0.25">
      <c r="A2973">
        <v>322</v>
      </c>
      <c r="B2973">
        <v>0</v>
      </c>
      <c r="C2973">
        <v>0</v>
      </c>
      <c r="D2973">
        <v>23.040422049036898</v>
      </c>
      <c r="E2973">
        <v>6</v>
      </c>
      <c r="F2973">
        <v>1.5707963267949001</v>
      </c>
      <c r="G2973" t="s">
        <v>84</v>
      </c>
      <c r="H2973" t="s">
        <v>81</v>
      </c>
      <c r="I2973">
        <v>670</v>
      </c>
      <c r="J2973">
        <v>0</v>
      </c>
      <c r="K2973">
        <v>0</v>
      </c>
    </row>
    <row r="2974" spans="1:11" x14ac:dyDescent="0.25">
      <c r="A2974" t="s">
        <v>82</v>
      </c>
    </row>
    <row r="2975" spans="1:11" x14ac:dyDescent="0.25">
      <c r="A2975">
        <v>95.220659077270298</v>
      </c>
      <c r="B2975">
        <v>133.707961327726</v>
      </c>
      <c r="C2975">
        <v>2000</v>
      </c>
    </row>
    <row r="2976" spans="1:11" x14ac:dyDescent="0.25">
      <c r="A2976">
        <v>95.220659077270298</v>
      </c>
      <c r="B2976">
        <v>133.707961327726</v>
      </c>
      <c r="C2976">
        <v>2001</v>
      </c>
    </row>
    <row r="2977" spans="1:11" x14ac:dyDescent="0.25">
      <c r="A2977">
        <v>100</v>
      </c>
      <c r="B2977">
        <v>138.487302250456</v>
      </c>
      <c r="C2977">
        <v>2001</v>
      </c>
    </row>
    <row r="2978" spans="1:11" x14ac:dyDescent="0.25">
      <c r="A2978">
        <v>111.512697749544</v>
      </c>
      <c r="B2978">
        <v>150</v>
      </c>
      <c r="C2978">
        <v>2001</v>
      </c>
    </row>
    <row r="2979" spans="1:11" x14ac:dyDescent="0.25">
      <c r="A2979">
        <v>111.512697749544</v>
      </c>
      <c r="B2979">
        <v>150</v>
      </c>
      <c r="C2979">
        <v>2000</v>
      </c>
    </row>
    <row r="2980" spans="1:11" x14ac:dyDescent="0.25">
      <c r="A2980">
        <v>100</v>
      </c>
      <c r="B2980">
        <v>138.487302250456</v>
      </c>
      <c r="C2980">
        <v>2000</v>
      </c>
    </row>
    <row r="2981" spans="1:11" x14ac:dyDescent="0.25">
      <c r="A2981" t="s">
        <v>83</v>
      </c>
    </row>
    <row r="2982" spans="1:11" x14ac:dyDescent="0.25">
      <c r="A2982">
        <v>268</v>
      </c>
      <c r="B2982">
        <v>0</v>
      </c>
      <c r="C2982">
        <v>12.265304790670999</v>
      </c>
      <c r="D2982">
        <v>10.6994247829026</v>
      </c>
      <c r="E2982">
        <v>8</v>
      </c>
      <c r="F2982">
        <v>1.01722196789785</v>
      </c>
      <c r="G2982" t="s">
        <v>84</v>
      </c>
      <c r="H2982" t="s">
        <v>84</v>
      </c>
      <c r="I2982">
        <v>733</v>
      </c>
      <c r="J2982">
        <v>245</v>
      </c>
      <c r="K2982">
        <v>0</v>
      </c>
    </row>
    <row r="2983" spans="1:11" x14ac:dyDescent="0.25">
      <c r="A2983" t="s">
        <v>82</v>
      </c>
    </row>
    <row r="2984" spans="1:11" x14ac:dyDescent="0.25">
      <c r="A2984">
        <v>104.788340517682</v>
      </c>
      <c r="B2984">
        <v>18.634672165217001</v>
      </c>
      <c r="C2984">
        <v>2000</v>
      </c>
    </row>
    <row r="2985" spans="1:11" x14ac:dyDescent="0.25">
      <c r="A2985">
        <v>100.21850801222401</v>
      </c>
      <c r="B2985">
        <v>14.064839659759</v>
      </c>
      <c r="C2985">
        <v>2000</v>
      </c>
    </row>
    <row r="2986" spans="1:11" x14ac:dyDescent="0.25">
      <c r="A2986">
        <v>96.115460326879102</v>
      </c>
      <c r="B2986">
        <v>9.9617919744137193</v>
      </c>
      <c r="C2986">
        <v>2000</v>
      </c>
    </row>
    <row r="2987" spans="1:11" x14ac:dyDescent="0.25">
      <c r="A2987">
        <v>95.678444302430293</v>
      </c>
      <c r="B2987">
        <v>10.3988079988625</v>
      </c>
      <c r="C2987">
        <v>2001</v>
      </c>
    </row>
    <row r="2988" spans="1:11" x14ac:dyDescent="0.25">
      <c r="A2988">
        <v>99.781491987775595</v>
      </c>
      <c r="B2988">
        <v>14.5018556842079</v>
      </c>
      <c r="C2988">
        <v>2001</v>
      </c>
    </row>
    <row r="2989" spans="1:11" x14ac:dyDescent="0.25">
      <c r="A2989">
        <v>104.351324493234</v>
      </c>
      <c r="B2989">
        <v>19.071688189665799</v>
      </c>
      <c r="C2989">
        <v>2001</v>
      </c>
    </row>
    <row r="2990" spans="1:11" x14ac:dyDescent="0.25">
      <c r="A2990">
        <v>111.916960312019</v>
      </c>
      <c r="B2990">
        <v>26.6373240084516</v>
      </c>
      <c r="C2990">
        <v>2001</v>
      </c>
    </row>
    <row r="2991" spans="1:11" x14ac:dyDescent="0.25">
      <c r="A2991">
        <v>112.35397633646799</v>
      </c>
      <c r="B2991">
        <v>26.200307984002801</v>
      </c>
      <c r="C2991">
        <v>2000</v>
      </c>
    </row>
    <row r="2992" spans="1:11" x14ac:dyDescent="0.25">
      <c r="A2992" t="s">
        <v>83</v>
      </c>
    </row>
    <row r="2993" spans="1:11" x14ac:dyDescent="0.25">
      <c r="A2993">
        <v>567</v>
      </c>
      <c r="B2993">
        <v>0</v>
      </c>
      <c r="C2993">
        <v>5.9420602527215998</v>
      </c>
      <c r="D2993">
        <v>16.7719629529599</v>
      </c>
      <c r="E2993">
        <v>6</v>
      </c>
      <c r="F2993">
        <v>1.5707963267949001</v>
      </c>
      <c r="G2993" t="s">
        <v>81</v>
      </c>
      <c r="H2993" t="s">
        <v>81</v>
      </c>
      <c r="I2993">
        <v>0</v>
      </c>
      <c r="J2993">
        <v>0</v>
      </c>
      <c r="K2993">
        <v>0</v>
      </c>
    </row>
    <row r="2994" spans="1:11" x14ac:dyDescent="0.25">
      <c r="A2994" t="s">
        <v>82</v>
      </c>
    </row>
    <row r="2995" spans="1:11" x14ac:dyDescent="0.25">
      <c r="A2995">
        <v>4.2016710989184904</v>
      </c>
      <c r="B2995">
        <v>138.14043126215199</v>
      </c>
      <c r="C2995">
        <v>2000</v>
      </c>
    </row>
    <row r="2996" spans="1:11" x14ac:dyDescent="0.25">
      <c r="A2996">
        <v>0</v>
      </c>
      <c r="B2996">
        <v>133.93876016323401</v>
      </c>
      <c r="C2996">
        <v>2000</v>
      </c>
    </row>
    <row r="2997" spans="1:11" x14ac:dyDescent="0.25">
      <c r="A2997">
        <v>0</v>
      </c>
      <c r="B2997">
        <v>133.93876016323401</v>
      </c>
      <c r="C2997">
        <v>2001</v>
      </c>
    </row>
    <row r="2998" spans="1:11" x14ac:dyDescent="0.25">
      <c r="A2998">
        <v>4.2016710989184904</v>
      </c>
      <c r="B2998">
        <v>138.14043126215199</v>
      </c>
      <c r="C2998">
        <v>2001</v>
      </c>
    </row>
    <row r="2999" spans="1:11" x14ac:dyDescent="0.25">
      <c r="A2999">
        <v>16.061239836765999</v>
      </c>
      <c r="B2999">
        <v>150</v>
      </c>
      <c r="C2999">
        <v>2001</v>
      </c>
    </row>
    <row r="3000" spans="1:11" x14ac:dyDescent="0.25">
      <c r="A3000">
        <v>16.061239836765999</v>
      </c>
      <c r="B3000">
        <v>150</v>
      </c>
      <c r="C3000">
        <v>2000</v>
      </c>
    </row>
    <row r="3001" spans="1:11" x14ac:dyDescent="0.25">
      <c r="A3001" t="s">
        <v>83</v>
      </c>
    </row>
    <row r="3002" spans="1:11" x14ac:dyDescent="0.25">
      <c r="A3002">
        <v>22</v>
      </c>
      <c r="B3002">
        <v>0</v>
      </c>
      <c r="C3002">
        <v>1.8777443319642899</v>
      </c>
      <c r="D3002">
        <v>20.600083170763199</v>
      </c>
      <c r="E3002">
        <v>6</v>
      </c>
      <c r="F3002">
        <v>1.01722196789785</v>
      </c>
      <c r="G3002" t="s">
        <v>84</v>
      </c>
      <c r="H3002" t="s">
        <v>84</v>
      </c>
      <c r="I3002">
        <v>6</v>
      </c>
      <c r="J3002">
        <v>23</v>
      </c>
      <c r="K3002">
        <v>0</v>
      </c>
    </row>
    <row r="3003" spans="1:11" x14ac:dyDescent="0.25">
      <c r="A3003" t="s">
        <v>82</v>
      </c>
    </row>
    <row r="3004" spans="1:11" x14ac:dyDescent="0.25">
      <c r="A3004">
        <v>10.950238266466499</v>
      </c>
      <c r="B3004">
        <v>12.797568414736199</v>
      </c>
      <c r="C3004">
        <v>2000</v>
      </c>
    </row>
    <row r="3005" spans="1:11" x14ac:dyDescent="0.25">
      <c r="A3005">
        <v>9.6224725159999203</v>
      </c>
      <c r="B3005">
        <v>11.469802664269601</v>
      </c>
      <c r="C3005">
        <v>2000</v>
      </c>
    </row>
    <row r="3006" spans="1:11" x14ac:dyDescent="0.25">
      <c r="A3006">
        <v>9.1854564915511006</v>
      </c>
      <c r="B3006">
        <v>11.906818688718401</v>
      </c>
      <c r="C3006">
        <v>2001</v>
      </c>
    </row>
    <row r="3007" spans="1:11" x14ac:dyDescent="0.25">
      <c r="A3007">
        <v>10.513222242017701</v>
      </c>
      <c r="B3007">
        <v>13.234584439184999</v>
      </c>
      <c r="C3007">
        <v>2001</v>
      </c>
    </row>
    <row r="3008" spans="1:11" x14ac:dyDescent="0.25">
      <c r="A3008">
        <v>25.079680745071201</v>
      </c>
      <c r="B3008">
        <v>27.801042942238499</v>
      </c>
      <c r="C3008">
        <v>2001</v>
      </c>
    </row>
    <row r="3009" spans="1:11" x14ac:dyDescent="0.25">
      <c r="A3009">
        <v>25.516696769519999</v>
      </c>
      <c r="B3009">
        <v>27.364026917789701</v>
      </c>
      <c r="C3009">
        <v>2000</v>
      </c>
    </row>
    <row r="3010" spans="1:11" x14ac:dyDescent="0.25">
      <c r="A3010" t="s">
        <v>83</v>
      </c>
    </row>
    <row r="3011" spans="1:11" x14ac:dyDescent="0.25">
      <c r="A3011">
        <v>254</v>
      </c>
      <c r="B3011">
        <v>0</v>
      </c>
      <c r="C3011">
        <v>0</v>
      </c>
      <c r="D3011">
        <v>22.282302729961899</v>
      </c>
      <c r="E3011">
        <v>6</v>
      </c>
      <c r="F3011">
        <v>1.5707963267949001</v>
      </c>
      <c r="G3011" t="s">
        <v>84</v>
      </c>
      <c r="H3011" t="s">
        <v>84</v>
      </c>
      <c r="I3011">
        <v>277</v>
      </c>
      <c r="J3011">
        <v>753</v>
      </c>
      <c r="K3011">
        <v>0</v>
      </c>
    </row>
    <row r="3012" spans="1:11" x14ac:dyDescent="0.25">
      <c r="A3012" t="s">
        <v>82</v>
      </c>
    </row>
    <row r="3013" spans="1:11" x14ac:dyDescent="0.25">
      <c r="A3013">
        <v>122.035399683302</v>
      </c>
      <c r="B3013">
        <v>34.4075146873517</v>
      </c>
      <c r="C3013">
        <v>2000</v>
      </c>
    </row>
    <row r="3014" spans="1:11" x14ac:dyDescent="0.25">
      <c r="A3014">
        <v>122.035399683302</v>
      </c>
      <c r="B3014">
        <v>34.4075146873517</v>
      </c>
      <c r="C3014">
        <v>2001</v>
      </c>
    </row>
    <row r="3015" spans="1:11" x14ac:dyDescent="0.25">
      <c r="A3015">
        <v>137.62788499595001</v>
      </c>
      <c r="B3015">
        <v>50</v>
      </c>
      <c r="C3015">
        <v>2001</v>
      </c>
    </row>
    <row r="3016" spans="1:11" x14ac:dyDescent="0.25">
      <c r="A3016">
        <v>137.79136704410999</v>
      </c>
      <c r="B3016">
        <v>50.163482048159203</v>
      </c>
      <c r="C3016">
        <v>2001</v>
      </c>
    </row>
    <row r="3017" spans="1:11" x14ac:dyDescent="0.25">
      <c r="A3017">
        <v>137.79136704410999</v>
      </c>
      <c r="B3017">
        <v>50.163482048159203</v>
      </c>
      <c r="C3017">
        <v>2000</v>
      </c>
    </row>
    <row r="3018" spans="1:11" x14ac:dyDescent="0.25">
      <c r="A3018">
        <v>137.62788499595001</v>
      </c>
      <c r="B3018">
        <v>50</v>
      </c>
      <c r="C3018">
        <v>2000</v>
      </c>
    </row>
    <row r="3019" spans="1:11" x14ac:dyDescent="0.25">
      <c r="A3019" t="s">
        <v>83</v>
      </c>
    </row>
    <row r="3020" spans="1:11" x14ac:dyDescent="0.25">
      <c r="A3020">
        <v>504</v>
      </c>
      <c r="B3020">
        <v>0</v>
      </c>
      <c r="C3020">
        <v>6.8040603417040399</v>
      </c>
      <c r="D3020">
        <v>15.3830159866505</v>
      </c>
      <c r="E3020">
        <v>6</v>
      </c>
      <c r="F3020">
        <v>1.01722196789785</v>
      </c>
      <c r="G3020" t="s">
        <v>81</v>
      </c>
      <c r="H3020" t="s">
        <v>84</v>
      </c>
      <c r="I3020">
        <v>0</v>
      </c>
      <c r="J3020">
        <v>267</v>
      </c>
      <c r="K3020">
        <v>0</v>
      </c>
    </row>
    <row r="3021" spans="1:11" x14ac:dyDescent="0.25">
      <c r="A3021" t="s">
        <v>82</v>
      </c>
    </row>
    <row r="3022" spans="1:11" x14ac:dyDescent="0.25">
      <c r="A3022">
        <v>75.023149247578701</v>
      </c>
      <c r="B3022">
        <v>4.8782065634032401</v>
      </c>
      <c r="C3022">
        <v>2000</v>
      </c>
    </row>
    <row r="3023" spans="1:11" x14ac:dyDescent="0.25">
      <c r="A3023">
        <v>70.144942684175504</v>
      </c>
      <c r="B3023">
        <v>0</v>
      </c>
      <c r="C3023">
        <v>2000</v>
      </c>
    </row>
    <row r="3024" spans="1:11" x14ac:dyDescent="0.25">
      <c r="A3024">
        <v>71.018974733073094</v>
      </c>
      <c r="B3024">
        <v>0</v>
      </c>
      <c r="C3024">
        <v>2001</v>
      </c>
    </row>
    <row r="3025" spans="1:11" x14ac:dyDescent="0.25">
      <c r="A3025">
        <v>75.763162584112706</v>
      </c>
      <c r="B3025">
        <v>4.7441878510395297</v>
      </c>
      <c r="C3025">
        <v>2001</v>
      </c>
    </row>
    <row r="3026" spans="1:11" x14ac:dyDescent="0.25">
      <c r="A3026">
        <v>86.489098847331704</v>
      </c>
      <c r="B3026">
        <v>15.470124114258599</v>
      </c>
      <c r="C3026">
        <v>2001</v>
      </c>
    </row>
    <row r="3027" spans="1:11" x14ac:dyDescent="0.25">
      <c r="A3027">
        <v>86.052082822882895</v>
      </c>
      <c r="B3027">
        <v>15.907140138707399</v>
      </c>
      <c r="C3027">
        <v>2000</v>
      </c>
    </row>
    <row r="3028" spans="1:11" x14ac:dyDescent="0.25">
      <c r="A3028" t="s">
        <v>83</v>
      </c>
    </row>
    <row r="3029" spans="1:11" x14ac:dyDescent="0.25">
      <c r="A3029">
        <v>111</v>
      </c>
      <c r="B3029">
        <v>0</v>
      </c>
      <c r="C3029">
        <v>6.9255577546899998</v>
      </c>
      <c r="D3029">
        <v>15.0546010696098</v>
      </c>
      <c r="E3029">
        <v>8</v>
      </c>
      <c r="F3029">
        <v>1.01722196789785</v>
      </c>
      <c r="G3029" t="s">
        <v>84</v>
      </c>
      <c r="H3029" t="s">
        <v>84</v>
      </c>
      <c r="I3029">
        <v>100</v>
      </c>
      <c r="J3029">
        <v>174</v>
      </c>
      <c r="K3029">
        <v>0</v>
      </c>
    </row>
    <row r="3030" spans="1:11" x14ac:dyDescent="0.25">
      <c r="A3030" t="s">
        <v>82</v>
      </c>
    </row>
    <row r="3031" spans="1:11" x14ac:dyDescent="0.25">
      <c r="A3031">
        <v>92.591062025437793</v>
      </c>
      <c r="B3031">
        <v>73.5847806164969</v>
      </c>
      <c r="C3031">
        <v>2000</v>
      </c>
    </row>
    <row r="3032" spans="1:11" x14ac:dyDescent="0.25">
      <c r="A3032">
        <v>87.693953173597393</v>
      </c>
      <c r="B3032">
        <v>68.6876717646565</v>
      </c>
      <c r="C3032">
        <v>2000</v>
      </c>
    </row>
    <row r="3033" spans="1:11" x14ac:dyDescent="0.25">
      <c r="A3033">
        <v>87.256937149148598</v>
      </c>
      <c r="B3033">
        <v>69.124687789105295</v>
      </c>
      <c r="C3033">
        <v>2001</v>
      </c>
    </row>
    <row r="3034" spans="1:11" x14ac:dyDescent="0.25">
      <c r="A3034">
        <v>92.154046000988998</v>
      </c>
      <c r="B3034">
        <v>74.021796640945695</v>
      </c>
      <c r="C3034">
        <v>2001</v>
      </c>
    </row>
    <row r="3035" spans="1:11" x14ac:dyDescent="0.25">
      <c r="A3035">
        <v>99.781491987775595</v>
      </c>
      <c r="B3035">
        <v>81.649242627732306</v>
      </c>
      <c r="C3035">
        <v>2001</v>
      </c>
    </row>
    <row r="3036" spans="1:11" x14ac:dyDescent="0.25">
      <c r="A3036">
        <v>102.79925650536801</v>
      </c>
      <c r="B3036">
        <v>84.667007145325002</v>
      </c>
      <c r="C3036">
        <v>2001</v>
      </c>
    </row>
    <row r="3037" spans="1:11" x14ac:dyDescent="0.25">
      <c r="A3037">
        <v>103.236272529817</v>
      </c>
      <c r="B3037">
        <v>84.229991120876207</v>
      </c>
      <c r="C3037">
        <v>2000</v>
      </c>
    </row>
    <row r="3038" spans="1:11" x14ac:dyDescent="0.25">
      <c r="A3038">
        <v>100.21850801222401</v>
      </c>
      <c r="B3038">
        <v>81.212226603283497</v>
      </c>
      <c r="C3038">
        <v>2000</v>
      </c>
    </row>
    <row r="3039" spans="1:11" x14ac:dyDescent="0.25">
      <c r="A3039" t="s">
        <v>83</v>
      </c>
    </row>
    <row r="3040" spans="1:11" x14ac:dyDescent="0.25">
      <c r="A3040">
        <v>742</v>
      </c>
      <c r="B3040">
        <v>0</v>
      </c>
      <c r="C3040">
        <v>16.764042934503799</v>
      </c>
      <c r="D3040">
        <v>5.2026835054792802</v>
      </c>
      <c r="E3040">
        <v>6</v>
      </c>
      <c r="F3040">
        <v>1.01722196789785</v>
      </c>
      <c r="G3040" t="s">
        <v>81</v>
      </c>
      <c r="H3040" t="s">
        <v>84</v>
      </c>
      <c r="I3040">
        <v>0</v>
      </c>
      <c r="J3040">
        <v>642</v>
      </c>
      <c r="K3040">
        <v>0.13295790203782501</v>
      </c>
    </row>
    <row r="3041" spans="1:11" x14ac:dyDescent="0.25">
      <c r="A3041" t="s">
        <v>82</v>
      </c>
    </row>
    <row r="3042" spans="1:11" x14ac:dyDescent="0.25">
      <c r="A3042">
        <v>11.6872127002014</v>
      </c>
      <c r="B3042">
        <v>68.231014761563898</v>
      </c>
      <c r="C3042">
        <v>2000</v>
      </c>
    </row>
    <row r="3043" spans="1:11" x14ac:dyDescent="0.25">
      <c r="A3043">
        <v>0</v>
      </c>
      <c r="B3043">
        <v>56.543802061362499</v>
      </c>
      <c r="C3043">
        <v>2000</v>
      </c>
    </row>
    <row r="3044" spans="1:11" x14ac:dyDescent="0.25">
      <c r="A3044">
        <v>0</v>
      </c>
      <c r="B3044">
        <v>55.669770012464802</v>
      </c>
      <c r="C3044">
        <v>2001</v>
      </c>
    </row>
    <row r="3045" spans="1:11" x14ac:dyDescent="0.25">
      <c r="A3045">
        <v>12.0207241779786</v>
      </c>
      <c r="B3045">
        <v>67.690494190443502</v>
      </c>
      <c r="C3045">
        <v>2001</v>
      </c>
    </row>
    <row r="3046" spans="1:11" x14ac:dyDescent="0.25">
      <c r="A3046">
        <v>15.7513292384062</v>
      </c>
      <c r="B3046">
        <v>71.421099250871094</v>
      </c>
      <c r="C3046">
        <v>2001</v>
      </c>
    </row>
    <row r="3047" spans="1:11" x14ac:dyDescent="0.25">
      <c r="A3047">
        <v>15.3143132139574</v>
      </c>
      <c r="B3047">
        <v>71.858115275319904</v>
      </c>
      <c r="C3047">
        <v>2000</v>
      </c>
    </row>
    <row r="3048" spans="1:11" x14ac:dyDescent="0.25">
      <c r="A3048" t="s">
        <v>83</v>
      </c>
    </row>
    <row r="3049" spans="1:11" x14ac:dyDescent="0.25">
      <c r="A3049">
        <v>490</v>
      </c>
      <c r="B3049">
        <v>0</v>
      </c>
      <c r="C3049">
        <v>21.667935874229698</v>
      </c>
      <c r="D3049">
        <v>0</v>
      </c>
      <c r="E3049">
        <v>5</v>
      </c>
      <c r="F3049">
        <v>1.5707963267949001</v>
      </c>
      <c r="G3049" t="s">
        <v>84</v>
      </c>
      <c r="H3049" t="s">
        <v>84</v>
      </c>
      <c r="I3049">
        <v>14</v>
      </c>
      <c r="J3049">
        <v>93</v>
      </c>
      <c r="K3049">
        <v>0</v>
      </c>
    </row>
    <row r="3050" spans="1:11" x14ac:dyDescent="0.25">
      <c r="A3050" t="s">
        <v>82</v>
      </c>
    </row>
    <row r="3051" spans="1:11" x14ac:dyDescent="0.25">
      <c r="A3051">
        <v>66.101620691410105</v>
      </c>
      <c r="B3051">
        <v>43.310124528738697</v>
      </c>
      <c r="C3051">
        <v>2000</v>
      </c>
    </row>
    <row r="3052" spans="1:11" x14ac:dyDescent="0.25">
      <c r="A3052">
        <v>50.780076300426998</v>
      </c>
      <c r="B3052">
        <v>27.988580137755601</v>
      </c>
      <c r="C3052">
        <v>2000</v>
      </c>
    </row>
    <row r="3053" spans="1:11" x14ac:dyDescent="0.25">
      <c r="A3053">
        <v>50.780076300426998</v>
      </c>
      <c r="B3053">
        <v>27.988580137755601</v>
      </c>
      <c r="C3053">
        <v>2001</v>
      </c>
    </row>
    <row r="3054" spans="1:11" x14ac:dyDescent="0.25">
      <c r="A3054">
        <v>66.101620691410105</v>
      </c>
      <c r="B3054">
        <v>43.310124528738697</v>
      </c>
      <c r="C3054">
        <v>2001</v>
      </c>
    </row>
    <row r="3055" spans="1:11" x14ac:dyDescent="0.25">
      <c r="A3055">
        <v>66.101620691410105</v>
      </c>
      <c r="B3055">
        <v>43.310124528738697</v>
      </c>
      <c r="C3055">
        <v>2000</v>
      </c>
    </row>
    <row r="3056" spans="1:11" x14ac:dyDescent="0.25">
      <c r="A3056" t="s">
        <v>83</v>
      </c>
    </row>
    <row r="3057" spans="1:11" x14ac:dyDescent="0.25">
      <c r="A3057">
        <v>750</v>
      </c>
      <c r="B3057">
        <v>0</v>
      </c>
      <c r="C3057">
        <v>14.6694726543931</v>
      </c>
      <c r="D3057">
        <v>6.8987810718390401</v>
      </c>
      <c r="E3057">
        <v>6</v>
      </c>
      <c r="F3057">
        <v>1.5707963267949001</v>
      </c>
      <c r="G3057" t="s">
        <v>84</v>
      </c>
      <c r="H3057" t="s">
        <v>84</v>
      </c>
      <c r="I3057">
        <v>248</v>
      </c>
      <c r="J3057">
        <v>241</v>
      </c>
      <c r="K3057">
        <v>0.38291049225174001</v>
      </c>
    </row>
    <row r="3058" spans="1:11" x14ac:dyDescent="0.25">
      <c r="A3058" t="s">
        <v>82</v>
      </c>
    </row>
    <row r="3059" spans="1:11" x14ac:dyDescent="0.25">
      <c r="A3059">
        <v>132.89539411566</v>
      </c>
      <c r="B3059">
        <v>23.931597545245499</v>
      </c>
      <c r="C3059">
        <v>2000</v>
      </c>
    </row>
    <row r="3060" spans="1:11" x14ac:dyDescent="0.25">
      <c r="A3060">
        <v>122.52251052530799</v>
      </c>
      <c r="B3060">
        <v>13.5587139548935</v>
      </c>
      <c r="C3060">
        <v>2000</v>
      </c>
    </row>
    <row r="3061" spans="1:11" x14ac:dyDescent="0.25">
      <c r="A3061">
        <v>122.52251052530799</v>
      </c>
      <c r="B3061">
        <v>13.5587139548935</v>
      </c>
      <c r="C3061">
        <v>2001</v>
      </c>
    </row>
    <row r="3062" spans="1:11" x14ac:dyDescent="0.25">
      <c r="A3062">
        <v>132.89539411566</v>
      </c>
      <c r="B3062">
        <v>23.931597545245499</v>
      </c>
      <c r="C3062">
        <v>2001</v>
      </c>
    </row>
    <row r="3063" spans="1:11" x14ac:dyDescent="0.25">
      <c r="A3063">
        <v>137.77356899347899</v>
      </c>
      <c r="B3063">
        <v>28.809772423064199</v>
      </c>
      <c r="C3063">
        <v>2001</v>
      </c>
    </row>
    <row r="3064" spans="1:11" x14ac:dyDescent="0.25">
      <c r="A3064">
        <v>137.77356899347899</v>
      </c>
      <c r="B3064">
        <v>28.809772423064199</v>
      </c>
      <c r="C3064">
        <v>2000</v>
      </c>
    </row>
    <row r="3065" spans="1:11" x14ac:dyDescent="0.25">
      <c r="A3065" t="s">
        <v>83</v>
      </c>
    </row>
    <row r="3066" spans="1:11" x14ac:dyDescent="0.25">
      <c r="A3066">
        <v>161</v>
      </c>
      <c r="B3066">
        <v>0</v>
      </c>
      <c r="C3066">
        <v>21.194223583860001</v>
      </c>
      <c r="D3066">
        <v>0</v>
      </c>
      <c r="E3066">
        <v>5</v>
      </c>
      <c r="F3066">
        <v>1.5707963267949001</v>
      </c>
      <c r="G3066" t="s">
        <v>84</v>
      </c>
      <c r="H3066" t="s">
        <v>84</v>
      </c>
      <c r="I3066">
        <v>172</v>
      </c>
      <c r="J3066">
        <v>198</v>
      </c>
      <c r="K3066">
        <v>0</v>
      </c>
    </row>
    <row r="3067" spans="1:11" x14ac:dyDescent="0.25">
      <c r="A3067" t="s">
        <v>82</v>
      </c>
    </row>
    <row r="3068" spans="1:11" x14ac:dyDescent="0.25">
      <c r="A3068">
        <v>135.39802392963199</v>
      </c>
      <c r="B3068">
        <v>96.631476851939894</v>
      </c>
      <c r="C3068">
        <v>2000</v>
      </c>
    </row>
    <row r="3069" spans="1:11" x14ac:dyDescent="0.25">
      <c r="A3069">
        <v>120.41144471150101</v>
      </c>
      <c r="B3069">
        <v>81.644897633808597</v>
      </c>
      <c r="C3069">
        <v>2000</v>
      </c>
    </row>
    <row r="3070" spans="1:11" x14ac:dyDescent="0.25">
      <c r="A3070">
        <v>120.41144471150101</v>
      </c>
      <c r="B3070">
        <v>81.644897633808597</v>
      </c>
      <c r="C3070">
        <v>2001</v>
      </c>
    </row>
    <row r="3071" spans="1:11" x14ac:dyDescent="0.25">
      <c r="A3071">
        <v>135.39802392963199</v>
      </c>
      <c r="B3071">
        <v>96.631476851939894</v>
      </c>
      <c r="C3071">
        <v>2001</v>
      </c>
    </row>
    <row r="3072" spans="1:11" x14ac:dyDescent="0.25">
      <c r="A3072">
        <v>135.39802392963199</v>
      </c>
      <c r="B3072">
        <v>96.631476851939894</v>
      </c>
      <c r="C3072">
        <v>2000</v>
      </c>
    </row>
    <row r="3073" spans="1:11" x14ac:dyDescent="0.25">
      <c r="A3073" t="s">
        <v>83</v>
      </c>
    </row>
    <row r="3074" spans="1:11" x14ac:dyDescent="0.25">
      <c r="A3074">
        <v>646</v>
      </c>
      <c r="B3074">
        <v>0</v>
      </c>
      <c r="C3074">
        <v>21.048853552912501</v>
      </c>
      <c r="D3074">
        <v>0</v>
      </c>
      <c r="E3074">
        <v>5</v>
      </c>
      <c r="F3074">
        <v>1.5707963267949001</v>
      </c>
      <c r="G3074" t="s">
        <v>84</v>
      </c>
      <c r="H3074" t="s">
        <v>84</v>
      </c>
      <c r="I3074">
        <v>674</v>
      </c>
      <c r="J3074">
        <v>358</v>
      </c>
      <c r="K3074">
        <v>0</v>
      </c>
    </row>
    <row r="3075" spans="1:11" x14ac:dyDescent="0.25">
      <c r="A3075" t="s">
        <v>82</v>
      </c>
    </row>
    <row r="3076" spans="1:11" x14ac:dyDescent="0.25">
      <c r="A3076">
        <v>44.972204682404303</v>
      </c>
      <c r="B3076">
        <v>86.425896366790795</v>
      </c>
      <c r="C3076">
        <v>2000</v>
      </c>
    </row>
    <row r="3077" spans="1:11" x14ac:dyDescent="0.25">
      <c r="A3077">
        <v>30.088417598937198</v>
      </c>
      <c r="B3077">
        <v>71.542109283323796</v>
      </c>
      <c r="C3077">
        <v>2000</v>
      </c>
    </row>
    <row r="3078" spans="1:11" x14ac:dyDescent="0.25">
      <c r="A3078">
        <v>30.088417598937198</v>
      </c>
      <c r="B3078">
        <v>71.542109283323796</v>
      </c>
      <c r="C3078">
        <v>2001</v>
      </c>
    </row>
    <row r="3079" spans="1:11" x14ac:dyDescent="0.25">
      <c r="A3079">
        <v>44.972204682404303</v>
      </c>
      <c r="B3079">
        <v>86.425896366790795</v>
      </c>
      <c r="C3079">
        <v>2001</v>
      </c>
    </row>
    <row r="3080" spans="1:11" x14ac:dyDescent="0.25">
      <c r="A3080">
        <v>44.972204682404303</v>
      </c>
      <c r="B3080">
        <v>86.425896366790795</v>
      </c>
      <c r="C3080">
        <v>2000</v>
      </c>
    </row>
    <row r="3081" spans="1:11" x14ac:dyDescent="0.25">
      <c r="A3081" t="s">
        <v>83</v>
      </c>
    </row>
    <row r="3082" spans="1:11" x14ac:dyDescent="0.25">
      <c r="A3082">
        <v>187</v>
      </c>
      <c r="B3082">
        <v>0</v>
      </c>
      <c r="C3082">
        <v>0.93281229336034199</v>
      </c>
      <c r="D3082">
        <v>19.868873738603199</v>
      </c>
      <c r="E3082">
        <v>6</v>
      </c>
      <c r="F3082">
        <v>1.01722196789785</v>
      </c>
      <c r="G3082" t="s">
        <v>84</v>
      </c>
      <c r="H3082" t="s">
        <v>81</v>
      </c>
      <c r="I3082">
        <v>177</v>
      </c>
      <c r="J3082">
        <v>0</v>
      </c>
      <c r="K3082">
        <v>0</v>
      </c>
    </row>
    <row r="3083" spans="1:11" x14ac:dyDescent="0.25">
      <c r="A3083" t="s">
        <v>82</v>
      </c>
    </row>
    <row r="3084" spans="1:11" x14ac:dyDescent="0.25">
      <c r="A3084">
        <v>135.74187521148201</v>
      </c>
      <c r="B3084">
        <v>70.840075922474497</v>
      </c>
      <c r="C3084">
        <v>2000</v>
      </c>
    </row>
    <row r="3085" spans="1:11" x14ac:dyDescent="0.25">
      <c r="A3085">
        <v>135.07247873446099</v>
      </c>
      <c r="B3085">
        <v>70.170679445453501</v>
      </c>
      <c r="C3085">
        <v>2000</v>
      </c>
    </row>
    <row r="3086" spans="1:11" x14ac:dyDescent="0.25">
      <c r="A3086">
        <v>135.50949475890999</v>
      </c>
      <c r="B3086">
        <v>69.733663421004707</v>
      </c>
      <c r="C3086">
        <v>2001</v>
      </c>
    </row>
    <row r="3087" spans="1:11" x14ac:dyDescent="0.25">
      <c r="A3087">
        <v>136.159294078307</v>
      </c>
      <c r="B3087">
        <v>70.383462740402194</v>
      </c>
      <c r="C3087">
        <v>2001</v>
      </c>
    </row>
    <row r="3088" spans="1:11" x14ac:dyDescent="0.25">
      <c r="A3088">
        <v>150</v>
      </c>
      <c r="B3088">
        <v>84.224168662095096</v>
      </c>
      <c r="C3088">
        <v>2001</v>
      </c>
    </row>
    <row r="3089" spans="1:11" x14ac:dyDescent="0.25">
      <c r="A3089">
        <v>150</v>
      </c>
      <c r="B3089">
        <v>85.098200710992799</v>
      </c>
      <c r="C3089">
        <v>2000</v>
      </c>
    </row>
    <row r="3090" spans="1:11" x14ac:dyDescent="0.25">
      <c r="A3090" t="s">
        <v>83</v>
      </c>
    </row>
    <row r="3091" spans="1:11" x14ac:dyDescent="0.25">
      <c r="A3091">
        <v>348</v>
      </c>
      <c r="B3091">
        <v>0</v>
      </c>
      <c r="C3091">
        <v>14.2918274035694</v>
      </c>
      <c r="D3091">
        <v>6.3366765198468302</v>
      </c>
      <c r="E3091">
        <v>8</v>
      </c>
      <c r="F3091">
        <v>1.01722196789785</v>
      </c>
      <c r="G3091" t="s">
        <v>84</v>
      </c>
      <c r="H3091" t="s">
        <v>81</v>
      </c>
      <c r="I3091">
        <v>666</v>
      </c>
      <c r="J3091">
        <v>0</v>
      </c>
      <c r="K3091">
        <v>0</v>
      </c>
    </row>
    <row r="3092" spans="1:11" x14ac:dyDescent="0.25">
      <c r="A3092" t="s">
        <v>82</v>
      </c>
    </row>
    <row r="3093" spans="1:11" x14ac:dyDescent="0.25">
      <c r="A3093">
        <v>52.104831998448503</v>
      </c>
      <c r="B3093">
        <v>145.661594559435</v>
      </c>
      <c r="C3093">
        <v>2000</v>
      </c>
    </row>
    <row r="3094" spans="1:11" x14ac:dyDescent="0.25">
      <c r="A3094">
        <v>49.781491987775603</v>
      </c>
      <c r="B3094">
        <v>143.338254548762</v>
      </c>
      <c r="C3094">
        <v>2000</v>
      </c>
    </row>
    <row r="3095" spans="1:11" x14ac:dyDescent="0.25">
      <c r="A3095">
        <v>42.075190441256701</v>
      </c>
      <c r="B3095">
        <v>135.63195300224299</v>
      </c>
      <c r="C3095">
        <v>2000</v>
      </c>
    </row>
    <row r="3096" spans="1:11" x14ac:dyDescent="0.25">
      <c r="A3096">
        <v>42.512206465705603</v>
      </c>
      <c r="B3096">
        <v>135.19493697779501</v>
      </c>
      <c r="C3096">
        <v>2001</v>
      </c>
    </row>
    <row r="3097" spans="1:11" x14ac:dyDescent="0.25">
      <c r="A3097">
        <v>50.218508012224397</v>
      </c>
      <c r="B3097">
        <v>142.90123852431299</v>
      </c>
      <c r="C3097">
        <v>2001</v>
      </c>
    </row>
    <row r="3098" spans="1:11" x14ac:dyDescent="0.25">
      <c r="A3098">
        <v>52.6942610537372</v>
      </c>
      <c r="B3098">
        <v>145.37699156582599</v>
      </c>
      <c r="C3098">
        <v>2001</v>
      </c>
    </row>
    <row r="3099" spans="1:11" x14ac:dyDescent="0.25">
      <c r="A3099">
        <v>57.317269487910899</v>
      </c>
      <c r="B3099">
        <v>150</v>
      </c>
      <c r="C3099">
        <v>2001</v>
      </c>
    </row>
    <row r="3100" spans="1:11" x14ac:dyDescent="0.25">
      <c r="A3100">
        <v>56.443237439013302</v>
      </c>
      <c r="B3100">
        <v>150</v>
      </c>
      <c r="C3100">
        <v>2000</v>
      </c>
    </row>
    <row r="3101" spans="1:11" x14ac:dyDescent="0.25">
      <c r="A3101" t="s">
        <v>83</v>
      </c>
    </row>
    <row r="3102" spans="1:11" x14ac:dyDescent="0.25">
      <c r="A3102">
        <v>198</v>
      </c>
      <c r="B3102">
        <v>0</v>
      </c>
      <c r="C3102">
        <v>4.0343059231640002</v>
      </c>
      <c r="D3102">
        <v>16.497129313520201</v>
      </c>
      <c r="E3102">
        <v>8</v>
      </c>
      <c r="F3102">
        <v>1.01722196789785</v>
      </c>
      <c r="G3102" t="s">
        <v>84</v>
      </c>
      <c r="H3102" t="s">
        <v>81</v>
      </c>
      <c r="I3102">
        <v>161</v>
      </c>
      <c r="J3102">
        <v>0</v>
      </c>
      <c r="K3102">
        <v>0</v>
      </c>
    </row>
    <row r="3103" spans="1:11" x14ac:dyDescent="0.25">
      <c r="A3103" t="s">
        <v>82</v>
      </c>
    </row>
    <row r="3104" spans="1:11" x14ac:dyDescent="0.25">
      <c r="A3104">
        <v>138.12554452302399</v>
      </c>
      <c r="B3104">
        <v>99.627895495748305</v>
      </c>
      <c r="C3104">
        <v>2000</v>
      </c>
    </row>
    <row r="3105" spans="1:11" x14ac:dyDescent="0.25">
      <c r="A3105">
        <v>135.26357490442399</v>
      </c>
      <c r="B3105">
        <v>96.765925877148405</v>
      </c>
      <c r="C3105">
        <v>2000</v>
      </c>
    </row>
    <row r="3106" spans="1:11" x14ac:dyDescent="0.25">
      <c r="A3106">
        <v>135.700590928873</v>
      </c>
      <c r="B3106">
        <v>96.328909852699596</v>
      </c>
      <c r="C3106">
        <v>2001</v>
      </c>
    </row>
    <row r="3107" spans="1:11" x14ac:dyDescent="0.25">
      <c r="A3107">
        <v>138.543991461573</v>
      </c>
      <c r="B3107">
        <v>99.172310385400294</v>
      </c>
      <c r="C3107">
        <v>2001</v>
      </c>
    </row>
    <row r="3108" spans="1:11" x14ac:dyDescent="0.25">
      <c r="A3108">
        <v>139.141936055211</v>
      </c>
      <c r="B3108">
        <v>99.770254979038199</v>
      </c>
      <c r="C3108">
        <v>2001</v>
      </c>
    </row>
    <row r="3109" spans="1:11" x14ac:dyDescent="0.25">
      <c r="A3109">
        <v>150</v>
      </c>
      <c r="B3109">
        <v>110.628318923827</v>
      </c>
      <c r="C3109">
        <v>2001</v>
      </c>
    </row>
    <row r="3110" spans="1:11" x14ac:dyDescent="0.25">
      <c r="A3110">
        <v>150</v>
      </c>
      <c r="B3110">
        <v>111.502350972725</v>
      </c>
      <c r="C3110">
        <v>2000</v>
      </c>
    </row>
    <row r="3111" spans="1:11" x14ac:dyDescent="0.25">
      <c r="A3111">
        <v>138.72739404823699</v>
      </c>
      <c r="B3111">
        <v>100.229745020962</v>
      </c>
      <c r="C3111">
        <v>2000</v>
      </c>
    </row>
    <row r="3112" spans="1:11" x14ac:dyDescent="0.25">
      <c r="A3112" t="s">
        <v>83</v>
      </c>
    </row>
    <row r="3113" spans="1:11" x14ac:dyDescent="0.25">
      <c r="A3113">
        <v>327</v>
      </c>
      <c r="B3113">
        <v>0</v>
      </c>
      <c r="C3113">
        <v>5.6238319012327302</v>
      </c>
      <c r="D3113">
        <v>14.7334815292883</v>
      </c>
      <c r="E3113">
        <v>6</v>
      </c>
      <c r="F3113">
        <v>1.5707963267949001</v>
      </c>
      <c r="G3113" t="s">
        <v>84</v>
      </c>
      <c r="H3113" t="s">
        <v>81</v>
      </c>
      <c r="I3113">
        <v>335</v>
      </c>
      <c r="J3113">
        <v>0</v>
      </c>
      <c r="K3113">
        <v>0</v>
      </c>
    </row>
    <row r="3114" spans="1:11" x14ac:dyDescent="0.25">
      <c r="A3114" t="s">
        <v>82</v>
      </c>
    </row>
    <row r="3115" spans="1:11" x14ac:dyDescent="0.25">
      <c r="A3115">
        <v>80.489933842555601</v>
      </c>
      <c r="B3115">
        <v>139.58185530015399</v>
      </c>
      <c r="C3115">
        <v>2000</v>
      </c>
    </row>
    <row r="3116" spans="1:11" x14ac:dyDescent="0.25">
      <c r="A3116">
        <v>76.5132841689407</v>
      </c>
      <c r="B3116">
        <v>135.605205626539</v>
      </c>
      <c r="C3116">
        <v>2000</v>
      </c>
    </row>
    <row r="3117" spans="1:11" x14ac:dyDescent="0.25">
      <c r="A3117">
        <v>76.5132841689407</v>
      </c>
      <c r="B3117">
        <v>135.605205626539</v>
      </c>
      <c r="C3117">
        <v>2001</v>
      </c>
    </row>
    <row r="3118" spans="1:11" x14ac:dyDescent="0.25">
      <c r="A3118">
        <v>80.489933842555601</v>
      </c>
      <c r="B3118">
        <v>139.58185530015399</v>
      </c>
      <c r="C3118">
        <v>2001</v>
      </c>
    </row>
    <row r="3119" spans="1:11" x14ac:dyDescent="0.25">
      <c r="A3119">
        <v>90.908078542402095</v>
      </c>
      <c r="B3119">
        <v>150</v>
      </c>
      <c r="C3119">
        <v>2001</v>
      </c>
    </row>
    <row r="3120" spans="1:11" x14ac:dyDescent="0.25">
      <c r="A3120">
        <v>90.908078542402095</v>
      </c>
      <c r="B3120">
        <v>150</v>
      </c>
      <c r="C3120">
        <v>2000</v>
      </c>
    </row>
    <row r="3121" spans="1:11" x14ac:dyDescent="0.25">
      <c r="A3121" t="s">
        <v>83</v>
      </c>
    </row>
    <row r="3122" spans="1:11" x14ac:dyDescent="0.25">
      <c r="A3122">
        <v>248</v>
      </c>
      <c r="B3122">
        <v>0</v>
      </c>
      <c r="C3122">
        <v>2.8212839787341002</v>
      </c>
      <c r="D3122">
        <v>17.405544470605399</v>
      </c>
      <c r="E3122">
        <v>6</v>
      </c>
      <c r="F3122">
        <v>1.5707963267949001</v>
      </c>
      <c r="G3122" t="s">
        <v>81</v>
      </c>
      <c r="H3122" t="s">
        <v>84</v>
      </c>
      <c r="I3122">
        <v>0</v>
      </c>
      <c r="J3122">
        <v>750</v>
      </c>
      <c r="K3122">
        <v>0</v>
      </c>
    </row>
    <row r="3123" spans="1:11" x14ac:dyDescent="0.25">
      <c r="A3123" t="s">
        <v>82</v>
      </c>
    </row>
    <row r="3124" spans="1:11" x14ac:dyDescent="0.25">
      <c r="A3124">
        <v>109.471118396367</v>
      </c>
      <c r="B3124">
        <v>1.9949490330158499</v>
      </c>
      <c r="C3124">
        <v>2000</v>
      </c>
    </row>
    <row r="3125" spans="1:11" x14ac:dyDescent="0.25">
      <c r="A3125">
        <v>107.476169363352</v>
      </c>
      <c r="B3125">
        <v>0</v>
      </c>
      <c r="C3125">
        <v>2000</v>
      </c>
    </row>
    <row r="3126" spans="1:11" x14ac:dyDescent="0.25">
      <c r="A3126">
        <v>107.476169363352</v>
      </c>
      <c r="B3126">
        <v>0</v>
      </c>
      <c r="C3126">
        <v>2001</v>
      </c>
    </row>
    <row r="3127" spans="1:11" x14ac:dyDescent="0.25">
      <c r="A3127">
        <v>109.471118396367</v>
      </c>
      <c r="B3127">
        <v>1.9949490330158499</v>
      </c>
      <c r="C3127">
        <v>2001</v>
      </c>
    </row>
    <row r="3128" spans="1:11" x14ac:dyDescent="0.25">
      <c r="A3128">
        <v>121.778696921777</v>
      </c>
      <c r="B3128">
        <v>14.302527558425</v>
      </c>
      <c r="C3128">
        <v>2001</v>
      </c>
    </row>
    <row r="3129" spans="1:11" x14ac:dyDescent="0.25">
      <c r="A3129">
        <v>121.778696921777</v>
      </c>
      <c r="B3129">
        <v>14.302527558425</v>
      </c>
      <c r="C3129">
        <v>2000</v>
      </c>
    </row>
    <row r="3130" spans="1:11" x14ac:dyDescent="0.25">
      <c r="A3130" t="s">
        <v>83</v>
      </c>
    </row>
    <row r="3131" spans="1:11" x14ac:dyDescent="0.25">
      <c r="A3131">
        <v>195</v>
      </c>
      <c r="B3131">
        <v>0</v>
      </c>
      <c r="C3131">
        <v>18.736421059840499</v>
      </c>
      <c r="D3131">
        <v>1.26323685179122</v>
      </c>
      <c r="E3131">
        <v>6</v>
      </c>
      <c r="F3131">
        <v>1.01722196789785</v>
      </c>
      <c r="G3131" t="s">
        <v>84</v>
      </c>
      <c r="H3131" t="s">
        <v>84</v>
      </c>
      <c r="I3131">
        <v>179</v>
      </c>
      <c r="J3131">
        <v>183</v>
      </c>
      <c r="K3131">
        <v>0</v>
      </c>
    </row>
    <row r="3132" spans="1:11" x14ac:dyDescent="0.25">
      <c r="A3132" t="s">
        <v>82</v>
      </c>
    </row>
    <row r="3133" spans="1:11" x14ac:dyDescent="0.25">
      <c r="A3133">
        <v>121.67473456993901</v>
      </c>
      <c r="B3133">
        <v>78.639637905466401</v>
      </c>
      <c r="C3133">
        <v>2000</v>
      </c>
    </row>
    <row r="3134" spans="1:11" x14ac:dyDescent="0.25">
      <c r="A3134">
        <v>108.426084183359</v>
      </c>
      <c r="B3134">
        <v>65.390987518886703</v>
      </c>
      <c r="C3134">
        <v>2000</v>
      </c>
    </row>
    <row r="3135" spans="1:11" x14ac:dyDescent="0.25">
      <c r="A3135">
        <v>108.863100207808</v>
      </c>
      <c r="B3135">
        <v>64.953971494437894</v>
      </c>
      <c r="C3135">
        <v>2001</v>
      </c>
    </row>
    <row r="3136" spans="1:11" x14ac:dyDescent="0.25">
      <c r="A3136">
        <v>122.111750594388</v>
      </c>
      <c r="B3136">
        <v>78.202621881017507</v>
      </c>
      <c r="C3136">
        <v>2001</v>
      </c>
    </row>
    <row r="3137" spans="1:11" x14ac:dyDescent="0.25">
      <c r="A3137">
        <v>123.004993938534</v>
      </c>
      <c r="B3137">
        <v>79.095865225163905</v>
      </c>
      <c r="C3137">
        <v>2001</v>
      </c>
    </row>
    <row r="3138" spans="1:11" x14ac:dyDescent="0.25">
      <c r="A3138">
        <v>122.56797791408501</v>
      </c>
      <c r="B3138">
        <v>79.5328812496127</v>
      </c>
      <c r="C3138">
        <v>2000</v>
      </c>
    </row>
    <row r="3139" spans="1:11" x14ac:dyDescent="0.25">
      <c r="A3139" t="s">
        <v>83</v>
      </c>
    </row>
    <row r="3140" spans="1:11" x14ac:dyDescent="0.25">
      <c r="A3140">
        <v>182</v>
      </c>
      <c r="B3140">
        <v>0</v>
      </c>
      <c r="C3140">
        <v>9.6278869607846804</v>
      </c>
      <c r="D3140">
        <v>10.1586972292595</v>
      </c>
      <c r="E3140">
        <v>6</v>
      </c>
      <c r="F3140">
        <v>1.01722196789785</v>
      </c>
      <c r="G3140" t="s">
        <v>84</v>
      </c>
      <c r="H3140" t="s">
        <v>81</v>
      </c>
      <c r="I3140">
        <v>190</v>
      </c>
      <c r="J3140">
        <v>0</v>
      </c>
      <c r="K3140">
        <v>0</v>
      </c>
    </row>
    <row r="3141" spans="1:11" x14ac:dyDescent="0.25">
      <c r="A3141" t="s">
        <v>82</v>
      </c>
    </row>
    <row r="3142" spans="1:11" x14ac:dyDescent="0.25">
      <c r="A3142">
        <v>142.92890124006701</v>
      </c>
      <c r="B3142">
        <v>83.846086829243205</v>
      </c>
      <c r="C3142">
        <v>2000</v>
      </c>
    </row>
    <row r="3143" spans="1:11" x14ac:dyDescent="0.25">
      <c r="A3143">
        <v>136.22728015492601</v>
      </c>
      <c r="B3143">
        <v>77.144465744101495</v>
      </c>
      <c r="C3143">
        <v>2000</v>
      </c>
    </row>
    <row r="3144" spans="1:11" x14ac:dyDescent="0.25">
      <c r="A3144">
        <v>135.790264130477</v>
      </c>
      <c r="B3144">
        <v>77.581481768550304</v>
      </c>
      <c r="C3144">
        <v>2001</v>
      </c>
    </row>
    <row r="3145" spans="1:11" x14ac:dyDescent="0.25">
      <c r="A3145">
        <v>142.70453136227201</v>
      </c>
      <c r="B3145">
        <v>84.495749000345299</v>
      </c>
      <c r="C3145">
        <v>2001</v>
      </c>
    </row>
    <row r="3146" spans="1:11" x14ac:dyDescent="0.25">
      <c r="A3146">
        <v>150</v>
      </c>
      <c r="B3146">
        <v>91.791217638073505</v>
      </c>
      <c r="C3146">
        <v>2001</v>
      </c>
    </row>
    <row r="3147" spans="1:11" x14ac:dyDescent="0.25">
      <c r="A3147">
        <v>150</v>
      </c>
      <c r="B3147">
        <v>90.917185589175801</v>
      </c>
      <c r="C3147">
        <v>2000</v>
      </c>
    </row>
    <row r="3148" spans="1:11" x14ac:dyDescent="0.25">
      <c r="A3148" t="s">
        <v>83</v>
      </c>
    </row>
    <row r="3149" spans="1:11" x14ac:dyDescent="0.25">
      <c r="A3149">
        <v>342</v>
      </c>
      <c r="B3149">
        <v>0</v>
      </c>
      <c r="C3149">
        <v>15.780460810821401</v>
      </c>
      <c r="D3149">
        <v>3.9530648268530499</v>
      </c>
      <c r="E3149">
        <v>8</v>
      </c>
      <c r="F3149">
        <v>1.01722196789785</v>
      </c>
      <c r="G3149" t="s">
        <v>84</v>
      </c>
      <c r="H3149" t="s">
        <v>81</v>
      </c>
      <c r="I3149">
        <v>581</v>
      </c>
      <c r="J3149">
        <v>0</v>
      </c>
      <c r="K3149">
        <v>0</v>
      </c>
    </row>
    <row r="3150" spans="1:11" x14ac:dyDescent="0.25">
      <c r="A3150" t="s">
        <v>82</v>
      </c>
    </row>
    <row r="3151" spans="1:11" x14ac:dyDescent="0.25">
      <c r="A3151">
        <v>52.491093396110003</v>
      </c>
      <c r="B3151">
        <v>147.313546386822</v>
      </c>
      <c r="C3151">
        <v>2000</v>
      </c>
    </row>
    <row r="3152" spans="1:11" x14ac:dyDescent="0.25">
      <c r="A3152">
        <v>49.781491987775603</v>
      </c>
      <c r="B3152">
        <v>144.60394497848799</v>
      </c>
      <c r="C3152">
        <v>2000</v>
      </c>
    </row>
    <row r="3153" spans="1:11" x14ac:dyDescent="0.25">
      <c r="A3153">
        <v>41.442345226394004</v>
      </c>
      <c r="B3153">
        <v>136.26479821710601</v>
      </c>
      <c r="C3153">
        <v>2000</v>
      </c>
    </row>
    <row r="3154" spans="1:11" x14ac:dyDescent="0.25">
      <c r="A3154">
        <v>41.879361250842798</v>
      </c>
      <c r="B3154">
        <v>135.827782192657</v>
      </c>
      <c r="C3154">
        <v>2001</v>
      </c>
    </row>
    <row r="3155" spans="1:11" x14ac:dyDescent="0.25">
      <c r="A3155">
        <v>50.218508012224397</v>
      </c>
      <c r="B3155">
        <v>144.16692895403901</v>
      </c>
      <c r="C3155">
        <v>2001</v>
      </c>
    </row>
    <row r="3156" spans="1:11" x14ac:dyDescent="0.25">
      <c r="A3156">
        <v>53.1475547802875</v>
      </c>
      <c r="B3156">
        <v>147.095975722102</v>
      </c>
      <c r="C3156">
        <v>2001</v>
      </c>
    </row>
    <row r="3157" spans="1:11" x14ac:dyDescent="0.25">
      <c r="A3157">
        <v>56.051579058185403</v>
      </c>
      <c r="B3157">
        <v>150</v>
      </c>
      <c r="C3157">
        <v>2001</v>
      </c>
    </row>
    <row r="3158" spans="1:11" x14ac:dyDescent="0.25">
      <c r="A3158">
        <v>55.1775470092878</v>
      </c>
      <c r="B3158">
        <v>150</v>
      </c>
      <c r="C3158">
        <v>2000</v>
      </c>
    </row>
    <row r="3159" spans="1:11" x14ac:dyDescent="0.25">
      <c r="A3159" t="s">
        <v>83</v>
      </c>
    </row>
    <row r="3160" spans="1:11" x14ac:dyDescent="0.25">
      <c r="A3160">
        <v>178</v>
      </c>
      <c r="B3160">
        <v>0</v>
      </c>
      <c r="C3160">
        <v>7.3370679247197499</v>
      </c>
      <c r="D3160">
        <v>12.235819410499699</v>
      </c>
      <c r="E3160">
        <v>8</v>
      </c>
      <c r="F3160">
        <v>1.5707963267949001</v>
      </c>
      <c r="G3160" t="s">
        <v>84</v>
      </c>
      <c r="H3160" t="s">
        <v>84</v>
      </c>
      <c r="I3160">
        <v>163</v>
      </c>
      <c r="J3160">
        <v>411</v>
      </c>
      <c r="K3160">
        <v>0</v>
      </c>
    </row>
    <row r="3161" spans="1:11" x14ac:dyDescent="0.25">
      <c r="A3161" t="s">
        <v>82</v>
      </c>
    </row>
    <row r="3162" spans="1:11" x14ac:dyDescent="0.25">
      <c r="A3162">
        <v>136.80142756169701</v>
      </c>
      <c r="B3162">
        <v>94.474978032277406</v>
      </c>
      <c r="C3162">
        <v>2000</v>
      </c>
    </row>
    <row r="3163" spans="1:11" x14ac:dyDescent="0.25">
      <c r="A3163">
        <v>131.61333707810201</v>
      </c>
      <c r="B3163">
        <v>89.286887548681804</v>
      </c>
      <c r="C3163">
        <v>2000</v>
      </c>
    </row>
    <row r="3164" spans="1:11" x14ac:dyDescent="0.25">
      <c r="A3164">
        <v>131.61333707810201</v>
      </c>
      <c r="B3164">
        <v>89.286887548681804</v>
      </c>
      <c r="C3164">
        <v>2001</v>
      </c>
    </row>
    <row r="3165" spans="1:11" x14ac:dyDescent="0.25">
      <c r="A3165">
        <v>136.80142756169701</v>
      </c>
      <c r="B3165">
        <v>94.474978032277406</v>
      </c>
      <c r="C3165">
        <v>2001</v>
      </c>
    </row>
    <row r="3166" spans="1:11" x14ac:dyDescent="0.25">
      <c r="A3166">
        <v>142.32644952941999</v>
      </c>
      <c r="B3166">
        <v>100</v>
      </c>
      <c r="C3166">
        <v>2001</v>
      </c>
    </row>
    <row r="3167" spans="1:11" x14ac:dyDescent="0.25">
      <c r="A3167">
        <v>145.45345844023601</v>
      </c>
      <c r="B3167">
        <v>103.127008910816</v>
      </c>
      <c r="C3167">
        <v>2001</v>
      </c>
    </row>
    <row r="3168" spans="1:11" x14ac:dyDescent="0.25">
      <c r="A3168">
        <v>145.45345844023601</v>
      </c>
      <c r="B3168">
        <v>103.127008910816</v>
      </c>
      <c r="C3168">
        <v>2000</v>
      </c>
    </row>
    <row r="3169" spans="1:11" x14ac:dyDescent="0.25">
      <c r="A3169">
        <v>142.32644952941999</v>
      </c>
      <c r="B3169">
        <v>100</v>
      </c>
      <c r="C3169">
        <v>2000</v>
      </c>
    </row>
    <row r="3170" spans="1:11" x14ac:dyDescent="0.25">
      <c r="A3170" t="s">
        <v>83</v>
      </c>
    </row>
    <row r="3171" spans="1:11" x14ac:dyDescent="0.25">
      <c r="A3171">
        <v>731</v>
      </c>
      <c r="B3171">
        <v>0</v>
      </c>
      <c r="C3171">
        <v>0.33004403538117799</v>
      </c>
      <c r="D3171">
        <v>19.074277852787301</v>
      </c>
      <c r="E3171">
        <v>6</v>
      </c>
      <c r="F3171">
        <v>1.01722196789785</v>
      </c>
      <c r="G3171" t="s">
        <v>84</v>
      </c>
      <c r="H3171" t="s">
        <v>84</v>
      </c>
      <c r="I3171">
        <v>657</v>
      </c>
      <c r="J3171">
        <v>92</v>
      </c>
      <c r="K3171">
        <v>0.13222554274631901</v>
      </c>
    </row>
    <row r="3172" spans="1:11" x14ac:dyDescent="0.25">
      <c r="A3172" t="s">
        <v>82</v>
      </c>
    </row>
    <row r="3173" spans="1:11" x14ac:dyDescent="0.25">
      <c r="A3173">
        <v>32.326551033331498</v>
      </c>
      <c r="B3173">
        <v>54.855382580712899</v>
      </c>
      <c r="C3173">
        <v>2000</v>
      </c>
    </row>
    <row r="3174" spans="1:11" x14ac:dyDescent="0.25">
      <c r="A3174">
        <v>32.093174657823297</v>
      </c>
      <c r="B3174">
        <v>54.622006205204698</v>
      </c>
      <c r="C3174">
        <v>2000</v>
      </c>
    </row>
    <row r="3175" spans="1:11" x14ac:dyDescent="0.25">
      <c r="A3175">
        <v>31.656158633374499</v>
      </c>
      <c r="B3175">
        <v>55.0590222296535</v>
      </c>
      <c r="C3175">
        <v>2001</v>
      </c>
    </row>
    <row r="3176" spans="1:11" x14ac:dyDescent="0.25">
      <c r="A3176">
        <v>31.889535008882699</v>
      </c>
      <c r="B3176">
        <v>55.292398605161701</v>
      </c>
      <c r="C3176">
        <v>2001</v>
      </c>
    </row>
    <row r="3177" spans="1:11" x14ac:dyDescent="0.25">
      <c r="A3177">
        <v>45.3770862248249</v>
      </c>
      <c r="B3177">
        <v>68.779949821103898</v>
      </c>
      <c r="C3177">
        <v>2001</v>
      </c>
    </row>
    <row r="3178" spans="1:11" x14ac:dyDescent="0.25">
      <c r="A3178">
        <v>45.814102249273802</v>
      </c>
      <c r="B3178">
        <v>68.342933796655103</v>
      </c>
      <c r="C3178">
        <v>2000</v>
      </c>
    </row>
    <row r="3179" spans="1:11" x14ac:dyDescent="0.25">
      <c r="A3179" t="s">
        <v>83</v>
      </c>
    </row>
    <row r="3180" spans="1:11" x14ac:dyDescent="0.25">
      <c r="A3180">
        <v>332</v>
      </c>
      <c r="B3180">
        <v>0</v>
      </c>
      <c r="C3180">
        <v>2.0959559592209001</v>
      </c>
      <c r="D3180">
        <v>17.062756780757599</v>
      </c>
      <c r="E3180">
        <v>6</v>
      </c>
      <c r="F3180">
        <v>1.5707963267949001</v>
      </c>
      <c r="G3180" t="s">
        <v>84</v>
      </c>
      <c r="H3180" t="s">
        <v>81</v>
      </c>
      <c r="I3180">
        <v>331</v>
      </c>
      <c r="J3180">
        <v>0</v>
      </c>
      <c r="K3180">
        <v>0</v>
      </c>
    </row>
    <row r="3181" spans="1:11" x14ac:dyDescent="0.25">
      <c r="A3181" t="s">
        <v>82</v>
      </c>
    </row>
    <row r="3182" spans="1:11" x14ac:dyDescent="0.25">
      <c r="A3182">
        <v>52.821896028622</v>
      </c>
      <c r="B3182">
        <v>137.93480897459</v>
      </c>
      <c r="C3182">
        <v>2000</v>
      </c>
    </row>
    <row r="3183" spans="1:11" x14ac:dyDescent="0.25">
      <c r="A3183">
        <v>51.339831356788601</v>
      </c>
      <c r="B3183">
        <v>136.452744302756</v>
      </c>
      <c r="C3183">
        <v>2000</v>
      </c>
    </row>
    <row r="3184" spans="1:11" x14ac:dyDescent="0.25">
      <c r="A3184">
        <v>51.339831356788601</v>
      </c>
      <c r="B3184">
        <v>136.452744302756</v>
      </c>
      <c r="C3184">
        <v>2001</v>
      </c>
    </row>
    <row r="3185" spans="1:11" x14ac:dyDescent="0.25">
      <c r="A3185">
        <v>52.821896028622</v>
      </c>
      <c r="B3185">
        <v>137.93480897459</v>
      </c>
      <c r="C3185">
        <v>2001</v>
      </c>
    </row>
    <row r="3186" spans="1:11" x14ac:dyDescent="0.25">
      <c r="A3186">
        <v>64.887087054032406</v>
      </c>
      <c r="B3186">
        <v>150</v>
      </c>
      <c r="C3186">
        <v>2001</v>
      </c>
    </row>
    <row r="3187" spans="1:11" x14ac:dyDescent="0.25">
      <c r="A3187">
        <v>64.887087054032406</v>
      </c>
      <c r="B3187">
        <v>150</v>
      </c>
      <c r="C3187">
        <v>2000</v>
      </c>
    </row>
    <row r="3188" spans="1:11" x14ac:dyDescent="0.25">
      <c r="A3188" t="s">
        <v>83</v>
      </c>
    </row>
    <row r="3189" spans="1:11" x14ac:dyDescent="0.25">
      <c r="A3189">
        <v>3</v>
      </c>
      <c r="B3189">
        <v>0</v>
      </c>
      <c r="C3189">
        <v>7.7358216638836197</v>
      </c>
      <c r="D3189">
        <v>11.3946209818696</v>
      </c>
      <c r="E3189">
        <v>6</v>
      </c>
      <c r="F3189">
        <v>1.5707963267949001</v>
      </c>
      <c r="G3189" t="s">
        <v>81</v>
      </c>
      <c r="H3189" t="s">
        <v>84</v>
      </c>
      <c r="I3189">
        <v>0</v>
      </c>
      <c r="J3189">
        <v>1</v>
      </c>
      <c r="K3189">
        <v>0</v>
      </c>
    </row>
    <row r="3190" spans="1:11" x14ac:dyDescent="0.25">
      <c r="A3190" t="s">
        <v>82</v>
      </c>
    </row>
    <row r="3191" spans="1:11" x14ac:dyDescent="0.25">
      <c r="A3191">
        <v>5.4700519565819103</v>
      </c>
      <c r="B3191">
        <v>14.925002348574401</v>
      </c>
      <c r="C3191">
        <v>2000</v>
      </c>
    </row>
    <row r="3192" spans="1:11" x14ac:dyDescent="0.25">
      <c r="A3192">
        <v>0</v>
      </c>
      <c r="B3192">
        <v>9.4549503919924494</v>
      </c>
      <c r="C3192">
        <v>2000</v>
      </c>
    </row>
    <row r="3193" spans="1:11" x14ac:dyDescent="0.25">
      <c r="A3193">
        <v>0</v>
      </c>
      <c r="B3193">
        <v>9.4549503919924494</v>
      </c>
      <c r="C3193">
        <v>2001</v>
      </c>
    </row>
    <row r="3194" spans="1:11" x14ac:dyDescent="0.25">
      <c r="A3194">
        <v>5.4700519565819103</v>
      </c>
      <c r="B3194">
        <v>14.925002348574401</v>
      </c>
      <c r="C3194">
        <v>2001</v>
      </c>
    </row>
    <row r="3195" spans="1:11" x14ac:dyDescent="0.25">
      <c r="A3195">
        <v>13.5272657219124</v>
      </c>
      <c r="B3195">
        <v>22.982216113904801</v>
      </c>
      <c r="C3195">
        <v>2001</v>
      </c>
    </row>
    <row r="3196" spans="1:11" x14ac:dyDescent="0.25">
      <c r="A3196">
        <v>13.5272657219124</v>
      </c>
      <c r="B3196">
        <v>22.982216113904801</v>
      </c>
      <c r="C3196">
        <v>2000</v>
      </c>
    </row>
    <row r="3197" spans="1:11" x14ac:dyDescent="0.25">
      <c r="A3197" t="s">
        <v>83</v>
      </c>
    </row>
    <row r="3198" spans="1:11" x14ac:dyDescent="0.25">
      <c r="A3198">
        <v>572</v>
      </c>
      <c r="B3198">
        <v>0</v>
      </c>
      <c r="C3198">
        <v>11.3628800740539</v>
      </c>
      <c r="D3198">
        <v>7.3370679247197303</v>
      </c>
      <c r="E3198">
        <v>6</v>
      </c>
      <c r="F3198">
        <v>1.5707963267949001</v>
      </c>
      <c r="G3198" t="s">
        <v>81</v>
      </c>
      <c r="H3198" t="s">
        <v>84</v>
      </c>
      <c r="I3198">
        <v>0</v>
      </c>
      <c r="J3198">
        <v>565</v>
      </c>
      <c r="K3198">
        <v>0</v>
      </c>
    </row>
    <row r="3199" spans="1:11" x14ac:dyDescent="0.25">
      <c r="A3199" t="s">
        <v>82</v>
      </c>
    </row>
    <row r="3200" spans="1:11" x14ac:dyDescent="0.25">
      <c r="A3200">
        <v>8.0347695541729909</v>
      </c>
      <c r="B3200">
        <v>117.20959534505801</v>
      </c>
      <c r="C3200">
        <v>2000</v>
      </c>
    </row>
    <row r="3201" spans="1:11" x14ac:dyDescent="0.25">
      <c r="A3201">
        <v>0</v>
      </c>
      <c r="B3201">
        <v>109.174825790885</v>
      </c>
      <c r="C3201">
        <v>2000</v>
      </c>
    </row>
    <row r="3202" spans="1:11" x14ac:dyDescent="0.25">
      <c r="A3202">
        <v>0</v>
      </c>
      <c r="B3202">
        <v>109.174825790885</v>
      </c>
      <c r="C3202">
        <v>2001</v>
      </c>
    </row>
    <row r="3203" spans="1:11" x14ac:dyDescent="0.25">
      <c r="A3203">
        <v>8.0347695541729909</v>
      </c>
      <c r="B3203">
        <v>117.20959534505801</v>
      </c>
      <c r="C3203">
        <v>2001</v>
      </c>
    </row>
    <row r="3204" spans="1:11" x14ac:dyDescent="0.25">
      <c r="A3204">
        <v>13.2228600377686</v>
      </c>
      <c r="B3204">
        <v>122.39768582865401</v>
      </c>
      <c r="C3204">
        <v>2001</v>
      </c>
    </row>
    <row r="3205" spans="1:11" x14ac:dyDescent="0.25">
      <c r="A3205">
        <v>13.2228600377686</v>
      </c>
      <c r="B3205">
        <v>122.39768582865401</v>
      </c>
      <c r="C3205">
        <v>2000</v>
      </c>
    </row>
    <row r="3206" spans="1:11" x14ac:dyDescent="0.25">
      <c r="A3206" t="s">
        <v>83</v>
      </c>
    </row>
    <row r="3207" spans="1:11" x14ac:dyDescent="0.25">
      <c r="A3207">
        <v>279</v>
      </c>
      <c r="B3207">
        <v>0</v>
      </c>
      <c r="C3207">
        <v>3.55990792728538</v>
      </c>
      <c r="D3207">
        <v>14.5814822621763</v>
      </c>
      <c r="E3207">
        <v>6</v>
      </c>
      <c r="F3207">
        <v>1.01722196789785</v>
      </c>
      <c r="G3207" t="s">
        <v>81</v>
      </c>
      <c r="H3207" t="s">
        <v>84</v>
      </c>
      <c r="I3207">
        <v>0</v>
      </c>
      <c r="J3207">
        <v>242</v>
      </c>
      <c r="K3207">
        <v>0</v>
      </c>
    </row>
    <row r="3208" spans="1:11" x14ac:dyDescent="0.25">
      <c r="A3208" t="s">
        <v>82</v>
      </c>
    </row>
    <row r="3209" spans="1:11" x14ac:dyDescent="0.25">
      <c r="A3209">
        <v>129.54603038471799</v>
      </c>
      <c r="B3209">
        <v>2.5601131392124299</v>
      </c>
      <c r="C3209">
        <v>2000</v>
      </c>
    </row>
    <row r="3210" spans="1:11" x14ac:dyDescent="0.25">
      <c r="A3210">
        <v>126.985917245506</v>
      </c>
      <c r="B3210">
        <v>0</v>
      </c>
      <c r="C3210">
        <v>2000</v>
      </c>
    </row>
    <row r="3211" spans="1:11" x14ac:dyDescent="0.25">
      <c r="A3211">
        <v>127.859949294404</v>
      </c>
      <c r="B3211">
        <v>0</v>
      </c>
      <c r="C3211">
        <v>2001</v>
      </c>
    </row>
    <row r="3212" spans="1:11" x14ac:dyDescent="0.25">
      <c r="A3212">
        <v>130.334306226758</v>
      </c>
      <c r="B3212">
        <v>2.4743569323540502</v>
      </c>
      <c r="C3212">
        <v>2001</v>
      </c>
    </row>
    <row r="3213" spans="1:11" x14ac:dyDescent="0.25">
      <c r="A3213">
        <v>140.469341305299</v>
      </c>
      <c r="B3213">
        <v>12.6093920108951</v>
      </c>
      <c r="C3213">
        <v>2001</v>
      </c>
    </row>
    <row r="3214" spans="1:11" x14ac:dyDescent="0.25">
      <c r="A3214">
        <v>140.03232528084999</v>
      </c>
      <c r="B3214">
        <v>13.0464080353439</v>
      </c>
      <c r="C3214">
        <v>2000</v>
      </c>
    </row>
    <row r="3215" spans="1:11" x14ac:dyDescent="0.25">
      <c r="A3215" t="s">
        <v>83</v>
      </c>
    </row>
    <row r="3216" spans="1:11" x14ac:dyDescent="0.25">
      <c r="A3216">
        <v>249</v>
      </c>
      <c r="B3216">
        <v>0</v>
      </c>
      <c r="C3216">
        <v>10.681388779936499</v>
      </c>
      <c r="D3216">
        <v>7.3370679247197303</v>
      </c>
      <c r="E3216">
        <v>8</v>
      </c>
      <c r="F3216">
        <v>1.5707963267949001</v>
      </c>
      <c r="G3216" t="s">
        <v>81</v>
      </c>
      <c r="H3216" t="s">
        <v>84</v>
      </c>
      <c r="I3216">
        <v>0</v>
      </c>
      <c r="J3216">
        <v>259</v>
      </c>
      <c r="K3216">
        <v>0</v>
      </c>
    </row>
    <row r="3217" spans="1:11" x14ac:dyDescent="0.25">
      <c r="A3217" t="s">
        <v>82</v>
      </c>
    </row>
    <row r="3218" spans="1:11" x14ac:dyDescent="0.25">
      <c r="A3218">
        <v>101.155270531846</v>
      </c>
      <c r="B3218">
        <v>7.5528824387830102</v>
      </c>
      <c r="C3218">
        <v>2000</v>
      </c>
    </row>
    <row r="3219" spans="1:11" x14ac:dyDescent="0.25">
      <c r="A3219">
        <v>100</v>
      </c>
      <c r="B3219">
        <v>6.3976119069371302</v>
      </c>
      <c r="C3219">
        <v>2000</v>
      </c>
    </row>
    <row r="3220" spans="1:11" x14ac:dyDescent="0.25">
      <c r="A3220">
        <v>93.602388093062899</v>
      </c>
      <c r="B3220">
        <v>0</v>
      </c>
      <c r="C3220">
        <v>2000</v>
      </c>
    </row>
    <row r="3221" spans="1:11" x14ac:dyDescent="0.25">
      <c r="A3221">
        <v>93.602388093062899</v>
      </c>
      <c r="B3221">
        <v>0</v>
      </c>
      <c r="C3221">
        <v>2001</v>
      </c>
    </row>
    <row r="3222" spans="1:11" x14ac:dyDescent="0.25">
      <c r="A3222">
        <v>100</v>
      </c>
      <c r="B3222">
        <v>6.3976119069371302</v>
      </c>
      <c r="C3222">
        <v>2001</v>
      </c>
    </row>
    <row r="3223" spans="1:11" x14ac:dyDescent="0.25">
      <c r="A3223">
        <v>101.155270531846</v>
      </c>
      <c r="B3223">
        <v>7.5528824387830102</v>
      </c>
      <c r="C3223">
        <v>2001</v>
      </c>
    </row>
    <row r="3224" spans="1:11" x14ac:dyDescent="0.25">
      <c r="A3224">
        <v>106.343361015442</v>
      </c>
      <c r="B3224">
        <v>12.740972922378599</v>
      </c>
      <c r="C3224">
        <v>2001</v>
      </c>
    </row>
    <row r="3225" spans="1:11" x14ac:dyDescent="0.25">
      <c r="A3225">
        <v>106.343361015442</v>
      </c>
      <c r="B3225">
        <v>12.740972922378599</v>
      </c>
      <c r="C3225">
        <v>2000</v>
      </c>
    </row>
    <row r="3226" spans="1:11" x14ac:dyDescent="0.25">
      <c r="A3226" t="s">
        <v>83</v>
      </c>
    </row>
    <row r="3227" spans="1:11" x14ac:dyDescent="0.25">
      <c r="A3227">
        <v>25</v>
      </c>
      <c r="B3227">
        <v>0</v>
      </c>
      <c r="C3227">
        <v>9.3886025862446392</v>
      </c>
      <c r="D3227">
        <v>8.5975672697327798</v>
      </c>
      <c r="E3227">
        <v>8</v>
      </c>
      <c r="F3227">
        <v>1.01722196789785</v>
      </c>
      <c r="G3227" t="s">
        <v>84</v>
      </c>
      <c r="H3227" t="s">
        <v>84</v>
      </c>
      <c r="I3227">
        <v>37</v>
      </c>
      <c r="J3227">
        <v>676</v>
      </c>
      <c r="K3227">
        <v>0</v>
      </c>
    </row>
    <row r="3228" spans="1:11" x14ac:dyDescent="0.25">
      <c r="A3228" t="s">
        <v>82</v>
      </c>
    </row>
    <row r="3229" spans="1:11" x14ac:dyDescent="0.25">
      <c r="A3229">
        <v>14.8256397912353</v>
      </c>
      <c r="B3229">
        <v>44.076481152366</v>
      </c>
      <c r="C3229">
        <v>2000</v>
      </c>
    </row>
    <row r="3230" spans="1:11" x14ac:dyDescent="0.25">
      <c r="A3230">
        <v>8.1868952366362002</v>
      </c>
      <c r="B3230">
        <v>37.437736597766801</v>
      </c>
      <c r="C3230">
        <v>2000</v>
      </c>
    </row>
    <row r="3231" spans="1:11" x14ac:dyDescent="0.25">
      <c r="A3231">
        <v>7.7498792121873796</v>
      </c>
      <c r="B3231">
        <v>37.874752622215603</v>
      </c>
      <c r="C3231">
        <v>2001</v>
      </c>
    </row>
    <row r="3232" spans="1:11" x14ac:dyDescent="0.25">
      <c r="A3232">
        <v>14.3886237667865</v>
      </c>
      <c r="B3232">
        <v>44.513497176814802</v>
      </c>
      <c r="C3232">
        <v>2001</v>
      </c>
    </row>
    <row r="3233" spans="1:11" x14ac:dyDescent="0.25">
      <c r="A3233">
        <v>20.0936346021962</v>
      </c>
      <c r="B3233">
        <v>50.218508012224397</v>
      </c>
      <c r="C3233">
        <v>2001</v>
      </c>
    </row>
    <row r="3234" spans="1:11" x14ac:dyDescent="0.25">
      <c r="A3234">
        <v>20.468021884922099</v>
      </c>
      <c r="B3234">
        <v>50.592895294950303</v>
      </c>
      <c r="C3234">
        <v>2001</v>
      </c>
    </row>
    <row r="3235" spans="1:11" x14ac:dyDescent="0.25">
      <c r="A3235">
        <v>20.9050379093709</v>
      </c>
      <c r="B3235">
        <v>50.155879270501501</v>
      </c>
      <c r="C3235">
        <v>2000</v>
      </c>
    </row>
    <row r="3236" spans="1:11" x14ac:dyDescent="0.25">
      <c r="A3236">
        <v>20.530650626644999</v>
      </c>
      <c r="B3236">
        <v>49.781491987775603</v>
      </c>
      <c r="C3236">
        <v>2000</v>
      </c>
    </row>
    <row r="3237" spans="1:11" x14ac:dyDescent="0.25">
      <c r="A3237" t="s">
        <v>83</v>
      </c>
    </row>
    <row r="3238" spans="1:11" x14ac:dyDescent="0.25">
      <c r="A3238">
        <v>2</v>
      </c>
      <c r="B3238">
        <v>0</v>
      </c>
      <c r="C3238">
        <v>8.6388158521620397</v>
      </c>
      <c r="D3238">
        <v>9.2534143204593899</v>
      </c>
      <c r="E3238">
        <v>6</v>
      </c>
      <c r="F3238">
        <v>1.5707963267949001</v>
      </c>
      <c r="G3238" t="s">
        <v>81</v>
      </c>
      <c r="H3238" t="s">
        <v>84</v>
      </c>
      <c r="I3238">
        <v>0</v>
      </c>
      <c r="J3238">
        <v>647</v>
      </c>
      <c r="K3238">
        <v>0</v>
      </c>
    </row>
    <row r="3239" spans="1:11" x14ac:dyDescent="0.25">
      <c r="A3239" t="s">
        <v>82</v>
      </c>
    </row>
    <row r="3240" spans="1:11" x14ac:dyDescent="0.25">
      <c r="A3240">
        <v>6.1085652704856201</v>
      </c>
      <c r="B3240">
        <v>42.674280478467402</v>
      </c>
      <c r="C3240">
        <v>2000</v>
      </c>
    </row>
    <row r="3241" spans="1:11" x14ac:dyDescent="0.25">
      <c r="A3241">
        <v>0</v>
      </c>
      <c r="B3241">
        <v>36.565715207981803</v>
      </c>
      <c r="C3241">
        <v>2000</v>
      </c>
    </row>
    <row r="3242" spans="1:11" x14ac:dyDescent="0.25">
      <c r="A3242">
        <v>0</v>
      </c>
      <c r="B3242">
        <v>36.565715207981803</v>
      </c>
      <c r="C3242">
        <v>2001</v>
      </c>
    </row>
    <row r="3243" spans="1:11" x14ac:dyDescent="0.25">
      <c r="A3243">
        <v>6.1085652704856201</v>
      </c>
      <c r="B3243">
        <v>42.674280478467402</v>
      </c>
      <c r="C3243">
        <v>2001</v>
      </c>
    </row>
    <row r="3244" spans="1:11" x14ac:dyDescent="0.25">
      <c r="A3244">
        <v>12.6517172856112</v>
      </c>
      <c r="B3244">
        <v>49.217432493592902</v>
      </c>
      <c r="C3244">
        <v>2001</v>
      </c>
    </row>
    <row r="3245" spans="1:11" x14ac:dyDescent="0.25">
      <c r="A3245">
        <v>12.6517172856112</v>
      </c>
      <c r="B3245">
        <v>49.217432493592902</v>
      </c>
      <c r="C3245">
        <v>2000</v>
      </c>
    </row>
    <row r="3246" spans="1:11" x14ac:dyDescent="0.25">
      <c r="A3246" t="s">
        <v>83</v>
      </c>
    </row>
    <row r="3247" spans="1:11" x14ac:dyDescent="0.25">
      <c r="A3247">
        <v>193</v>
      </c>
      <c r="B3247">
        <v>0</v>
      </c>
      <c r="C3247">
        <v>9.3915600651058906</v>
      </c>
      <c r="D3247">
        <v>8.4770139277914893</v>
      </c>
      <c r="E3247">
        <v>6</v>
      </c>
      <c r="F3247">
        <v>1.01722196789785</v>
      </c>
      <c r="G3247" t="s">
        <v>84</v>
      </c>
      <c r="H3247" t="s">
        <v>84</v>
      </c>
      <c r="I3247">
        <v>165</v>
      </c>
      <c r="J3247">
        <v>164</v>
      </c>
      <c r="K3247">
        <v>0</v>
      </c>
    </row>
    <row r="3248" spans="1:11" x14ac:dyDescent="0.25">
      <c r="A3248" t="s">
        <v>82</v>
      </c>
    </row>
    <row r="3249" spans="1:11" x14ac:dyDescent="0.25">
      <c r="A3249">
        <v>113.69900725394901</v>
      </c>
      <c r="B3249">
        <v>82.292764016567901</v>
      </c>
      <c r="C3249">
        <v>2000</v>
      </c>
    </row>
    <row r="3250" spans="1:11" x14ac:dyDescent="0.25">
      <c r="A3250">
        <v>107.058171445992</v>
      </c>
      <c r="B3250">
        <v>75.651928208610698</v>
      </c>
      <c r="C3250">
        <v>2000</v>
      </c>
    </row>
    <row r="3251" spans="1:11" x14ac:dyDescent="0.25">
      <c r="A3251">
        <v>106.62115542154299</v>
      </c>
      <c r="B3251">
        <v>76.088944233059607</v>
      </c>
      <c r="C3251">
        <v>2001</v>
      </c>
    </row>
    <row r="3252" spans="1:11" x14ac:dyDescent="0.25">
      <c r="A3252">
        <v>113.2619912295</v>
      </c>
      <c r="B3252">
        <v>82.729780041016696</v>
      </c>
      <c r="C3252">
        <v>2001</v>
      </c>
    </row>
    <row r="3253" spans="1:11" x14ac:dyDescent="0.25">
      <c r="A3253">
        <v>119.256145262055</v>
      </c>
      <c r="B3253">
        <v>88.723934073570902</v>
      </c>
      <c r="C3253">
        <v>2001</v>
      </c>
    </row>
    <row r="3254" spans="1:11" x14ac:dyDescent="0.25">
      <c r="A3254">
        <v>119.693161286503</v>
      </c>
      <c r="B3254">
        <v>88.286918049122093</v>
      </c>
      <c r="C3254">
        <v>2000</v>
      </c>
    </row>
    <row r="3255" spans="1:11" x14ac:dyDescent="0.25">
      <c r="A3255" t="s">
        <v>83</v>
      </c>
    </row>
    <row r="3256" spans="1:11" x14ac:dyDescent="0.25">
      <c r="A3256">
        <v>241</v>
      </c>
      <c r="B3256">
        <v>0</v>
      </c>
      <c r="C3256">
        <v>7.3370679247197303</v>
      </c>
      <c r="D3256">
        <v>10.0395315589966</v>
      </c>
      <c r="E3256">
        <v>6</v>
      </c>
      <c r="F3256">
        <v>1.5707963267949001</v>
      </c>
      <c r="G3256" t="s">
        <v>84</v>
      </c>
      <c r="H3256" t="s">
        <v>81</v>
      </c>
      <c r="I3256">
        <v>750</v>
      </c>
      <c r="J3256">
        <v>0</v>
      </c>
      <c r="K3256">
        <v>0</v>
      </c>
    </row>
    <row r="3257" spans="1:11" x14ac:dyDescent="0.25">
      <c r="A3257" t="s">
        <v>82</v>
      </c>
    </row>
    <row r="3258" spans="1:11" x14ac:dyDescent="0.25">
      <c r="A3258">
        <v>142.90097915469701</v>
      </c>
      <c r="B3258">
        <v>34.058543229037198</v>
      </c>
      <c r="C3258">
        <v>2000</v>
      </c>
    </row>
    <row r="3259" spans="1:11" x14ac:dyDescent="0.25">
      <c r="A3259">
        <v>137.71288867110101</v>
      </c>
      <c r="B3259">
        <v>28.8704527454416</v>
      </c>
      <c r="C3259">
        <v>2000</v>
      </c>
    </row>
    <row r="3260" spans="1:11" x14ac:dyDescent="0.25">
      <c r="A3260">
        <v>137.71288867110101</v>
      </c>
      <c r="B3260">
        <v>28.8704527454416</v>
      </c>
      <c r="C3260">
        <v>2001</v>
      </c>
    </row>
    <row r="3261" spans="1:11" x14ac:dyDescent="0.25">
      <c r="A3261">
        <v>142.90097915469701</v>
      </c>
      <c r="B3261">
        <v>34.058543229037198</v>
      </c>
      <c r="C3261">
        <v>2001</v>
      </c>
    </row>
    <row r="3262" spans="1:11" x14ac:dyDescent="0.25">
      <c r="A3262">
        <v>150</v>
      </c>
      <c r="B3262">
        <v>41.157564074340101</v>
      </c>
      <c r="C3262">
        <v>2001</v>
      </c>
    </row>
    <row r="3263" spans="1:11" x14ac:dyDescent="0.25">
      <c r="A3263">
        <v>150</v>
      </c>
      <c r="B3263">
        <v>41.157564074340101</v>
      </c>
      <c r="C3263">
        <v>2000</v>
      </c>
    </row>
    <row r="3264" spans="1:11" x14ac:dyDescent="0.25">
      <c r="A3264" t="s">
        <v>83</v>
      </c>
    </row>
    <row r="3265" spans="1:11" x14ac:dyDescent="0.25">
      <c r="A3265">
        <v>753</v>
      </c>
      <c r="B3265">
        <v>0</v>
      </c>
      <c r="C3265">
        <v>17.160562938557199</v>
      </c>
      <c r="D3265">
        <v>0.105051365698188</v>
      </c>
      <c r="E3265">
        <v>8</v>
      </c>
      <c r="F3265">
        <v>1.5707963267949001</v>
      </c>
      <c r="G3265" t="s">
        <v>84</v>
      </c>
      <c r="H3265" t="s">
        <v>81</v>
      </c>
      <c r="I3265">
        <v>254</v>
      </c>
      <c r="J3265">
        <v>0</v>
      </c>
      <c r="K3265">
        <v>0.38291049225174001</v>
      </c>
    </row>
    <row r="3266" spans="1:11" x14ac:dyDescent="0.25">
      <c r="A3266" t="s">
        <v>82</v>
      </c>
    </row>
    <row r="3267" spans="1:11" x14ac:dyDescent="0.25">
      <c r="A3267">
        <v>149.92571746694199</v>
      </c>
      <c r="B3267">
        <v>61.970868374673103</v>
      </c>
      <c r="C3267">
        <v>2000</v>
      </c>
    </row>
    <row r="3268" spans="1:11" x14ac:dyDescent="0.25">
      <c r="A3268">
        <v>137.954849092269</v>
      </c>
      <c r="B3268">
        <v>50</v>
      </c>
      <c r="C3268">
        <v>2000</v>
      </c>
    </row>
    <row r="3269" spans="1:11" x14ac:dyDescent="0.25">
      <c r="A3269">
        <v>137.79136704410999</v>
      </c>
      <c r="B3269">
        <v>49.836517951840797</v>
      </c>
      <c r="C3269">
        <v>2000</v>
      </c>
    </row>
    <row r="3270" spans="1:11" x14ac:dyDescent="0.25">
      <c r="A3270">
        <v>137.79136704410999</v>
      </c>
      <c r="B3270">
        <v>49.836517951840797</v>
      </c>
      <c r="C3270">
        <v>2001</v>
      </c>
    </row>
    <row r="3271" spans="1:11" x14ac:dyDescent="0.25">
      <c r="A3271">
        <v>137.954849092269</v>
      </c>
      <c r="B3271">
        <v>50</v>
      </c>
      <c r="C3271">
        <v>2001</v>
      </c>
    </row>
    <row r="3272" spans="1:11" x14ac:dyDescent="0.25">
      <c r="A3272">
        <v>149.92571746694199</v>
      </c>
      <c r="B3272">
        <v>61.970868374673103</v>
      </c>
      <c r="C3272">
        <v>2001</v>
      </c>
    </row>
    <row r="3273" spans="1:11" x14ac:dyDescent="0.25">
      <c r="A3273">
        <v>150</v>
      </c>
      <c r="B3273">
        <v>62.045150907731198</v>
      </c>
      <c r="C3273">
        <v>2001</v>
      </c>
    </row>
    <row r="3274" spans="1:11" x14ac:dyDescent="0.25">
      <c r="A3274">
        <v>150</v>
      </c>
      <c r="B3274">
        <v>62.045150907731198</v>
      </c>
      <c r="C3274">
        <v>2000</v>
      </c>
    </row>
    <row r="3275" spans="1:11" x14ac:dyDescent="0.25">
      <c r="A3275" t="s">
        <v>83</v>
      </c>
    </row>
    <row r="3276" spans="1:11" x14ac:dyDescent="0.25">
      <c r="A3276">
        <v>86</v>
      </c>
      <c r="B3276">
        <v>0</v>
      </c>
      <c r="C3276">
        <v>9.2631694010850794</v>
      </c>
      <c r="D3276">
        <v>7.9632178893129604</v>
      </c>
      <c r="E3276">
        <v>8</v>
      </c>
      <c r="F3276">
        <v>1.5707963267949001</v>
      </c>
      <c r="G3276" t="s">
        <v>84</v>
      </c>
      <c r="H3276" t="s">
        <v>84</v>
      </c>
      <c r="I3276">
        <v>675</v>
      </c>
      <c r="J3276">
        <v>88</v>
      </c>
      <c r="K3276">
        <v>0</v>
      </c>
    </row>
    <row r="3277" spans="1:11" x14ac:dyDescent="0.25">
      <c r="A3277" t="s">
        <v>82</v>
      </c>
    </row>
    <row r="3278" spans="1:11" x14ac:dyDescent="0.25">
      <c r="A3278">
        <v>50.320366572272199</v>
      </c>
      <c r="B3278">
        <v>84.4635697358584</v>
      </c>
      <c r="C3278">
        <v>2000</v>
      </c>
    </row>
    <row r="3279" spans="1:11" x14ac:dyDescent="0.25">
      <c r="A3279">
        <v>50</v>
      </c>
      <c r="B3279">
        <v>84.143203163586193</v>
      </c>
      <c r="C3279">
        <v>2000</v>
      </c>
    </row>
    <row r="3280" spans="1:11" x14ac:dyDescent="0.25">
      <c r="A3280">
        <v>43.770316673485198</v>
      </c>
      <c r="B3280">
        <v>77.913519837071405</v>
      </c>
      <c r="C3280">
        <v>2000</v>
      </c>
    </row>
    <row r="3281" spans="1:11" x14ac:dyDescent="0.25">
      <c r="A3281">
        <v>43.770316673485198</v>
      </c>
      <c r="B3281">
        <v>77.913519837071405</v>
      </c>
      <c r="C3281">
        <v>2001</v>
      </c>
    </row>
    <row r="3282" spans="1:11" x14ac:dyDescent="0.25">
      <c r="A3282">
        <v>50</v>
      </c>
      <c r="B3282">
        <v>84.143203163586193</v>
      </c>
      <c r="C3282">
        <v>2001</v>
      </c>
    </row>
    <row r="3283" spans="1:11" x14ac:dyDescent="0.25">
      <c r="A3283">
        <v>50.320366572272199</v>
      </c>
      <c r="B3283">
        <v>84.4635697358584</v>
      </c>
      <c r="C3283">
        <v>2001</v>
      </c>
    </row>
    <row r="3284" spans="1:11" x14ac:dyDescent="0.25">
      <c r="A3284">
        <v>55.951211941871399</v>
      </c>
      <c r="B3284">
        <v>90.0944151054576</v>
      </c>
      <c r="C3284">
        <v>2001</v>
      </c>
    </row>
    <row r="3285" spans="1:11" x14ac:dyDescent="0.25">
      <c r="A3285">
        <v>55.951211941871399</v>
      </c>
      <c r="B3285">
        <v>90.0944151054576</v>
      </c>
      <c r="C3285">
        <v>2000</v>
      </c>
    </row>
    <row r="3286" spans="1:11" x14ac:dyDescent="0.25">
      <c r="A3286" t="s">
        <v>83</v>
      </c>
    </row>
    <row r="3287" spans="1:11" x14ac:dyDescent="0.25">
      <c r="A3287">
        <v>486</v>
      </c>
      <c r="B3287">
        <v>0</v>
      </c>
      <c r="C3287">
        <v>2.2463249545441402</v>
      </c>
      <c r="D3287">
        <v>14.7826725805277</v>
      </c>
      <c r="E3287">
        <v>6</v>
      </c>
      <c r="F3287">
        <v>1.5707963267949001</v>
      </c>
      <c r="G3287" t="s">
        <v>84</v>
      </c>
      <c r="H3287" t="s">
        <v>84</v>
      </c>
      <c r="I3287">
        <v>488</v>
      </c>
      <c r="J3287">
        <v>485</v>
      </c>
      <c r="K3287">
        <v>0</v>
      </c>
    </row>
    <row r="3288" spans="1:11" x14ac:dyDescent="0.25">
      <c r="A3288" t="s">
        <v>82</v>
      </c>
    </row>
    <row r="3289" spans="1:11" x14ac:dyDescent="0.25">
      <c r="A3289">
        <v>54.872643309586003</v>
      </c>
      <c r="B3289">
        <v>16.3050525315595</v>
      </c>
      <c r="C3289">
        <v>2000</v>
      </c>
    </row>
    <row r="3290" spans="1:11" x14ac:dyDescent="0.25">
      <c r="A3290">
        <v>53.284251701479299</v>
      </c>
      <c r="B3290">
        <v>14.7166609234528</v>
      </c>
      <c r="C3290">
        <v>2000</v>
      </c>
    </row>
    <row r="3291" spans="1:11" x14ac:dyDescent="0.25">
      <c r="A3291">
        <v>53.284251701479299</v>
      </c>
      <c r="B3291">
        <v>14.7166609234528</v>
      </c>
      <c r="C3291">
        <v>2001</v>
      </c>
    </row>
    <row r="3292" spans="1:11" x14ac:dyDescent="0.25">
      <c r="A3292">
        <v>54.872643309586003</v>
      </c>
      <c r="B3292">
        <v>16.3050525315595</v>
      </c>
      <c r="C3292">
        <v>2001</v>
      </c>
    </row>
    <row r="3293" spans="1:11" x14ac:dyDescent="0.25">
      <c r="A3293">
        <v>65.3255713353376</v>
      </c>
      <c r="B3293">
        <v>26.7579805573111</v>
      </c>
      <c r="C3293">
        <v>2001</v>
      </c>
    </row>
    <row r="3294" spans="1:11" x14ac:dyDescent="0.25">
      <c r="A3294">
        <v>65.3255713353376</v>
      </c>
      <c r="B3294">
        <v>26.7579805573111</v>
      </c>
      <c r="C3294">
        <v>2000</v>
      </c>
    </row>
    <row r="3295" spans="1:11" x14ac:dyDescent="0.25">
      <c r="A3295" t="s">
        <v>83</v>
      </c>
    </row>
    <row r="3296" spans="1:11" x14ac:dyDescent="0.25">
      <c r="A3296">
        <v>30</v>
      </c>
      <c r="B3296">
        <v>0</v>
      </c>
      <c r="C3296">
        <v>0.28025282598762202</v>
      </c>
      <c r="D3296">
        <v>16.564158360797801</v>
      </c>
      <c r="E3296">
        <v>6</v>
      </c>
      <c r="F3296">
        <v>1.01722196789785</v>
      </c>
      <c r="G3296" t="s">
        <v>84</v>
      </c>
      <c r="H3296" t="s">
        <v>84</v>
      </c>
      <c r="I3296">
        <v>29</v>
      </c>
      <c r="J3296">
        <v>197</v>
      </c>
      <c r="K3296">
        <v>0</v>
      </c>
    </row>
    <row r="3297" spans="1:11" x14ac:dyDescent="0.25">
      <c r="A3297" t="s">
        <v>82</v>
      </c>
    </row>
    <row r="3298" spans="1:11" x14ac:dyDescent="0.25">
      <c r="A3298">
        <v>15.7310993679523</v>
      </c>
      <c r="B3298">
        <v>1.32242965479979</v>
      </c>
      <c r="C3298">
        <v>2000</v>
      </c>
    </row>
    <row r="3299" spans="1:11" x14ac:dyDescent="0.25">
      <c r="A3299">
        <v>15.532930694249799</v>
      </c>
      <c r="B3299">
        <v>1.1242609810972499</v>
      </c>
      <c r="C3299">
        <v>2000</v>
      </c>
    </row>
    <row r="3300" spans="1:11" x14ac:dyDescent="0.25">
      <c r="A3300">
        <v>15.969946718698599</v>
      </c>
      <c r="B3300">
        <v>0.68724495664842999</v>
      </c>
      <c r="C3300">
        <v>2001</v>
      </c>
    </row>
    <row r="3301" spans="1:11" x14ac:dyDescent="0.25">
      <c r="A3301">
        <v>16.168115392401099</v>
      </c>
      <c r="B3301">
        <v>0.88541363035097098</v>
      </c>
      <c r="C3301">
        <v>2001</v>
      </c>
    </row>
    <row r="3302" spans="1:11" x14ac:dyDescent="0.25">
      <c r="A3302">
        <v>27.880744093969099</v>
      </c>
      <c r="B3302">
        <v>12.598042331918901</v>
      </c>
      <c r="C3302">
        <v>2001</v>
      </c>
    </row>
    <row r="3303" spans="1:11" x14ac:dyDescent="0.25">
      <c r="A3303">
        <v>27.443728069520201</v>
      </c>
      <c r="B3303">
        <v>13.035058356367699</v>
      </c>
      <c r="C3303">
        <v>2000</v>
      </c>
    </row>
    <row r="3304" spans="1:11" x14ac:dyDescent="0.25">
      <c r="A3304" t="s">
        <v>83</v>
      </c>
    </row>
    <row r="3305" spans="1:11" x14ac:dyDescent="0.25">
      <c r="A3305">
        <v>85</v>
      </c>
      <c r="B3305">
        <v>0</v>
      </c>
      <c r="C3305">
        <v>9.2099696286048491</v>
      </c>
      <c r="D3305">
        <v>7.5154902560775403</v>
      </c>
      <c r="E3305">
        <v>10</v>
      </c>
      <c r="F3305">
        <v>1.5707963267949001</v>
      </c>
      <c r="G3305" t="s">
        <v>84</v>
      </c>
      <c r="H3305" t="s">
        <v>84</v>
      </c>
      <c r="I3305">
        <v>23</v>
      </c>
      <c r="J3305">
        <v>89</v>
      </c>
      <c r="K3305">
        <v>0</v>
      </c>
    </row>
    <row r="3306" spans="1:11" x14ac:dyDescent="0.25">
      <c r="A3306" t="s">
        <v>82</v>
      </c>
    </row>
    <row r="3307" spans="1:11" x14ac:dyDescent="0.25">
      <c r="A3307">
        <v>52.970927664065201</v>
      </c>
      <c r="B3307">
        <v>55.881278696880401</v>
      </c>
      <c r="C3307">
        <v>2000</v>
      </c>
    </row>
    <row r="3308" spans="1:11" x14ac:dyDescent="0.25">
      <c r="A3308">
        <v>50</v>
      </c>
      <c r="B3308">
        <v>52.9103510328151</v>
      </c>
      <c r="C3308">
        <v>2000</v>
      </c>
    </row>
    <row r="3309" spans="1:11" x14ac:dyDescent="0.25">
      <c r="A3309">
        <v>47.0896489671849</v>
      </c>
      <c r="B3309">
        <v>50</v>
      </c>
      <c r="C3309">
        <v>2000</v>
      </c>
    </row>
    <row r="3310" spans="1:11" x14ac:dyDescent="0.25">
      <c r="A3310">
        <v>46.458495685156599</v>
      </c>
      <c r="B3310">
        <v>49.368846717971699</v>
      </c>
      <c r="C3310">
        <v>2000</v>
      </c>
    </row>
    <row r="3311" spans="1:11" x14ac:dyDescent="0.25">
      <c r="A3311">
        <v>46.458495685156599</v>
      </c>
      <c r="B3311">
        <v>49.368846717971699</v>
      </c>
      <c r="C3311">
        <v>2001</v>
      </c>
    </row>
    <row r="3312" spans="1:11" x14ac:dyDescent="0.25">
      <c r="A3312">
        <v>47.0896489671849</v>
      </c>
      <c r="B3312">
        <v>50</v>
      </c>
      <c r="C3312">
        <v>2001</v>
      </c>
    </row>
    <row r="3313" spans="1:11" x14ac:dyDescent="0.25">
      <c r="A3313">
        <v>50</v>
      </c>
      <c r="B3313">
        <v>52.9103510328151</v>
      </c>
      <c r="C3313">
        <v>2001</v>
      </c>
    </row>
    <row r="3314" spans="1:11" x14ac:dyDescent="0.25">
      <c r="A3314">
        <v>52.970927664065201</v>
      </c>
      <c r="B3314">
        <v>55.881278696880401</v>
      </c>
      <c r="C3314">
        <v>2001</v>
      </c>
    </row>
    <row r="3315" spans="1:11" x14ac:dyDescent="0.25">
      <c r="A3315">
        <v>58.2851817880791</v>
      </c>
      <c r="B3315">
        <v>61.195532820894201</v>
      </c>
      <c r="C3315">
        <v>2001</v>
      </c>
    </row>
    <row r="3316" spans="1:11" x14ac:dyDescent="0.25">
      <c r="A3316">
        <v>58.2851817880791</v>
      </c>
      <c r="B3316">
        <v>61.195532820894201</v>
      </c>
      <c r="C3316">
        <v>2000</v>
      </c>
    </row>
    <row r="3317" spans="1:11" x14ac:dyDescent="0.25">
      <c r="A3317" t="s">
        <v>83</v>
      </c>
    </row>
    <row r="3318" spans="1:11" x14ac:dyDescent="0.25">
      <c r="A3318">
        <v>751</v>
      </c>
      <c r="B3318">
        <v>0</v>
      </c>
      <c r="C3318">
        <v>3.7242781621471699</v>
      </c>
      <c r="D3318">
        <v>12.924171009714099</v>
      </c>
      <c r="E3318">
        <v>6</v>
      </c>
      <c r="F3318">
        <v>1.5707963267949001</v>
      </c>
      <c r="G3318" t="s">
        <v>84</v>
      </c>
      <c r="H3318" t="s">
        <v>84</v>
      </c>
      <c r="I3318">
        <v>37</v>
      </c>
      <c r="J3318">
        <v>16</v>
      </c>
      <c r="K3318">
        <v>0.38291049225174001</v>
      </c>
    </row>
    <row r="3319" spans="1:11" x14ac:dyDescent="0.25">
      <c r="A3319" t="s">
        <v>82</v>
      </c>
    </row>
    <row r="3320" spans="1:11" x14ac:dyDescent="0.25">
      <c r="A3320">
        <v>11.1965694400466</v>
      </c>
      <c r="B3320">
        <v>39.694987081314899</v>
      </c>
      <c r="C3320">
        <v>2000</v>
      </c>
    </row>
    <row r="3321" spans="1:11" x14ac:dyDescent="0.25">
      <c r="A3321">
        <v>8.5631070965673608</v>
      </c>
      <c r="B3321">
        <v>37.061524737835697</v>
      </c>
      <c r="C3321">
        <v>2000</v>
      </c>
    </row>
    <row r="3322" spans="1:11" x14ac:dyDescent="0.25">
      <c r="A3322">
        <v>8.5631070965673608</v>
      </c>
      <c r="B3322">
        <v>37.061524737835697</v>
      </c>
      <c r="C3322">
        <v>2001</v>
      </c>
    </row>
    <row r="3323" spans="1:11" x14ac:dyDescent="0.25">
      <c r="A3323">
        <v>11.1965694400466</v>
      </c>
      <c r="B3323">
        <v>39.694987081314899</v>
      </c>
      <c r="C3323">
        <v>2001</v>
      </c>
    </row>
    <row r="3324" spans="1:11" x14ac:dyDescent="0.25">
      <c r="A3324">
        <v>20.335338402230001</v>
      </c>
      <c r="B3324">
        <v>48.833756043498298</v>
      </c>
      <c r="C3324">
        <v>2001</v>
      </c>
    </row>
    <row r="3325" spans="1:11" x14ac:dyDescent="0.25">
      <c r="A3325">
        <v>20.335338402230001</v>
      </c>
      <c r="B3325">
        <v>48.833756043498298</v>
      </c>
      <c r="C3325">
        <v>2000</v>
      </c>
    </row>
    <row r="3326" spans="1:11" x14ac:dyDescent="0.25">
      <c r="A3326" t="s">
        <v>83</v>
      </c>
    </row>
    <row r="3327" spans="1:11" x14ac:dyDescent="0.25">
      <c r="A3327">
        <v>660</v>
      </c>
      <c r="B3327">
        <v>0</v>
      </c>
      <c r="C3327">
        <v>1.47201744027273</v>
      </c>
      <c r="D3327">
        <v>15.175110569614301</v>
      </c>
      <c r="E3327">
        <v>6</v>
      </c>
      <c r="F3327">
        <v>1.5707963267949001</v>
      </c>
      <c r="G3327" t="s">
        <v>84</v>
      </c>
      <c r="H3327" t="s">
        <v>84</v>
      </c>
      <c r="I3327">
        <v>652</v>
      </c>
      <c r="J3327">
        <v>654</v>
      </c>
      <c r="K3327">
        <v>0</v>
      </c>
    </row>
    <row r="3328" spans="1:11" x14ac:dyDescent="0.25">
      <c r="A3328" t="s">
        <v>82</v>
      </c>
    </row>
    <row r="3329" spans="1:11" x14ac:dyDescent="0.25">
      <c r="A3329">
        <v>21.524672697542499</v>
      </c>
      <c r="B3329">
        <v>58.645007006658702</v>
      </c>
      <c r="C3329">
        <v>2000</v>
      </c>
    </row>
    <row r="3330" spans="1:11" x14ac:dyDescent="0.25">
      <c r="A3330">
        <v>20.4837991835008</v>
      </c>
      <c r="B3330">
        <v>57.604133492617002</v>
      </c>
      <c r="C3330">
        <v>2000</v>
      </c>
    </row>
    <row r="3331" spans="1:11" x14ac:dyDescent="0.25">
      <c r="A3331">
        <v>20.4837991835008</v>
      </c>
      <c r="B3331">
        <v>57.604133492617002</v>
      </c>
      <c r="C3331">
        <v>2001</v>
      </c>
    </row>
    <row r="3332" spans="1:11" x14ac:dyDescent="0.25">
      <c r="A3332">
        <v>21.524672697542499</v>
      </c>
      <c r="B3332">
        <v>58.645007006658702</v>
      </c>
      <c r="C3332">
        <v>2001</v>
      </c>
    </row>
    <row r="3333" spans="1:11" x14ac:dyDescent="0.25">
      <c r="A3333">
        <v>32.255096286572403</v>
      </c>
      <c r="B3333">
        <v>69.375430595688599</v>
      </c>
      <c r="C3333">
        <v>2001</v>
      </c>
    </row>
    <row r="3334" spans="1:11" x14ac:dyDescent="0.25">
      <c r="A3334">
        <v>32.255096286572403</v>
      </c>
      <c r="B3334">
        <v>69.375430595688599</v>
      </c>
      <c r="C3334">
        <v>2000</v>
      </c>
    </row>
    <row r="3335" spans="1:11" x14ac:dyDescent="0.25">
      <c r="A3335" t="s">
        <v>83</v>
      </c>
    </row>
    <row r="3336" spans="1:11" x14ac:dyDescent="0.25">
      <c r="A3336">
        <v>276</v>
      </c>
      <c r="B3336">
        <v>0</v>
      </c>
      <c r="C3336">
        <v>3.0338303129503101</v>
      </c>
      <c r="D3336">
        <v>13.3263132716525</v>
      </c>
      <c r="E3336">
        <v>6</v>
      </c>
      <c r="F3336">
        <v>1.01722196789785</v>
      </c>
      <c r="G3336" t="s">
        <v>84</v>
      </c>
      <c r="H3336" t="s">
        <v>81</v>
      </c>
      <c r="I3336">
        <v>270</v>
      </c>
      <c r="J3336">
        <v>0</v>
      </c>
      <c r="K3336">
        <v>0</v>
      </c>
    </row>
    <row r="3337" spans="1:11" x14ac:dyDescent="0.25">
      <c r="A3337" t="s">
        <v>82</v>
      </c>
    </row>
    <row r="3338" spans="1:11" x14ac:dyDescent="0.25">
      <c r="A3338">
        <v>140.75486133322701</v>
      </c>
      <c r="B3338">
        <v>22.1714873588869</v>
      </c>
      <c r="C3338">
        <v>2000</v>
      </c>
    </row>
    <row r="3339" spans="1:11" x14ac:dyDescent="0.25">
      <c r="A3339">
        <v>138.65013954236599</v>
      </c>
      <c r="B3339">
        <v>20.066765568026</v>
      </c>
      <c r="C3339">
        <v>2000</v>
      </c>
    </row>
    <row r="3340" spans="1:11" x14ac:dyDescent="0.25">
      <c r="A3340">
        <v>138.21312351791701</v>
      </c>
      <c r="B3340">
        <v>20.503781592474802</v>
      </c>
      <c r="C3340">
        <v>2001</v>
      </c>
    </row>
    <row r="3341" spans="1:11" x14ac:dyDescent="0.25">
      <c r="A3341">
        <v>140.39888570156899</v>
      </c>
      <c r="B3341">
        <v>22.6895437761269</v>
      </c>
      <c r="C3341">
        <v>2001</v>
      </c>
    </row>
    <row r="3342" spans="1:11" x14ac:dyDescent="0.25">
      <c r="A3342">
        <v>150</v>
      </c>
      <c r="B3342">
        <v>32.290658074557498</v>
      </c>
      <c r="C3342">
        <v>2001</v>
      </c>
    </row>
    <row r="3343" spans="1:11" x14ac:dyDescent="0.25">
      <c r="A3343">
        <v>150</v>
      </c>
      <c r="B3343">
        <v>31.416626025659902</v>
      </c>
      <c r="C3343">
        <v>2000</v>
      </c>
    </row>
    <row r="3344" spans="1:11" x14ac:dyDescent="0.25">
      <c r="A3344" t="s">
        <v>83</v>
      </c>
    </row>
    <row r="3345" spans="1:11" x14ac:dyDescent="0.25">
      <c r="A3345">
        <v>13</v>
      </c>
      <c r="B3345">
        <v>0</v>
      </c>
      <c r="C3345">
        <v>1.4078257649364001</v>
      </c>
      <c r="D3345">
        <v>14.7826725805277</v>
      </c>
      <c r="E3345">
        <v>6</v>
      </c>
      <c r="F3345">
        <v>1.5707963267949001</v>
      </c>
      <c r="G3345" t="s">
        <v>81</v>
      </c>
      <c r="H3345" t="s">
        <v>84</v>
      </c>
      <c r="I3345">
        <v>0</v>
      </c>
      <c r="J3345">
        <v>4</v>
      </c>
      <c r="K3345">
        <v>0</v>
      </c>
    </row>
    <row r="3346" spans="1:11" x14ac:dyDescent="0.25">
      <c r="A3346" t="s">
        <v>82</v>
      </c>
    </row>
    <row r="3347" spans="1:11" x14ac:dyDescent="0.25">
      <c r="A3347">
        <v>2.7013561817357901</v>
      </c>
      <c r="B3347">
        <v>0.99548314511566305</v>
      </c>
      <c r="C3347">
        <v>2000</v>
      </c>
    </row>
    <row r="3348" spans="1:11" x14ac:dyDescent="0.25">
      <c r="A3348">
        <v>1.70587303662013</v>
      </c>
      <c r="B3348">
        <v>0</v>
      </c>
      <c r="C3348">
        <v>2000</v>
      </c>
    </row>
    <row r="3349" spans="1:11" x14ac:dyDescent="0.25">
      <c r="A3349">
        <v>1.70587303662013</v>
      </c>
      <c r="B3349">
        <v>0</v>
      </c>
      <c r="C3349">
        <v>2001</v>
      </c>
    </row>
    <row r="3350" spans="1:11" x14ac:dyDescent="0.25">
      <c r="A3350">
        <v>2.7013561817357901</v>
      </c>
      <c r="B3350">
        <v>0.99548314511566305</v>
      </c>
      <c r="C3350">
        <v>2001</v>
      </c>
    </row>
    <row r="3351" spans="1:11" x14ac:dyDescent="0.25">
      <c r="A3351">
        <v>13.1542842074874</v>
      </c>
      <c r="B3351">
        <v>11.4484111708672</v>
      </c>
      <c r="C3351">
        <v>2001</v>
      </c>
    </row>
    <row r="3352" spans="1:11" x14ac:dyDescent="0.25">
      <c r="A3352">
        <v>13.1542842074874</v>
      </c>
      <c r="B3352">
        <v>11.4484111708672</v>
      </c>
      <c r="C3352">
        <v>2000</v>
      </c>
    </row>
    <row r="3353" spans="1:11" x14ac:dyDescent="0.25">
      <c r="A3353" t="s">
        <v>83</v>
      </c>
    </row>
    <row r="3354" spans="1:11" x14ac:dyDescent="0.25">
      <c r="A3354">
        <v>403</v>
      </c>
      <c r="B3354">
        <v>0</v>
      </c>
      <c r="C3354">
        <v>11.842700854686001</v>
      </c>
      <c r="D3354">
        <v>3.8641627901834901</v>
      </c>
      <c r="E3354">
        <v>8</v>
      </c>
      <c r="F3354">
        <v>1.5707963267949001</v>
      </c>
      <c r="G3354" t="s">
        <v>84</v>
      </c>
      <c r="H3354" t="s">
        <v>84</v>
      </c>
      <c r="I3354">
        <v>352</v>
      </c>
      <c r="J3354">
        <v>438</v>
      </c>
      <c r="K3354">
        <v>0</v>
      </c>
    </row>
    <row r="3355" spans="1:11" x14ac:dyDescent="0.25">
      <c r="A3355" t="s">
        <v>82</v>
      </c>
    </row>
    <row r="3356" spans="1:11" x14ac:dyDescent="0.25">
      <c r="A3356">
        <v>107.63713870320299</v>
      </c>
      <c r="B3356">
        <v>119.26135716226899</v>
      </c>
      <c r="C3356">
        <v>2000</v>
      </c>
    </row>
    <row r="3357" spans="1:11" x14ac:dyDescent="0.25">
      <c r="A3357">
        <v>100</v>
      </c>
      <c r="B3357">
        <v>111.624218459066</v>
      </c>
      <c r="C3357">
        <v>2000</v>
      </c>
    </row>
    <row r="3358" spans="1:11" x14ac:dyDescent="0.25">
      <c r="A3358">
        <v>99.263084621291199</v>
      </c>
      <c r="B3358">
        <v>110.887303080357</v>
      </c>
      <c r="C3358">
        <v>2000</v>
      </c>
    </row>
    <row r="3359" spans="1:11" x14ac:dyDescent="0.25">
      <c r="A3359">
        <v>99.263084621291199</v>
      </c>
      <c r="B3359">
        <v>110.887303080357</v>
      </c>
      <c r="C3359">
        <v>2001</v>
      </c>
    </row>
    <row r="3360" spans="1:11" x14ac:dyDescent="0.25">
      <c r="A3360">
        <v>100</v>
      </c>
      <c r="B3360">
        <v>111.624218459066</v>
      </c>
      <c r="C3360">
        <v>2001</v>
      </c>
    </row>
    <row r="3361" spans="1:11" x14ac:dyDescent="0.25">
      <c r="A3361">
        <v>107.63713870320299</v>
      </c>
      <c r="B3361">
        <v>119.26135716226899</v>
      </c>
      <c r="C3361">
        <v>2001</v>
      </c>
    </row>
    <row r="3362" spans="1:11" x14ac:dyDescent="0.25">
      <c r="A3362">
        <v>110.369514415751</v>
      </c>
      <c r="B3362">
        <v>121.993732874817</v>
      </c>
      <c r="C3362">
        <v>2001</v>
      </c>
    </row>
    <row r="3363" spans="1:11" x14ac:dyDescent="0.25">
      <c r="A3363">
        <v>110.369514415751</v>
      </c>
      <c r="B3363">
        <v>121.993732874817</v>
      </c>
      <c r="C3363">
        <v>2000</v>
      </c>
    </row>
    <row r="3364" spans="1:11" x14ac:dyDescent="0.25">
      <c r="A3364" t="s">
        <v>83</v>
      </c>
    </row>
    <row r="3365" spans="1:11" x14ac:dyDescent="0.25">
      <c r="A3365">
        <v>252</v>
      </c>
      <c r="B3365">
        <v>0</v>
      </c>
      <c r="C3365">
        <v>9.9780472753791294</v>
      </c>
      <c r="D3365">
        <v>5.6238319012327196</v>
      </c>
      <c r="E3365">
        <v>6</v>
      </c>
      <c r="F3365">
        <v>1.5707963267949001</v>
      </c>
      <c r="G3365" t="s">
        <v>81</v>
      </c>
      <c r="H3365" t="s">
        <v>84</v>
      </c>
      <c r="I3365">
        <v>0</v>
      </c>
      <c r="J3365">
        <v>246</v>
      </c>
      <c r="K3365">
        <v>0</v>
      </c>
    </row>
    <row r="3366" spans="1:11" x14ac:dyDescent="0.25">
      <c r="A3366" t="s">
        <v>82</v>
      </c>
    </row>
    <row r="3367" spans="1:11" x14ac:dyDescent="0.25">
      <c r="A3367">
        <v>136.5676231969</v>
      </c>
      <c r="B3367">
        <v>7.0555448914205403</v>
      </c>
      <c r="C3367">
        <v>2000</v>
      </c>
    </row>
    <row r="3368" spans="1:11" x14ac:dyDescent="0.25">
      <c r="A3368">
        <v>129.51207830547901</v>
      </c>
      <c r="B3368">
        <v>0</v>
      </c>
      <c r="C3368">
        <v>2000</v>
      </c>
    </row>
    <row r="3369" spans="1:11" x14ac:dyDescent="0.25">
      <c r="A3369">
        <v>129.51207830547901</v>
      </c>
      <c r="B3369">
        <v>0</v>
      </c>
      <c r="C3369">
        <v>2001</v>
      </c>
    </row>
    <row r="3370" spans="1:11" x14ac:dyDescent="0.25">
      <c r="A3370">
        <v>136.5676231969</v>
      </c>
      <c r="B3370">
        <v>7.0555448914205403</v>
      </c>
      <c r="C3370">
        <v>2001</v>
      </c>
    </row>
    <row r="3371" spans="1:11" x14ac:dyDescent="0.25">
      <c r="A3371">
        <v>140.54427287051499</v>
      </c>
      <c r="B3371">
        <v>11.0321945650354</v>
      </c>
      <c r="C3371">
        <v>2001</v>
      </c>
    </row>
    <row r="3372" spans="1:11" x14ac:dyDescent="0.25">
      <c r="A3372">
        <v>140.54427287051499</v>
      </c>
      <c r="B3372">
        <v>11.0321945650354</v>
      </c>
      <c r="C3372">
        <v>2000</v>
      </c>
    </row>
    <row r="3373" spans="1:11" x14ac:dyDescent="0.25">
      <c r="A3373" t="s">
        <v>83</v>
      </c>
    </row>
    <row r="3374" spans="1:11" x14ac:dyDescent="0.25">
      <c r="A3374">
        <v>578</v>
      </c>
      <c r="B3374">
        <v>0</v>
      </c>
      <c r="C3374">
        <v>14.7826725805277</v>
      </c>
      <c r="D3374">
        <v>0.78119669060336605</v>
      </c>
      <c r="E3374">
        <v>6</v>
      </c>
      <c r="F3374">
        <v>1.5707963267949001</v>
      </c>
      <c r="G3374" t="s">
        <v>84</v>
      </c>
      <c r="H3374" t="s">
        <v>84</v>
      </c>
      <c r="I3374">
        <v>561</v>
      </c>
      <c r="J3374">
        <v>331</v>
      </c>
      <c r="K3374">
        <v>0</v>
      </c>
    </row>
    <row r="3375" spans="1:11" x14ac:dyDescent="0.25">
      <c r="A3375" t="s">
        <v>82</v>
      </c>
    </row>
    <row r="3376" spans="1:11" x14ac:dyDescent="0.25">
      <c r="A3376">
        <v>49.084465868810398</v>
      </c>
      <c r="B3376">
        <v>133.51041537640199</v>
      </c>
      <c r="C3376">
        <v>2000</v>
      </c>
    </row>
    <row r="3377" spans="1:11" x14ac:dyDescent="0.25">
      <c r="A3377">
        <v>38.631537843058901</v>
      </c>
      <c r="B3377">
        <v>123.05748735065001</v>
      </c>
      <c r="C3377">
        <v>2000</v>
      </c>
    </row>
    <row r="3378" spans="1:11" x14ac:dyDescent="0.25">
      <c r="A3378">
        <v>38.631537843058901</v>
      </c>
      <c r="B3378">
        <v>123.05748735065001</v>
      </c>
      <c r="C3378">
        <v>2001</v>
      </c>
    </row>
    <row r="3379" spans="1:11" x14ac:dyDescent="0.25">
      <c r="A3379">
        <v>49.084465868810398</v>
      </c>
      <c r="B3379">
        <v>133.51041537640199</v>
      </c>
      <c r="C3379">
        <v>2001</v>
      </c>
    </row>
    <row r="3380" spans="1:11" x14ac:dyDescent="0.25">
      <c r="A3380">
        <v>49.636855346176503</v>
      </c>
      <c r="B3380">
        <v>134.062804853768</v>
      </c>
      <c r="C3380">
        <v>2001</v>
      </c>
    </row>
    <row r="3381" spans="1:11" x14ac:dyDescent="0.25">
      <c r="A3381">
        <v>49.636855346176503</v>
      </c>
      <c r="B3381">
        <v>134.062804853768</v>
      </c>
      <c r="C3381">
        <v>2000</v>
      </c>
    </row>
    <row r="3382" spans="1:11" x14ac:dyDescent="0.25">
      <c r="A3382" t="s">
        <v>83</v>
      </c>
    </row>
    <row r="3383" spans="1:11" x14ac:dyDescent="0.25">
      <c r="A3383">
        <v>409</v>
      </c>
      <c r="B3383">
        <v>0</v>
      </c>
      <c r="C3383">
        <v>9.3833051782953607</v>
      </c>
      <c r="D3383">
        <v>6.1045419843623003</v>
      </c>
      <c r="E3383">
        <v>6</v>
      </c>
      <c r="F3383">
        <v>1.5707963267949001</v>
      </c>
      <c r="G3383" t="s">
        <v>84</v>
      </c>
      <c r="H3383" t="s">
        <v>81</v>
      </c>
      <c r="I3383">
        <v>180</v>
      </c>
      <c r="J3383">
        <v>0</v>
      </c>
      <c r="K3383">
        <v>0</v>
      </c>
    </row>
    <row r="3384" spans="1:11" x14ac:dyDescent="0.25">
      <c r="A3384" t="s">
        <v>82</v>
      </c>
    </row>
    <row r="3385" spans="1:11" x14ac:dyDescent="0.25">
      <c r="A3385">
        <v>145.68343696681899</v>
      </c>
      <c r="B3385">
        <v>111.350679624058</v>
      </c>
      <c r="C3385">
        <v>2000</v>
      </c>
    </row>
    <row r="3386" spans="1:11" x14ac:dyDescent="0.25">
      <c r="A3386">
        <v>139.048438245304</v>
      </c>
      <c r="B3386">
        <v>104.715680902542</v>
      </c>
      <c r="C3386">
        <v>2000</v>
      </c>
    </row>
    <row r="3387" spans="1:11" x14ac:dyDescent="0.25">
      <c r="A3387">
        <v>139.048438245304</v>
      </c>
      <c r="B3387">
        <v>104.715680902542</v>
      </c>
      <c r="C3387">
        <v>2001</v>
      </c>
    </row>
    <row r="3388" spans="1:11" x14ac:dyDescent="0.25">
      <c r="A3388">
        <v>145.68343696681899</v>
      </c>
      <c r="B3388">
        <v>111.350679624058</v>
      </c>
      <c r="C3388">
        <v>2001</v>
      </c>
    </row>
    <row r="3389" spans="1:11" x14ac:dyDescent="0.25">
      <c r="A3389">
        <v>150</v>
      </c>
      <c r="B3389">
        <v>115.66724265723801</v>
      </c>
      <c r="C3389">
        <v>2001</v>
      </c>
    </row>
    <row r="3390" spans="1:11" x14ac:dyDescent="0.25">
      <c r="A3390">
        <v>150</v>
      </c>
      <c r="B3390">
        <v>115.66724265723801</v>
      </c>
      <c r="C3390">
        <v>2000</v>
      </c>
    </row>
    <row r="3391" spans="1:11" x14ac:dyDescent="0.25">
      <c r="A3391" t="s">
        <v>83</v>
      </c>
    </row>
    <row r="3392" spans="1:11" x14ac:dyDescent="0.25">
      <c r="A3392">
        <v>243</v>
      </c>
      <c r="B3392">
        <v>0</v>
      </c>
      <c r="C3392">
        <v>3.1726381851312602</v>
      </c>
      <c r="D3392">
        <v>12.152951594008</v>
      </c>
      <c r="E3392">
        <v>6</v>
      </c>
      <c r="F3392">
        <v>1.5707963267949001</v>
      </c>
      <c r="G3392" t="s">
        <v>81</v>
      </c>
      <c r="H3392" t="s">
        <v>81</v>
      </c>
      <c r="I3392">
        <v>0</v>
      </c>
      <c r="J3392">
        <v>0</v>
      </c>
      <c r="K3392">
        <v>0</v>
      </c>
    </row>
    <row r="3393" spans="1:11" x14ac:dyDescent="0.25">
      <c r="A3393" t="s">
        <v>82</v>
      </c>
    </row>
    <row r="3394" spans="1:11" x14ac:dyDescent="0.25">
      <c r="A3394">
        <v>141.406565516445</v>
      </c>
      <c r="B3394">
        <v>2.2433939749576899</v>
      </c>
      <c r="C3394">
        <v>2000</v>
      </c>
    </row>
    <row r="3395" spans="1:11" x14ac:dyDescent="0.25">
      <c r="A3395">
        <v>139.163171541487</v>
      </c>
      <c r="B3395">
        <v>0</v>
      </c>
      <c r="C3395">
        <v>2000</v>
      </c>
    </row>
    <row r="3396" spans="1:11" x14ac:dyDescent="0.25">
      <c r="A3396">
        <v>139.163171541487</v>
      </c>
      <c r="B3396">
        <v>0</v>
      </c>
      <c r="C3396">
        <v>2001</v>
      </c>
    </row>
    <row r="3397" spans="1:11" x14ac:dyDescent="0.25">
      <c r="A3397">
        <v>141.406565516445</v>
      </c>
      <c r="B3397">
        <v>2.2433939749576899</v>
      </c>
      <c r="C3397">
        <v>2001</v>
      </c>
    </row>
    <row r="3398" spans="1:11" x14ac:dyDescent="0.25">
      <c r="A3398">
        <v>150</v>
      </c>
      <c r="B3398">
        <v>10.836828458512599</v>
      </c>
      <c r="C3398">
        <v>2001</v>
      </c>
    </row>
    <row r="3399" spans="1:11" x14ac:dyDescent="0.25">
      <c r="A3399">
        <v>150</v>
      </c>
      <c r="B3399">
        <v>10.836828458512599</v>
      </c>
      <c r="C3399">
        <v>2000</v>
      </c>
    </row>
    <row r="3400" spans="1:11" x14ac:dyDescent="0.25">
      <c r="A3400" t="s">
        <v>83</v>
      </c>
    </row>
    <row r="3401" spans="1:11" x14ac:dyDescent="0.25">
      <c r="A3401">
        <v>642</v>
      </c>
      <c r="B3401">
        <v>0</v>
      </c>
      <c r="C3401">
        <v>0</v>
      </c>
      <c r="D3401">
        <v>14.7826725805277</v>
      </c>
      <c r="E3401">
        <v>4</v>
      </c>
      <c r="F3401">
        <v>1.5707963267949001</v>
      </c>
      <c r="G3401" t="s">
        <v>84</v>
      </c>
      <c r="H3401" t="s">
        <v>84</v>
      </c>
      <c r="I3401">
        <v>742</v>
      </c>
      <c r="J3401">
        <v>644</v>
      </c>
      <c r="K3401">
        <v>0</v>
      </c>
    </row>
    <row r="3402" spans="1:11" x14ac:dyDescent="0.25">
      <c r="A3402" t="s">
        <v>82</v>
      </c>
    </row>
    <row r="3403" spans="1:11" x14ac:dyDescent="0.25">
      <c r="A3403">
        <v>15.384891322061801</v>
      </c>
      <c r="B3403">
        <v>71.787537167215504</v>
      </c>
      <c r="C3403">
        <v>2000</v>
      </c>
    </row>
    <row r="3404" spans="1:11" x14ac:dyDescent="0.25">
      <c r="A3404">
        <v>15.384891322061801</v>
      </c>
      <c r="B3404">
        <v>71.787537167215504</v>
      </c>
      <c r="C3404">
        <v>2001</v>
      </c>
    </row>
    <row r="3405" spans="1:11" x14ac:dyDescent="0.25">
      <c r="A3405">
        <v>25.837819347813401</v>
      </c>
      <c r="B3405">
        <v>82.240465192967093</v>
      </c>
      <c r="C3405">
        <v>2001</v>
      </c>
    </row>
    <row r="3406" spans="1:11" x14ac:dyDescent="0.25">
      <c r="A3406">
        <v>25.837819347813401</v>
      </c>
      <c r="B3406">
        <v>82.240465192967093</v>
      </c>
      <c r="C3406">
        <v>2000</v>
      </c>
    </row>
    <row r="3407" spans="1:11" x14ac:dyDescent="0.25">
      <c r="A3407" t="s">
        <v>83</v>
      </c>
    </row>
    <row r="3408" spans="1:11" x14ac:dyDescent="0.25">
      <c r="A3408">
        <v>1</v>
      </c>
      <c r="B3408">
        <v>0</v>
      </c>
      <c r="C3408">
        <v>14.7826725805277</v>
      </c>
      <c r="D3408">
        <v>0</v>
      </c>
      <c r="E3408">
        <v>5</v>
      </c>
      <c r="F3408">
        <v>1.5707963267949001</v>
      </c>
      <c r="G3408" t="s">
        <v>84</v>
      </c>
      <c r="H3408" t="s">
        <v>84</v>
      </c>
      <c r="I3408">
        <v>3</v>
      </c>
      <c r="J3408">
        <v>96</v>
      </c>
      <c r="K3408">
        <v>0</v>
      </c>
    </row>
    <row r="3409" spans="1:11" x14ac:dyDescent="0.25">
      <c r="A3409" t="s">
        <v>82</v>
      </c>
    </row>
    <row r="3410" spans="1:11" x14ac:dyDescent="0.25">
      <c r="A3410">
        <v>24.914683238563399</v>
      </c>
      <c r="B3410">
        <v>32.5006546487569</v>
      </c>
      <c r="C3410">
        <v>2000</v>
      </c>
    </row>
    <row r="3411" spans="1:11" x14ac:dyDescent="0.25">
      <c r="A3411">
        <v>14.4617552128119</v>
      </c>
      <c r="B3411">
        <v>22.047726623005399</v>
      </c>
      <c r="C3411">
        <v>2000</v>
      </c>
    </row>
    <row r="3412" spans="1:11" x14ac:dyDescent="0.25">
      <c r="A3412">
        <v>14.4617552128119</v>
      </c>
      <c r="B3412">
        <v>22.047726623005399</v>
      </c>
      <c r="C3412">
        <v>2001</v>
      </c>
    </row>
    <row r="3413" spans="1:11" x14ac:dyDescent="0.25">
      <c r="A3413">
        <v>24.914683238563399</v>
      </c>
      <c r="B3413">
        <v>32.5006546487569</v>
      </c>
      <c r="C3413">
        <v>2001</v>
      </c>
    </row>
    <row r="3414" spans="1:11" x14ac:dyDescent="0.25">
      <c r="A3414">
        <v>24.914683238563399</v>
      </c>
      <c r="B3414">
        <v>32.5006546487569</v>
      </c>
      <c r="C3414">
        <v>2000</v>
      </c>
    </row>
    <row r="3415" spans="1:11" x14ac:dyDescent="0.25">
      <c r="A3415" t="s">
        <v>83</v>
      </c>
    </row>
    <row r="3416" spans="1:11" x14ac:dyDescent="0.25">
      <c r="A3416">
        <v>651</v>
      </c>
      <c r="B3416">
        <v>0</v>
      </c>
      <c r="C3416">
        <v>12.203308418141599</v>
      </c>
      <c r="D3416">
        <v>2.5269813105510499</v>
      </c>
      <c r="E3416">
        <v>8</v>
      </c>
      <c r="F3416">
        <v>1.5707963267949001</v>
      </c>
      <c r="G3416" t="s">
        <v>81</v>
      </c>
      <c r="H3416" t="s">
        <v>84</v>
      </c>
      <c r="I3416">
        <v>0</v>
      </c>
      <c r="J3416">
        <v>566</v>
      </c>
      <c r="K3416">
        <v>0</v>
      </c>
    </row>
    <row r="3417" spans="1:11" x14ac:dyDescent="0.25">
      <c r="A3417" t="s">
        <v>82</v>
      </c>
    </row>
    <row r="3418" spans="1:11" x14ac:dyDescent="0.25">
      <c r="A3418">
        <v>8.62904213537883</v>
      </c>
      <c r="B3418">
        <v>98.702674160572997</v>
      </c>
      <c r="C3418">
        <v>2000</v>
      </c>
    </row>
    <row r="3419" spans="1:11" x14ac:dyDescent="0.25">
      <c r="A3419">
        <v>0</v>
      </c>
      <c r="B3419">
        <v>90.0736320251942</v>
      </c>
      <c r="C3419">
        <v>2000</v>
      </c>
    </row>
    <row r="3420" spans="1:11" x14ac:dyDescent="0.25">
      <c r="A3420">
        <v>0</v>
      </c>
      <c r="B3420">
        <v>90.0736320251942</v>
      </c>
      <c r="C3420">
        <v>2001</v>
      </c>
    </row>
    <row r="3421" spans="1:11" x14ac:dyDescent="0.25">
      <c r="A3421">
        <v>8.62904213537883</v>
      </c>
      <c r="B3421">
        <v>98.702674160572997</v>
      </c>
      <c r="C3421">
        <v>2001</v>
      </c>
    </row>
    <row r="3422" spans="1:11" x14ac:dyDescent="0.25">
      <c r="A3422">
        <v>9.9263679748058102</v>
      </c>
      <c r="B3422">
        <v>100</v>
      </c>
      <c r="C3422">
        <v>2001</v>
      </c>
    </row>
    <row r="3423" spans="1:11" x14ac:dyDescent="0.25">
      <c r="A3423">
        <v>10.4158877560011</v>
      </c>
      <c r="B3423">
        <v>100.489519781195</v>
      </c>
      <c r="C3423">
        <v>2001</v>
      </c>
    </row>
    <row r="3424" spans="1:11" x14ac:dyDescent="0.25">
      <c r="A3424">
        <v>10.4158877560011</v>
      </c>
      <c r="B3424">
        <v>100.489519781195</v>
      </c>
      <c r="C3424">
        <v>2000</v>
      </c>
    </row>
    <row r="3425" spans="1:11" x14ac:dyDescent="0.25">
      <c r="A3425">
        <v>9.9263679748058102</v>
      </c>
      <c r="B3425">
        <v>100</v>
      </c>
      <c r="C3425">
        <v>2000</v>
      </c>
    </row>
    <row r="3426" spans="1:11" x14ac:dyDescent="0.25">
      <c r="A3426" t="s">
        <v>83</v>
      </c>
    </row>
    <row r="3427" spans="1:11" x14ac:dyDescent="0.25">
      <c r="A3427">
        <v>18</v>
      </c>
      <c r="B3427">
        <v>0</v>
      </c>
      <c r="C3427">
        <v>9.0442861181640097</v>
      </c>
      <c r="D3427">
        <v>5.62383190123274</v>
      </c>
      <c r="E3427">
        <v>6</v>
      </c>
      <c r="F3427">
        <v>1.5707963267949001</v>
      </c>
      <c r="G3427" t="s">
        <v>81</v>
      </c>
      <c r="H3427" t="s">
        <v>84</v>
      </c>
      <c r="I3427">
        <v>0</v>
      </c>
      <c r="J3427">
        <v>488</v>
      </c>
      <c r="K3427">
        <v>0</v>
      </c>
    </row>
    <row r="3428" spans="1:11" x14ac:dyDescent="0.25">
      <c r="A3428" t="s">
        <v>82</v>
      </c>
    </row>
    <row r="3429" spans="1:11" x14ac:dyDescent="0.25">
      <c r="A3429">
        <v>44.251277586096599</v>
      </c>
      <c r="B3429">
        <v>6.3952760451451303</v>
      </c>
      <c r="C3429">
        <v>2000</v>
      </c>
    </row>
    <row r="3430" spans="1:11" x14ac:dyDescent="0.25">
      <c r="A3430">
        <v>37.856001540951397</v>
      </c>
      <c r="B3430">
        <v>0</v>
      </c>
      <c r="C3430">
        <v>2000</v>
      </c>
    </row>
    <row r="3431" spans="1:11" x14ac:dyDescent="0.25">
      <c r="A3431">
        <v>37.856001540951397</v>
      </c>
      <c r="B3431">
        <v>0</v>
      </c>
      <c r="C3431">
        <v>2001</v>
      </c>
    </row>
    <row r="3432" spans="1:11" x14ac:dyDescent="0.25">
      <c r="A3432">
        <v>44.251277586096599</v>
      </c>
      <c r="B3432">
        <v>6.3952760451451303</v>
      </c>
      <c r="C3432">
        <v>2001</v>
      </c>
    </row>
    <row r="3433" spans="1:11" x14ac:dyDescent="0.25">
      <c r="A3433">
        <v>48.2279272597115</v>
      </c>
      <c r="B3433">
        <v>10.37192571876</v>
      </c>
      <c r="C3433">
        <v>2001</v>
      </c>
    </row>
    <row r="3434" spans="1:11" x14ac:dyDescent="0.25">
      <c r="A3434">
        <v>48.2279272597115</v>
      </c>
      <c r="B3434">
        <v>10.37192571876</v>
      </c>
      <c r="C3434">
        <v>2000</v>
      </c>
    </row>
    <row r="3435" spans="1:11" x14ac:dyDescent="0.25">
      <c r="A3435" t="s">
        <v>83</v>
      </c>
    </row>
    <row r="3436" spans="1:11" x14ac:dyDescent="0.25">
      <c r="A3436">
        <v>733</v>
      </c>
      <c r="B3436">
        <v>0</v>
      </c>
      <c r="C3436">
        <v>7.35409298107668</v>
      </c>
      <c r="D3436">
        <v>7.2324780967671698</v>
      </c>
      <c r="E3436">
        <v>6</v>
      </c>
      <c r="F3436">
        <v>1.01722196789785</v>
      </c>
      <c r="G3436" t="s">
        <v>81</v>
      </c>
      <c r="H3436" t="s">
        <v>84</v>
      </c>
      <c r="I3436">
        <v>0</v>
      </c>
      <c r="J3436">
        <v>191</v>
      </c>
      <c r="K3436">
        <v>0.13222554274631901</v>
      </c>
    </row>
    <row r="3437" spans="1:11" x14ac:dyDescent="0.25">
      <c r="A3437" t="s">
        <v>82</v>
      </c>
    </row>
    <row r="3438" spans="1:11" x14ac:dyDescent="0.25">
      <c r="A3438">
        <v>90.975705788827099</v>
      </c>
      <c r="B3438">
        <v>5.0899641098914401</v>
      </c>
      <c r="C3438">
        <v>2000</v>
      </c>
    </row>
    <row r="3439" spans="1:11" x14ac:dyDescent="0.25">
      <c r="A3439">
        <v>85.885741678935702</v>
      </c>
      <c r="B3439">
        <v>0</v>
      </c>
      <c r="C3439">
        <v>2000</v>
      </c>
    </row>
    <row r="3440" spans="1:11" x14ac:dyDescent="0.25">
      <c r="A3440">
        <v>85.011709630038098</v>
      </c>
      <c r="B3440">
        <v>0</v>
      </c>
      <c r="C3440">
        <v>2001</v>
      </c>
    </row>
    <row r="3441" spans="1:11" x14ac:dyDescent="0.25">
      <c r="A3441">
        <v>90.322003552938099</v>
      </c>
      <c r="B3441">
        <v>5.3102939228999801</v>
      </c>
      <c r="C3441">
        <v>2001</v>
      </c>
    </row>
    <row r="3442" spans="1:11" x14ac:dyDescent="0.25">
      <c r="A3442">
        <v>95.5444809656654</v>
      </c>
      <c r="B3442">
        <v>10.5327713356274</v>
      </c>
      <c r="C3442">
        <v>2001</v>
      </c>
    </row>
    <row r="3443" spans="1:11" x14ac:dyDescent="0.25">
      <c r="A3443">
        <v>95.981496990114294</v>
      </c>
      <c r="B3443">
        <v>10.0957553111785</v>
      </c>
      <c r="C3443">
        <v>2000</v>
      </c>
    </row>
    <row r="3444" spans="1:11" x14ac:dyDescent="0.25">
      <c r="A3444" t="s">
        <v>83</v>
      </c>
    </row>
    <row r="3445" spans="1:11" x14ac:dyDescent="0.25">
      <c r="A3445">
        <v>429</v>
      </c>
      <c r="B3445">
        <v>0</v>
      </c>
      <c r="C3445">
        <v>3.5234687692107198</v>
      </c>
      <c r="D3445">
        <v>10.7774241609442</v>
      </c>
      <c r="E3445">
        <v>6</v>
      </c>
      <c r="F3445">
        <v>1.01722196789785</v>
      </c>
      <c r="G3445" t="s">
        <v>84</v>
      </c>
      <c r="H3445" t="s">
        <v>81</v>
      </c>
      <c r="I3445">
        <v>438</v>
      </c>
      <c r="J3445">
        <v>0</v>
      </c>
      <c r="K3445">
        <v>0</v>
      </c>
    </row>
    <row r="3446" spans="1:11" x14ac:dyDescent="0.25">
      <c r="A3446" t="s">
        <v>82</v>
      </c>
    </row>
    <row r="3447" spans="1:11" x14ac:dyDescent="0.25">
      <c r="A3447">
        <v>131.94302975333301</v>
      </c>
      <c r="B3447">
        <v>142.214538509562</v>
      </c>
      <c r="C3447">
        <v>2000</v>
      </c>
    </row>
    <row r="3448" spans="1:11" x14ac:dyDescent="0.25">
      <c r="A3448">
        <v>129.39772486361099</v>
      </c>
      <c r="B3448">
        <v>139.66923361984001</v>
      </c>
      <c r="C3448">
        <v>2000</v>
      </c>
    </row>
    <row r="3449" spans="1:11" x14ac:dyDescent="0.25">
      <c r="A3449">
        <v>128.96070883916201</v>
      </c>
      <c r="B3449">
        <v>140.10624964428899</v>
      </c>
      <c r="C3449">
        <v>2001</v>
      </c>
    </row>
    <row r="3450" spans="1:11" x14ac:dyDescent="0.25">
      <c r="A3450">
        <v>131.39834126945701</v>
      </c>
      <c r="B3450">
        <v>142.54388207458399</v>
      </c>
      <c r="C3450">
        <v>2001</v>
      </c>
    </row>
    <row r="3451" spans="1:11" x14ac:dyDescent="0.25">
      <c r="A3451">
        <v>138.85445919487299</v>
      </c>
      <c r="B3451">
        <v>150</v>
      </c>
      <c r="C3451">
        <v>2001</v>
      </c>
    </row>
    <row r="3452" spans="1:11" x14ac:dyDescent="0.25">
      <c r="A3452">
        <v>139.728491243771</v>
      </c>
      <c r="B3452">
        <v>150</v>
      </c>
      <c r="C3452">
        <v>2000</v>
      </c>
    </row>
    <row r="3453" spans="1:11" x14ac:dyDescent="0.25">
      <c r="A3453" t="s">
        <v>83</v>
      </c>
    </row>
    <row r="3454" spans="1:11" x14ac:dyDescent="0.25">
      <c r="A3454">
        <v>588</v>
      </c>
      <c r="B3454">
        <v>0</v>
      </c>
      <c r="C3454">
        <v>10.3230289012459</v>
      </c>
      <c r="D3454">
        <v>3.9271944890979298</v>
      </c>
      <c r="E3454">
        <v>6</v>
      </c>
      <c r="F3454">
        <v>1.01722196789785</v>
      </c>
      <c r="G3454" t="s">
        <v>84</v>
      </c>
      <c r="H3454" t="s">
        <v>84</v>
      </c>
      <c r="I3454">
        <v>585</v>
      </c>
      <c r="J3454">
        <v>564</v>
      </c>
      <c r="K3454">
        <v>0</v>
      </c>
    </row>
    <row r="3455" spans="1:11" x14ac:dyDescent="0.25">
      <c r="A3455" t="s">
        <v>82</v>
      </c>
    </row>
    <row r="3456" spans="1:11" x14ac:dyDescent="0.25">
      <c r="A3456">
        <v>35.532675307953298</v>
      </c>
      <c r="B3456">
        <v>122.68922797623</v>
      </c>
      <c r="C3456">
        <v>2000</v>
      </c>
    </row>
    <row r="3457" spans="1:11" x14ac:dyDescent="0.25">
      <c r="A3457">
        <v>28.233191569497599</v>
      </c>
      <c r="B3457">
        <v>115.38974423777501</v>
      </c>
      <c r="C3457">
        <v>2000</v>
      </c>
    </row>
    <row r="3458" spans="1:11" x14ac:dyDescent="0.25">
      <c r="A3458">
        <v>27.796175545048801</v>
      </c>
      <c r="B3458">
        <v>115.826760262223</v>
      </c>
      <c r="C3458">
        <v>2001</v>
      </c>
    </row>
    <row r="3459" spans="1:11" x14ac:dyDescent="0.25">
      <c r="A3459">
        <v>35.095659283504503</v>
      </c>
      <c r="B3459">
        <v>123.12624400067899</v>
      </c>
      <c r="C3459">
        <v>2001</v>
      </c>
    </row>
    <row r="3460" spans="1:11" x14ac:dyDescent="0.25">
      <c r="A3460">
        <v>37.872605137784099</v>
      </c>
      <c r="B3460">
        <v>125.903189854959</v>
      </c>
      <c r="C3460">
        <v>2001</v>
      </c>
    </row>
    <row r="3461" spans="1:11" x14ac:dyDescent="0.25">
      <c r="A3461">
        <v>38.309621162232901</v>
      </c>
      <c r="B3461">
        <v>125.46617383051</v>
      </c>
      <c r="C3461">
        <v>2000</v>
      </c>
    </row>
    <row r="3462" spans="1:11" x14ac:dyDescent="0.25">
      <c r="A3462" t="s">
        <v>83</v>
      </c>
    </row>
    <row r="3463" spans="1:11" x14ac:dyDescent="0.25">
      <c r="A3463">
        <v>752</v>
      </c>
      <c r="B3463">
        <v>0</v>
      </c>
      <c r="C3463">
        <v>8.2527934162740593</v>
      </c>
      <c r="D3463">
        <v>5.9974299740698198</v>
      </c>
      <c r="E3463">
        <v>6</v>
      </c>
      <c r="F3463">
        <v>1.5707963267949001</v>
      </c>
      <c r="G3463" t="s">
        <v>84</v>
      </c>
      <c r="H3463" t="s">
        <v>84</v>
      </c>
      <c r="I3463">
        <v>585</v>
      </c>
      <c r="J3463">
        <v>564</v>
      </c>
      <c r="K3463">
        <v>0.38291049225174001</v>
      </c>
    </row>
    <row r="3464" spans="1:11" x14ac:dyDescent="0.25">
      <c r="A3464" t="s">
        <v>82</v>
      </c>
    </row>
    <row r="3465" spans="1:11" x14ac:dyDescent="0.25">
      <c r="A3465">
        <v>33.482366897390399</v>
      </c>
      <c r="B3465">
        <v>121.81178128664</v>
      </c>
      <c r="C3465">
        <v>2000</v>
      </c>
    </row>
    <row r="3466" spans="1:11" x14ac:dyDescent="0.25">
      <c r="A3466">
        <v>27.6467607090113</v>
      </c>
      <c r="B3466">
        <v>115.976175098261</v>
      </c>
      <c r="C3466">
        <v>2000</v>
      </c>
    </row>
    <row r="3467" spans="1:11" x14ac:dyDescent="0.25">
      <c r="A3467">
        <v>27.6467607090113</v>
      </c>
      <c r="B3467">
        <v>115.976175098261</v>
      </c>
      <c r="C3467">
        <v>2001</v>
      </c>
    </row>
    <row r="3468" spans="1:11" x14ac:dyDescent="0.25">
      <c r="A3468">
        <v>33.482366897390399</v>
      </c>
      <c r="B3468">
        <v>121.81178128664</v>
      </c>
      <c r="C3468">
        <v>2001</v>
      </c>
    </row>
    <row r="3469" spans="1:11" x14ac:dyDescent="0.25">
      <c r="A3469">
        <v>37.723190301746598</v>
      </c>
      <c r="B3469">
        <v>126.05260469099601</v>
      </c>
      <c r="C3469">
        <v>2001</v>
      </c>
    </row>
    <row r="3470" spans="1:11" x14ac:dyDescent="0.25">
      <c r="A3470">
        <v>37.723190301746598</v>
      </c>
      <c r="B3470">
        <v>126.05260469099601</v>
      </c>
      <c r="C3470">
        <v>2000</v>
      </c>
    </row>
    <row r="3471" spans="1:11" x14ac:dyDescent="0.25">
      <c r="A3471" t="s">
        <v>83</v>
      </c>
    </row>
    <row r="3472" spans="1:11" x14ac:dyDescent="0.25">
      <c r="A3472">
        <v>6</v>
      </c>
      <c r="B3472">
        <v>0</v>
      </c>
      <c r="C3472">
        <v>5.5888079893426301</v>
      </c>
      <c r="D3472">
        <v>8.5372518180127894</v>
      </c>
      <c r="E3472">
        <v>6</v>
      </c>
      <c r="F3472">
        <v>1.5707963267949001</v>
      </c>
      <c r="G3472" t="s">
        <v>81</v>
      </c>
      <c r="H3472" t="s">
        <v>84</v>
      </c>
      <c r="I3472">
        <v>0</v>
      </c>
      <c r="J3472">
        <v>22</v>
      </c>
      <c r="K3472">
        <v>0</v>
      </c>
    </row>
    <row r="3473" spans="1:11" x14ac:dyDescent="0.25">
      <c r="A3473" t="s">
        <v>82</v>
      </c>
    </row>
    <row r="3474" spans="1:11" x14ac:dyDescent="0.25">
      <c r="A3474">
        <v>3.9518840280137302</v>
      </c>
      <c r="B3474">
        <v>5.0668938458277397</v>
      </c>
      <c r="C3474">
        <v>2000</v>
      </c>
    </row>
    <row r="3475" spans="1:11" x14ac:dyDescent="0.25">
      <c r="A3475">
        <v>0</v>
      </c>
      <c r="B3475">
        <v>1.11500981781401</v>
      </c>
      <c r="C3475">
        <v>2000</v>
      </c>
    </row>
    <row r="3476" spans="1:11" x14ac:dyDescent="0.25">
      <c r="A3476">
        <v>0</v>
      </c>
      <c r="B3476">
        <v>1.11500981781401</v>
      </c>
      <c r="C3476">
        <v>2001</v>
      </c>
    </row>
    <row r="3477" spans="1:11" x14ac:dyDescent="0.25">
      <c r="A3477">
        <v>3.9518840280137302</v>
      </c>
      <c r="B3477">
        <v>5.0668938458277397</v>
      </c>
      <c r="C3477">
        <v>2001</v>
      </c>
    </row>
    <row r="3478" spans="1:11" x14ac:dyDescent="0.25">
      <c r="A3478">
        <v>9.9886326812277595</v>
      </c>
      <c r="B3478">
        <v>11.103642499041801</v>
      </c>
      <c r="C3478">
        <v>2001</v>
      </c>
    </row>
    <row r="3479" spans="1:11" x14ac:dyDescent="0.25">
      <c r="A3479">
        <v>9.9886326812277595</v>
      </c>
      <c r="B3479">
        <v>11.103642499041801</v>
      </c>
      <c r="C3479">
        <v>2000</v>
      </c>
    </row>
    <row r="3480" spans="1:11" x14ac:dyDescent="0.25">
      <c r="A3480" t="s">
        <v>83</v>
      </c>
    </row>
    <row r="3481" spans="1:11" x14ac:dyDescent="0.25">
      <c r="A3481">
        <v>88</v>
      </c>
      <c r="B3481">
        <v>0</v>
      </c>
      <c r="C3481">
        <v>0</v>
      </c>
      <c r="D3481">
        <v>13.7744144657894</v>
      </c>
      <c r="E3481">
        <v>6</v>
      </c>
      <c r="F3481">
        <v>1.5707963267949001</v>
      </c>
      <c r="G3481" t="s">
        <v>84</v>
      </c>
      <c r="H3481" t="s">
        <v>84</v>
      </c>
      <c r="I3481">
        <v>86</v>
      </c>
      <c r="J3481">
        <v>726</v>
      </c>
      <c r="K3481">
        <v>0</v>
      </c>
    </row>
    <row r="3482" spans="1:11" x14ac:dyDescent="0.25">
      <c r="A3482" t="s">
        <v>82</v>
      </c>
    </row>
    <row r="3483" spans="1:11" x14ac:dyDescent="0.25">
      <c r="A3483">
        <v>55.472835633192602</v>
      </c>
      <c r="B3483">
        <v>90.572791414136404</v>
      </c>
      <c r="C3483">
        <v>2000</v>
      </c>
    </row>
    <row r="3484" spans="1:11" x14ac:dyDescent="0.25">
      <c r="A3484">
        <v>55.472835633192602</v>
      </c>
      <c r="B3484">
        <v>90.572791414136404</v>
      </c>
      <c r="C3484">
        <v>2001</v>
      </c>
    </row>
    <row r="3485" spans="1:11" x14ac:dyDescent="0.25">
      <c r="A3485">
        <v>64.900044219056198</v>
      </c>
      <c r="B3485">
        <v>100</v>
      </c>
      <c r="C3485">
        <v>2001</v>
      </c>
    </row>
    <row r="3486" spans="1:11" x14ac:dyDescent="0.25">
      <c r="A3486">
        <v>65.212817508826404</v>
      </c>
      <c r="B3486">
        <v>100.31277328977001</v>
      </c>
      <c r="C3486">
        <v>2001</v>
      </c>
    </row>
    <row r="3487" spans="1:11" x14ac:dyDescent="0.25">
      <c r="A3487">
        <v>65.212817508826404</v>
      </c>
      <c r="B3487">
        <v>100.31277328977001</v>
      </c>
      <c r="C3487">
        <v>2000</v>
      </c>
    </row>
    <row r="3488" spans="1:11" x14ac:dyDescent="0.25">
      <c r="A3488">
        <v>64.900044219056198</v>
      </c>
      <c r="B3488">
        <v>100</v>
      </c>
      <c r="C3488">
        <v>2000</v>
      </c>
    </row>
    <row r="3489" spans="1:11" x14ac:dyDescent="0.25">
      <c r="A3489" t="s">
        <v>83</v>
      </c>
    </row>
    <row r="3490" spans="1:11" x14ac:dyDescent="0.25">
      <c r="A3490">
        <v>518</v>
      </c>
      <c r="B3490">
        <v>0</v>
      </c>
      <c r="C3490">
        <v>1.4990088830911099</v>
      </c>
      <c r="D3490">
        <v>12.265304790668599</v>
      </c>
      <c r="E3490">
        <v>6</v>
      </c>
      <c r="F3490">
        <v>1.01722196789785</v>
      </c>
      <c r="G3490" t="s">
        <v>84</v>
      </c>
      <c r="H3490" t="s">
        <v>84</v>
      </c>
      <c r="I3490">
        <v>509</v>
      </c>
      <c r="J3490">
        <v>263</v>
      </c>
      <c r="K3490">
        <v>0</v>
      </c>
    </row>
    <row r="3491" spans="1:11" x14ac:dyDescent="0.25">
      <c r="A3491" t="s">
        <v>82</v>
      </c>
    </row>
    <row r="3492" spans="1:11" x14ac:dyDescent="0.25">
      <c r="A3492">
        <v>88.073370929837097</v>
      </c>
      <c r="B3492">
        <v>27.7712302607395</v>
      </c>
      <c r="C3492">
        <v>2000</v>
      </c>
    </row>
    <row r="3493" spans="1:11" x14ac:dyDescent="0.25">
      <c r="A3493">
        <v>87.013411583544496</v>
      </c>
      <c r="B3493">
        <v>26.711270914446899</v>
      </c>
      <c r="C3493">
        <v>2000</v>
      </c>
    </row>
    <row r="3494" spans="1:11" x14ac:dyDescent="0.25">
      <c r="A3494">
        <v>86.576395559095701</v>
      </c>
      <c r="B3494">
        <v>27.148286938895701</v>
      </c>
      <c r="C3494">
        <v>2001</v>
      </c>
    </row>
    <row r="3495" spans="1:11" x14ac:dyDescent="0.25">
      <c r="A3495">
        <v>87.636354905388302</v>
      </c>
      <c r="B3495">
        <v>28.208246285188299</v>
      </c>
      <c r="C3495">
        <v>2001</v>
      </c>
    </row>
    <row r="3496" spans="1:11" x14ac:dyDescent="0.25">
      <c r="A3496">
        <v>96.309235096189894</v>
      </c>
      <c r="B3496">
        <v>36.881126475989902</v>
      </c>
      <c r="C3496">
        <v>2001</v>
      </c>
    </row>
    <row r="3497" spans="1:11" x14ac:dyDescent="0.25">
      <c r="A3497">
        <v>96.746251120638703</v>
      </c>
      <c r="B3497">
        <v>36.4441104515411</v>
      </c>
      <c r="C3497">
        <v>2000</v>
      </c>
    </row>
    <row r="3498" spans="1:11" x14ac:dyDescent="0.25">
      <c r="A3498" t="s">
        <v>83</v>
      </c>
    </row>
    <row r="3499" spans="1:11" x14ac:dyDescent="0.25">
      <c r="A3499">
        <v>24</v>
      </c>
      <c r="B3499">
        <v>0</v>
      </c>
      <c r="C3499">
        <v>11.7806606771854</v>
      </c>
      <c r="D3499">
        <v>1.8024773556161799</v>
      </c>
      <c r="E3499">
        <v>6</v>
      </c>
      <c r="F3499">
        <v>1.01722196789785</v>
      </c>
      <c r="G3499" t="s">
        <v>81</v>
      </c>
      <c r="H3499" t="s">
        <v>84</v>
      </c>
      <c r="I3499">
        <v>0</v>
      </c>
      <c r="J3499">
        <v>27</v>
      </c>
      <c r="K3499">
        <v>0</v>
      </c>
    </row>
    <row r="3500" spans="1:11" x14ac:dyDescent="0.25">
      <c r="A3500" t="s">
        <v>82</v>
      </c>
    </row>
    <row r="3501" spans="1:11" x14ac:dyDescent="0.25">
      <c r="A3501">
        <v>8.5196971321180097</v>
      </c>
      <c r="B3501">
        <v>9.9654982623648696</v>
      </c>
      <c r="C3501">
        <v>2000</v>
      </c>
    </row>
    <row r="3502" spans="1:11" x14ac:dyDescent="0.25">
      <c r="A3502">
        <v>0</v>
      </c>
      <c r="B3502">
        <v>1.4458011302468601</v>
      </c>
      <c r="C3502">
        <v>2000</v>
      </c>
    </row>
    <row r="3503" spans="1:11" x14ac:dyDescent="0.25">
      <c r="A3503">
        <v>0</v>
      </c>
      <c r="B3503">
        <v>2.3198331791445002</v>
      </c>
      <c r="C3503">
        <v>2001</v>
      </c>
    </row>
    <row r="3504" spans="1:11" x14ac:dyDescent="0.25">
      <c r="A3504">
        <v>8.1406729712730392</v>
      </c>
      <c r="B3504">
        <v>10.460506150417499</v>
      </c>
      <c r="C3504">
        <v>2001</v>
      </c>
    </row>
    <row r="3505" spans="1:11" x14ac:dyDescent="0.25">
      <c r="A3505">
        <v>9.3862210005625197</v>
      </c>
      <c r="B3505">
        <v>11.706054179706999</v>
      </c>
      <c r="C3505">
        <v>2001</v>
      </c>
    </row>
    <row r="3506" spans="1:11" x14ac:dyDescent="0.25">
      <c r="A3506">
        <v>9.8232370250113394</v>
      </c>
      <c r="B3506">
        <v>11.269038155258199</v>
      </c>
      <c r="C3506">
        <v>2000</v>
      </c>
    </row>
    <row r="3507" spans="1:11" x14ac:dyDescent="0.25">
      <c r="A3507" t="s">
        <v>83</v>
      </c>
    </row>
    <row r="3508" spans="1:11" x14ac:dyDescent="0.25">
      <c r="A3508">
        <v>19</v>
      </c>
      <c r="B3508">
        <v>0</v>
      </c>
      <c r="C3508">
        <v>12.798221886498199</v>
      </c>
      <c r="D3508">
        <v>0.76051970101948596</v>
      </c>
      <c r="E3508">
        <v>6</v>
      </c>
      <c r="F3508">
        <v>1.5707963267949001</v>
      </c>
      <c r="G3508" t="s">
        <v>81</v>
      </c>
      <c r="H3508" t="s">
        <v>84</v>
      </c>
      <c r="I3508">
        <v>0</v>
      </c>
      <c r="J3508">
        <v>5</v>
      </c>
      <c r="K3508">
        <v>0</v>
      </c>
    </row>
    <row r="3509" spans="1:11" x14ac:dyDescent="0.25">
      <c r="A3509" t="s">
        <v>82</v>
      </c>
    </row>
    <row r="3510" spans="1:11" x14ac:dyDescent="0.25">
      <c r="A3510">
        <v>9.0497094830729505</v>
      </c>
      <c r="B3510">
        <v>21.8747177146723</v>
      </c>
      <c r="C3510">
        <v>2000</v>
      </c>
    </row>
    <row r="3511" spans="1:11" x14ac:dyDescent="0.25">
      <c r="A3511">
        <v>0</v>
      </c>
      <c r="B3511">
        <v>12.8250082315994</v>
      </c>
      <c r="C3511">
        <v>2000</v>
      </c>
    </row>
    <row r="3512" spans="1:11" x14ac:dyDescent="0.25">
      <c r="A3512">
        <v>0</v>
      </c>
      <c r="B3512">
        <v>12.8250082315994</v>
      </c>
      <c r="C3512">
        <v>2001</v>
      </c>
    </row>
    <row r="3513" spans="1:11" x14ac:dyDescent="0.25">
      <c r="A3513">
        <v>9.0497094830729505</v>
      </c>
      <c r="B3513">
        <v>21.8747177146723</v>
      </c>
      <c r="C3513">
        <v>2001</v>
      </c>
    </row>
    <row r="3514" spans="1:11" x14ac:dyDescent="0.25">
      <c r="A3514">
        <v>9.5874781208898003</v>
      </c>
      <c r="B3514">
        <v>22.4124863524892</v>
      </c>
      <c r="C3514">
        <v>2001</v>
      </c>
    </row>
    <row r="3515" spans="1:11" x14ac:dyDescent="0.25">
      <c r="A3515">
        <v>9.5874781208898003</v>
      </c>
      <c r="B3515">
        <v>22.4124863524892</v>
      </c>
      <c r="C3515">
        <v>2000</v>
      </c>
    </row>
    <row r="3516" spans="1:11" x14ac:dyDescent="0.25">
      <c r="A3516" t="s">
        <v>83</v>
      </c>
    </row>
    <row r="3517" spans="1:11" x14ac:dyDescent="0.25">
      <c r="A3517">
        <v>242</v>
      </c>
      <c r="B3517">
        <v>0</v>
      </c>
      <c r="C3517">
        <v>0</v>
      </c>
      <c r="D3517">
        <v>13.4980752454313</v>
      </c>
      <c r="E3517">
        <v>4</v>
      </c>
      <c r="F3517">
        <v>1.5707963267949001</v>
      </c>
      <c r="G3517" t="s">
        <v>84</v>
      </c>
      <c r="H3517" t="s">
        <v>81</v>
      </c>
      <c r="I3517">
        <v>279</v>
      </c>
      <c r="J3517">
        <v>0</v>
      </c>
      <c r="K3517">
        <v>0</v>
      </c>
    </row>
    <row r="3518" spans="1:11" x14ac:dyDescent="0.25">
      <c r="A3518" t="s">
        <v>82</v>
      </c>
    </row>
    <row r="3519" spans="1:11" x14ac:dyDescent="0.25">
      <c r="A3519">
        <v>140.45541946098899</v>
      </c>
      <c r="B3519">
        <v>12.623313855204399</v>
      </c>
      <c r="C3519">
        <v>2000</v>
      </c>
    </row>
    <row r="3520" spans="1:11" x14ac:dyDescent="0.25">
      <c r="A3520">
        <v>140.45541946098899</v>
      </c>
      <c r="B3520">
        <v>12.623313855204399</v>
      </c>
      <c r="C3520">
        <v>2001</v>
      </c>
    </row>
    <row r="3521" spans="1:11" x14ac:dyDescent="0.25">
      <c r="A3521">
        <v>150</v>
      </c>
      <c r="B3521">
        <v>22.1678943942151</v>
      </c>
      <c r="C3521">
        <v>2001</v>
      </c>
    </row>
    <row r="3522" spans="1:11" x14ac:dyDescent="0.25">
      <c r="A3522">
        <v>150</v>
      </c>
      <c r="B3522">
        <v>22.1678943942151</v>
      </c>
      <c r="C3522">
        <v>2000</v>
      </c>
    </row>
    <row r="3523" spans="1:11" x14ac:dyDescent="0.25">
      <c r="A3523" t="s">
        <v>83</v>
      </c>
    </row>
    <row r="3524" spans="1:11" x14ac:dyDescent="0.25">
      <c r="A3524">
        <v>163</v>
      </c>
      <c r="B3524">
        <v>0</v>
      </c>
      <c r="C3524">
        <v>4.3936856438228302</v>
      </c>
      <c r="D3524">
        <v>8.9309513012882995</v>
      </c>
      <c r="E3524">
        <v>6</v>
      </c>
      <c r="F3524">
        <v>1.5707963267949001</v>
      </c>
      <c r="G3524" t="s">
        <v>84</v>
      </c>
      <c r="H3524" t="s">
        <v>84</v>
      </c>
      <c r="I3524">
        <v>172</v>
      </c>
      <c r="J3524">
        <v>178</v>
      </c>
      <c r="K3524">
        <v>0</v>
      </c>
    </row>
    <row r="3525" spans="1:11" x14ac:dyDescent="0.25">
      <c r="A3525" t="s">
        <v>82</v>
      </c>
    </row>
    <row r="3526" spans="1:11" x14ac:dyDescent="0.25">
      <c r="A3526">
        <v>124.676876491717</v>
      </c>
      <c r="B3526">
        <v>83.5930756798913</v>
      </c>
      <c r="C3526">
        <v>2000</v>
      </c>
    </row>
    <row r="3527" spans="1:11" x14ac:dyDescent="0.25">
      <c r="A3527">
        <v>121.570071578567</v>
      </c>
      <c r="B3527">
        <v>80.486270766742194</v>
      </c>
      <c r="C3527">
        <v>2000</v>
      </c>
    </row>
    <row r="3528" spans="1:11" x14ac:dyDescent="0.25">
      <c r="A3528">
        <v>121.570071578567</v>
      </c>
      <c r="B3528">
        <v>80.486270766742194</v>
      </c>
      <c r="C3528">
        <v>2001</v>
      </c>
    </row>
    <row r="3529" spans="1:11" x14ac:dyDescent="0.25">
      <c r="A3529">
        <v>124.676876491717</v>
      </c>
      <c r="B3529">
        <v>83.5930756798913</v>
      </c>
      <c r="C3529">
        <v>2001</v>
      </c>
    </row>
    <row r="3530" spans="1:11" x14ac:dyDescent="0.25">
      <c r="A3530">
        <v>130.992012719304</v>
      </c>
      <c r="B3530">
        <v>89.9082119074791</v>
      </c>
      <c r="C3530">
        <v>2001</v>
      </c>
    </row>
    <row r="3531" spans="1:11" x14ac:dyDescent="0.25">
      <c r="A3531">
        <v>130.992012719304</v>
      </c>
      <c r="B3531">
        <v>89.9082119074791</v>
      </c>
      <c r="C3531">
        <v>2000</v>
      </c>
    </row>
    <row r="3532" spans="1:11" x14ac:dyDescent="0.25">
      <c r="A3532" t="s">
        <v>83</v>
      </c>
    </row>
    <row r="3533" spans="1:11" x14ac:dyDescent="0.25">
      <c r="A3533">
        <v>339</v>
      </c>
      <c r="B3533">
        <v>0</v>
      </c>
      <c r="C3533">
        <v>9.8253214047105608</v>
      </c>
      <c r="D3533">
        <v>3.0954406673465402</v>
      </c>
      <c r="E3533">
        <v>6</v>
      </c>
      <c r="F3533">
        <v>1.5707963267949001</v>
      </c>
      <c r="G3533" t="s">
        <v>84</v>
      </c>
      <c r="H3533" t="s">
        <v>81</v>
      </c>
      <c r="I3533">
        <v>568</v>
      </c>
      <c r="J3533">
        <v>0</v>
      </c>
      <c r="K3533">
        <v>0</v>
      </c>
    </row>
    <row r="3534" spans="1:11" x14ac:dyDescent="0.25">
      <c r="A3534" t="s">
        <v>82</v>
      </c>
    </row>
    <row r="3535" spans="1:11" x14ac:dyDescent="0.25">
      <c r="A3535">
        <v>57.207809985712103</v>
      </c>
      <c r="B3535">
        <v>147.81119291335901</v>
      </c>
      <c r="C3535">
        <v>2000</v>
      </c>
    </row>
    <row r="3536" spans="1:11" x14ac:dyDescent="0.25">
      <c r="A3536">
        <v>50.260258593103899</v>
      </c>
      <c r="B3536">
        <v>140.86364152075001</v>
      </c>
      <c r="C3536">
        <v>2000</v>
      </c>
    </row>
    <row r="3537" spans="1:11" x14ac:dyDescent="0.25">
      <c r="A3537">
        <v>50.260258593103899</v>
      </c>
      <c r="B3537">
        <v>140.86364152075001</v>
      </c>
      <c r="C3537">
        <v>2001</v>
      </c>
    </row>
    <row r="3538" spans="1:11" x14ac:dyDescent="0.25">
      <c r="A3538">
        <v>57.207809985712103</v>
      </c>
      <c r="B3538">
        <v>147.81119291335901</v>
      </c>
      <c r="C3538">
        <v>2001</v>
      </c>
    </row>
    <row r="3539" spans="1:11" x14ac:dyDescent="0.25">
      <c r="A3539">
        <v>59.396617072353401</v>
      </c>
      <c r="B3539">
        <v>150</v>
      </c>
      <c r="C3539">
        <v>2001</v>
      </c>
    </row>
    <row r="3540" spans="1:11" x14ac:dyDescent="0.25">
      <c r="A3540">
        <v>59.396617072353401</v>
      </c>
      <c r="B3540">
        <v>150</v>
      </c>
      <c r="C3540">
        <v>2000</v>
      </c>
    </row>
    <row r="3541" spans="1:11" x14ac:dyDescent="0.25">
      <c r="A3541" t="s">
        <v>83</v>
      </c>
    </row>
    <row r="3542" spans="1:11" x14ac:dyDescent="0.25">
      <c r="A3542">
        <v>15</v>
      </c>
      <c r="B3542">
        <v>0</v>
      </c>
      <c r="C3542">
        <v>2.77578251192043</v>
      </c>
      <c r="D3542">
        <v>10.1279116135041</v>
      </c>
      <c r="E3542">
        <v>6</v>
      </c>
      <c r="F3542">
        <v>1.5707963267949001</v>
      </c>
      <c r="G3542" t="s">
        <v>84</v>
      </c>
      <c r="H3542" t="s">
        <v>84</v>
      </c>
      <c r="I3542">
        <v>17</v>
      </c>
      <c r="J3542">
        <v>12</v>
      </c>
      <c r="K3542">
        <v>0</v>
      </c>
    </row>
    <row r="3543" spans="1:11" x14ac:dyDescent="0.25">
      <c r="A3543" t="s">
        <v>82</v>
      </c>
    </row>
    <row r="3544" spans="1:11" x14ac:dyDescent="0.25">
      <c r="A3544">
        <v>21.806082803199999</v>
      </c>
      <c r="B3544">
        <v>35.681051579621197</v>
      </c>
      <c r="C3544">
        <v>2000</v>
      </c>
    </row>
    <row r="3545" spans="1:11" x14ac:dyDescent="0.25">
      <c r="A3545">
        <v>19.8433081659221</v>
      </c>
      <c r="B3545">
        <v>33.718276942343202</v>
      </c>
      <c r="C3545">
        <v>2000</v>
      </c>
    </row>
    <row r="3546" spans="1:11" x14ac:dyDescent="0.25">
      <c r="A3546">
        <v>19.8433081659221</v>
      </c>
      <c r="B3546">
        <v>33.718276942343202</v>
      </c>
      <c r="C3546">
        <v>2001</v>
      </c>
    </row>
    <row r="3547" spans="1:11" x14ac:dyDescent="0.25">
      <c r="A3547">
        <v>21.806082803199999</v>
      </c>
      <c r="B3547">
        <v>35.681051579621197</v>
      </c>
      <c r="C3547">
        <v>2001</v>
      </c>
    </row>
    <row r="3548" spans="1:11" x14ac:dyDescent="0.25">
      <c r="A3548">
        <v>28.967597784366799</v>
      </c>
      <c r="B3548">
        <v>42.842566560787901</v>
      </c>
      <c r="C3548">
        <v>2001</v>
      </c>
    </row>
    <row r="3549" spans="1:11" x14ac:dyDescent="0.25">
      <c r="A3549">
        <v>28.967597784366799</v>
      </c>
      <c r="B3549">
        <v>42.842566560787901</v>
      </c>
      <c r="C3549">
        <v>2000</v>
      </c>
    </row>
    <row r="3550" spans="1:11" x14ac:dyDescent="0.25">
      <c r="A3550" t="s">
        <v>83</v>
      </c>
    </row>
    <row r="3551" spans="1:11" x14ac:dyDescent="0.25">
      <c r="A3551">
        <v>401</v>
      </c>
      <c r="B3551">
        <v>0</v>
      </c>
      <c r="C3551">
        <v>12.6533368596765</v>
      </c>
      <c r="D3551">
        <v>0</v>
      </c>
      <c r="E3551">
        <v>5</v>
      </c>
      <c r="F3551">
        <v>1.5707963267949001</v>
      </c>
      <c r="G3551" t="s">
        <v>84</v>
      </c>
      <c r="H3551" t="s">
        <v>84</v>
      </c>
      <c r="I3551">
        <v>424</v>
      </c>
      <c r="J3551">
        <v>421</v>
      </c>
      <c r="K3551">
        <v>0</v>
      </c>
    </row>
    <row r="3552" spans="1:11" x14ac:dyDescent="0.25">
      <c r="A3552" t="s">
        <v>82</v>
      </c>
    </row>
    <row r="3553" spans="1:11" x14ac:dyDescent="0.25">
      <c r="A3553">
        <v>122.627767919389</v>
      </c>
      <c r="B3553">
        <v>127.67725435675899</v>
      </c>
      <c r="C3553">
        <v>2000</v>
      </c>
    </row>
    <row r="3554" spans="1:11" x14ac:dyDescent="0.25">
      <c r="A3554">
        <v>113.680507621274</v>
      </c>
      <c r="B3554">
        <v>118.729994058644</v>
      </c>
      <c r="C3554">
        <v>2000</v>
      </c>
    </row>
    <row r="3555" spans="1:11" x14ac:dyDescent="0.25">
      <c r="A3555">
        <v>113.680507621274</v>
      </c>
      <c r="B3555">
        <v>118.729994058644</v>
      </c>
      <c r="C3555">
        <v>2001</v>
      </c>
    </row>
    <row r="3556" spans="1:11" x14ac:dyDescent="0.25">
      <c r="A3556">
        <v>122.627767919389</v>
      </c>
      <c r="B3556">
        <v>127.67725435675899</v>
      </c>
      <c r="C3556">
        <v>2001</v>
      </c>
    </row>
    <row r="3557" spans="1:11" x14ac:dyDescent="0.25">
      <c r="A3557">
        <v>122.627767919389</v>
      </c>
      <c r="B3557">
        <v>127.67725435675899</v>
      </c>
      <c r="C3557">
        <v>2000</v>
      </c>
    </row>
    <row r="3558" spans="1:11" x14ac:dyDescent="0.25">
      <c r="A3558" t="s">
        <v>83</v>
      </c>
    </row>
    <row r="3559" spans="1:11" x14ac:dyDescent="0.25">
      <c r="A3559">
        <v>17</v>
      </c>
      <c r="B3559">
        <v>0</v>
      </c>
      <c r="C3559">
        <v>3.3299861200785199</v>
      </c>
      <c r="D3559">
        <v>9.1304932747062697</v>
      </c>
      <c r="E3559">
        <v>6</v>
      </c>
      <c r="F3559">
        <v>1.5707963267949001</v>
      </c>
      <c r="G3559" t="s">
        <v>84</v>
      </c>
      <c r="H3559" t="s">
        <v>84</v>
      </c>
      <c r="I3559">
        <v>5</v>
      </c>
      <c r="J3559">
        <v>15</v>
      </c>
      <c r="K3559">
        <v>0</v>
      </c>
    </row>
    <row r="3560" spans="1:11" x14ac:dyDescent="0.25">
      <c r="A3560" t="s">
        <v>82</v>
      </c>
    </row>
    <row r="3561" spans="1:11" x14ac:dyDescent="0.25">
      <c r="A3561">
        <v>12.345824524455599</v>
      </c>
      <c r="B3561">
        <v>28.303293163563701</v>
      </c>
      <c r="C3561">
        <v>2000</v>
      </c>
    </row>
    <row r="3562" spans="1:11" x14ac:dyDescent="0.25">
      <c r="A3562">
        <v>9.9911687576910193</v>
      </c>
      <c r="B3562">
        <v>25.9486373967991</v>
      </c>
      <c r="C3562">
        <v>2000</v>
      </c>
    </row>
    <row r="3563" spans="1:11" x14ac:dyDescent="0.25">
      <c r="A3563">
        <v>9.9911687576910193</v>
      </c>
      <c r="B3563">
        <v>25.9486373967991</v>
      </c>
      <c r="C3563">
        <v>2001</v>
      </c>
    </row>
    <row r="3564" spans="1:11" x14ac:dyDescent="0.25">
      <c r="A3564">
        <v>12.345824524455599</v>
      </c>
      <c r="B3564">
        <v>28.303293163563701</v>
      </c>
      <c r="C3564">
        <v>2001</v>
      </c>
    </row>
    <row r="3565" spans="1:11" x14ac:dyDescent="0.25">
      <c r="A3565">
        <v>18.802058234578599</v>
      </c>
      <c r="B3565">
        <v>34.759526873686703</v>
      </c>
      <c r="C3565">
        <v>2001</v>
      </c>
    </row>
    <row r="3566" spans="1:11" x14ac:dyDescent="0.25">
      <c r="A3566">
        <v>18.802058234578599</v>
      </c>
      <c r="B3566">
        <v>34.759526873686703</v>
      </c>
      <c r="C3566">
        <v>2000</v>
      </c>
    </row>
    <row r="3567" spans="1:11" x14ac:dyDescent="0.25">
      <c r="A3567" t="s">
        <v>83</v>
      </c>
    </row>
    <row r="3568" spans="1:11" x14ac:dyDescent="0.25">
      <c r="A3568">
        <v>658</v>
      </c>
      <c r="B3568">
        <v>0</v>
      </c>
      <c r="C3568">
        <v>6.2777625683724398</v>
      </c>
      <c r="D3568">
        <v>6.1291941205853604</v>
      </c>
      <c r="E3568">
        <v>8</v>
      </c>
      <c r="F3568">
        <v>1.5707963267949001</v>
      </c>
      <c r="G3568" t="s">
        <v>84</v>
      </c>
      <c r="H3568" t="s">
        <v>84</v>
      </c>
      <c r="I3568">
        <v>8</v>
      </c>
      <c r="J3568">
        <v>657</v>
      </c>
      <c r="K3568">
        <v>0</v>
      </c>
    </row>
    <row r="3569" spans="1:11" x14ac:dyDescent="0.25">
      <c r="A3569" t="s">
        <v>82</v>
      </c>
    </row>
    <row r="3570" spans="1:11" x14ac:dyDescent="0.25">
      <c r="A3570">
        <v>26.5008437454239</v>
      </c>
      <c r="B3570">
        <v>51.546347665854903</v>
      </c>
      <c r="C3570">
        <v>2000</v>
      </c>
    </row>
    <row r="3571" spans="1:11" x14ac:dyDescent="0.25">
      <c r="A3571">
        <v>24.954496079569001</v>
      </c>
      <c r="B3571">
        <v>50</v>
      </c>
      <c r="C3571">
        <v>2000</v>
      </c>
    </row>
    <row r="3572" spans="1:11" x14ac:dyDescent="0.25">
      <c r="A3572">
        <v>22.061795262648602</v>
      </c>
      <c r="B3572">
        <v>47.107299183079697</v>
      </c>
      <c r="C3572">
        <v>2000</v>
      </c>
    </row>
    <row r="3573" spans="1:11" x14ac:dyDescent="0.25">
      <c r="A3573">
        <v>22.061795262648602</v>
      </c>
      <c r="B3573">
        <v>47.107299183079697</v>
      </c>
      <c r="C3573">
        <v>2001</v>
      </c>
    </row>
    <row r="3574" spans="1:11" x14ac:dyDescent="0.25">
      <c r="A3574">
        <v>24.954496079569001</v>
      </c>
      <c r="B3574">
        <v>50</v>
      </c>
      <c r="C3574">
        <v>2001</v>
      </c>
    </row>
    <row r="3575" spans="1:11" x14ac:dyDescent="0.25">
      <c r="A3575">
        <v>26.5008437454239</v>
      </c>
      <c r="B3575">
        <v>51.546347665854903</v>
      </c>
      <c r="C3575">
        <v>2001</v>
      </c>
    </row>
    <row r="3576" spans="1:11" x14ac:dyDescent="0.25">
      <c r="A3576">
        <v>30.8348384712985</v>
      </c>
      <c r="B3576">
        <v>55.880342391729499</v>
      </c>
      <c r="C3576">
        <v>2001</v>
      </c>
    </row>
    <row r="3577" spans="1:11" x14ac:dyDescent="0.25">
      <c r="A3577">
        <v>30.8348384712985</v>
      </c>
      <c r="B3577">
        <v>55.880342391729499</v>
      </c>
      <c r="C3577">
        <v>2000</v>
      </c>
    </row>
    <row r="3578" spans="1:11" x14ac:dyDescent="0.25">
      <c r="A3578" t="s">
        <v>83</v>
      </c>
    </row>
    <row r="3579" spans="1:11" x14ac:dyDescent="0.25">
      <c r="A3579">
        <v>246</v>
      </c>
      <c r="B3579">
        <v>0</v>
      </c>
      <c r="C3579">
        <v>5.8296834065428298</v>
      </c>
      <c r="D3579">
        <v>6.3748053578417396</v>
      </c>
      <c r="E3579">
        <v>6</v>
      </c>
      <c r="F3579">
        <v>1.5707963267949001</v>
      </c>
      <c r="G3579" t="s">
        <v>84</v>
      </c>
      <c r="H3579" t="s">
        <v>81</v>
      </c>
      <c r="I3579">
        <v>252</v>
      </c>
      <c r="J3579">
        <v>0</v>
      </c>
      <c r="K3579">
        <v>0</v>
      </c>
    </row>
    <row r="3580" spans="1:11" x14ac:dyDescent="0.25">
      <c r="A3580" t="s">
        <v>82</v>
      </c>
    </row>
    <row r="3581" spans="1:11" x14ac:dyDescent="0.25">
      <c r="A3581">
        <v>145.49233190272599</v>
      </c>
      <c r="B3581">
        <v>14.3285528706985</v>
      </c>
      <c r="C3581">
        <v>2000</v>
      </c>
    </row>
    <row r="3582" spans="1:11" x14ac:dyDescent="0.25">
      <c r="A3582">
        <v>141.370123233789</v>
      </c>
      <c r="B3582">
        <v>10.2063442017614</v>
      </c>
      <c r="C3582">
        <v>2000</v>
      </c>
    </row>
    <row r="3583" spans="1:11" x14ac:dyDescent="0.25">
      <c r="A3583">
        <v>141.370123233789</v>
      </c>
      <c r="B3583">
        <v>10.2063442017614</v>
      </c>
      <c r="C3583">
        <v>2001</v>
      </c>
    </row>
    <row r="3584" spans="1:11" x14ac:dyDescent="0.25">
      <c r="A3584">
        <v>145.49233190272599</v>
      </c>
      <c r="B3584">
        <v>14.3285528706985</v>
      </c>
      <c r="C3584">
        <v>2001</v>
      </c>
    </row>
    <row r="3585" spans="1:11" x14ac:dyDescent="0.25">
      <c r="A3585">
        <v>150</v>
      </c>
      <c r="B3585">
        <v>18.8362209679727</v>
      </c>
      <c r="C3585">
        <v>2001</v>
      </c>
    </row>
    <row r="3586" spans="1:11" x14ac:dyDescent="0.25">
      <c r="A3586">
        <v>150</v>
      </c>
      <c r="B3586">
        <v>18.8362209679727</v>
      </c>
      <c r="C3586">
        <v>2000</v>
      </c>
    </row>
    <row r="3587" spans="1:11" x14ac:dyDescent="0.25">
      <c r="A3587" t="s">
        <v>83</v>
      </c>
    </row>
    <row r="3588" spans="1:11" x14ac:dyDescent="0.25">
      <c r="A3588">
        <v>564</v>
      </c>
      <c r="B3588">
        <v>0</v>
      </c>
      <c r="C3588">
        <v>4.6078495493455298</v>
      </c>
      <c r="D3588">
        <v>7.3931131096726803</v>
      </c>
      <c r="E3588">
        <v>6</v>
      </c>
      <c r="F3588">
        <v>1.5707963267949001</v>
      </c>
      <c r="G3588" t="s">
        <v>84</v>
      </c>
      <c r="H3588" t="s">
        <v>84</v>
      </c>
      <c r="I3588">
        <v>752</v>
      </c>
      <c r="J3588">
        <v>568</v>
      </c>
      <c r="K3588">
        <v>0</v>
      </c>
    </row>
    <row r="3589" spans="1:11" x14ac:dyDescent="0.25">
      <c r="A3589" t="s">
        <v>82</v>
      </c>
    </row>
    <row r="3590" spans="1:11" x14ac:dyDescent="0.25">
      <c r="A3590">
        <v>41.057443137307402</v>
      </c>
      <c r="B3590">
        <v>129.23483518149499</v>
      </c>
      <c r="C3590">
        <v>2000</v>
      </c>
    </row>
    <row r="3591" spans="1:11" x14ac:dyDescent="0.25">
      <c r="A3591">
        <v>37.799201474277801</v>
      </c>
      <c r="B3591">
        <v>125.97659351846499</v>
      </c>
      <c r="C3591">
        <v>2000</v>
      </c>
    </row>
    <row r="3592" spans="1:11" x14ac:dyDescent="0.25">
      <c r="A3592">
        <v>37.799201474277801</v>
      </c>
      <c r="B3592">
        <v>125.97659351846499</v>
      </c>
      <c r="C3592">
        <v>2001</v>
      </c>
    </row>
    <row r="3593" spans="1:11" x14ac:dyDescent="0.25">
      <c r="A3593">
        <v>41.057443137307402</v>
      </c>
      <c r="B3593">
        <v>129.23483518149499</v>
      </c>
      <c r="C3593">
        <v>2001</v>
      </c>
    </row>
    <row r="3594" spans="1:11" x14ac:dyDescent="0.25">
      <c r="A3594">
        <v>46.285163551236103</v>
      </c>
      <c r="B3594">
        <v>134.462555595423</v>
      </c>
      <c r="C3594">
        <v>2001</v>
      </c>
    </row>
    <row r="3595" spans="1:11" x14ac:dyDescent="0.25">
      <c r="A3595">
        <v>46.285163551236103</v>
      </c>
      <c r="B3595">
        <v>134.462555595423</v>
      </c>
      <c r="C3595">
        <v>2000</v>
      </c>
    </row>
    <row r="3596" spans="1:11" x14ac:dyDescent="0.25">
      <c r="A3596" t="s">
        <v>83</v>
      </c>
    </row>
    <row r="3597" spans="1:11" x14ac:dyDescent="0.25">
      <c r="A3597">
        <v>576</v>
      </c>
      <c r="B3597">
        <v>0</v>
      </c>
      <c r="C3597">
        <v>0</v>
      </c>
      <c r="D3597">
        <v>11.793334448565499</v>
      </c>
      <c r="E3597">
        <v>6</v>
      </c>
      <c r="F3597">
        <v>1.5707963267949001</v>
      </c>
      <c r="G3597" t="s">
        <v>84</v>
      </c>
      <c r="H3597" t="s">
        <v>84</v>
      </c>
      <c r="I3597">
        <v>566</v>
      </c>
      <c r="J3597">
        <v>342</v>
      </c>
      <c r="K3597">
        <v>0</v>
      </c>
    </row>
    <row r="3598" spans="1:11" x14ac:dyDescent="0.25">
      <c r="A3598" t="s">
        <v>82</v>
      </c>
    </row>
    <row r="3599" spans="1:11" x14ac:dyDescent="0.25">
      <c r="A3599">
        <v>42.040889671557103</v>
      </c>
      <c r="B3599">
        <v>135.66625377194299</v>
      </c>
      <c r="C3599">
        <v>2000</v>
      </c>
    </row>
    <row r="3600" spans="1:11" x14ac:dyDescent="0.25">
      <c r="A3600">
        <v>42.040889671557103</v>
      </c>
      <c r="B3600">
        <v>135.66625377194299</v>
      </c>
      <c r="C3600">
        <v>2001</v>
      </c>
    </row>
    <row r="3601" spans="1:11" x14ac:dyDescent="0.25">
      <c r="A3601">
        <v>50</v>
      </c>
      <c r="B3601">
        <v>143.62536410038601</v>
      </c>
      <c r="C3601">
        <v>2001</v>
      </c>
    </row>
    <row r="3602" spans="1:11" x14ac:dyDescent="0.25">
      <c r="A3602">
        <v>50.380036432938702</v>
      </c>
      <c r="B3602">
        <v>144.005400533325</v>
      </c>
      <c r="C3602">
        <v>2001</v>
      </c>
    </row>
    <row r="3603" spans="1:11" x14ac:dyDescent="0.25">
      <c r="A3603">
        <v>50.380036432938702</v>
      </c>
      <c r="B3603">
        <v>144.005400533325</v>
      </c>
      <c r="C3603">
        <v>2000</v>
      </c>
    </row>
    <row r="3604" spans="1:11" x14ac:dyDescent="0.25">
      <c r="A3604">
        <v>50</v>
      </c>
      <c r="B3604">
        <v>143.62536410038601</v>
      </c>
      <c r="C3604">
        <v>2000</v>
      </c>
    </row>
    <row r="3605" spans="1:11" x14ac:dyDescent="0.25">
      <c r="A3605" t="s">
        <v>83</v>
      </c>
    </row>
    <row r="3606" spans="1:11" x14ac:dyDescent="0.25">
      <c r="A3606">
        <v>577</v>
      </c>
      <c r="B3606">
        <v>0</v>
      </c>
      <c r="C3606">
        <v>4.3936856438228196</v>
      </c>
      <c r="D3606">
        <v>7.3370679247197303</v>
      </c>
      <c r="E3606">
        <v>6</v>
      </c>
      <c r="F3606">
        <v>1.5707963267949001</v>
      </c>
      <c r="G3606" t="s">
        <v>84</v>
      </c>
      <c r="H3606" t="s">
        <v>84</v>
      </c>
      <c r="I3606">
        <v>579</v>
      </c>
      <c r="J3606">
        <v>580</v>
      </c>
      <c r="K3606">
        <v>0</v>
      </c>
    </row>
    <row r="3607" spans="1:11" x14ac:dyDescent="0.25">
      <c r="A3607" t="s">
        <v>82</v>
      </c>
    </row>
    <row r="3608" spans="1:11" x14ac:dyDescent="0.25">
      <c r="A3608">
        <v>19.819205764131301</v>
      </c>
      <c r="B3608">
        <v>122.238899929095</v>
      </c>
      <c r="C3608">
        <v>2000</v>
      </c>
    </row>
    <row r="3609" spans="1:11" x14ac:dyDescent="0.25">
      <c r="A3609">
        <v>16.712400850982199</v>
      </c>
      <c r="B3609">
        <v>119.132095015945</v>
      </c>
      <c r="C3609">
        <v>2000</v>
      </c>
    </row>
    <row r="3610" spans="1:11" x14ac:dyDescent="0.25">
      <c r="A3610">
        <v>16.712400850982199</v>
      </c>
      <c r="B3610">
        <v>119.132095015945</v>
      </c>
      <c r="C3610">
        <v>2001</v>
      </c>
    </row>
    <row r="3611" spans="1:11" x14ac:dyDescent="0.25">
      <c r="A3611">
        <v>19.819205764131301</v>
      </c>
      <c r="B3611">
        <v>122.238899929095</v>
      </c>
      <c r="C3611">
        <v>2001</v>
      </c>
    </row>
    <row r="3612" spans="1:11" x14ac:dyDescent="0.25">
      <c r="A3612">
        <v>25.007296247726899</v>
      </c>
      <c r="B3612">
        <v>127.42699041269</v>
      </c>
      <c r="C3612">
        <v>2001</v>
      </c>
    </row>
    <row r="3613" spans="1:11" x14ac:dyDescent="0.25">
      <c r="A3613">
        <v>25.007296247726899</v>
      </c>
      <c r="B3613">
        <v>127.42699041269</v>
      </c>
      <c r="C3613">
        <v>2000</v>
      </c>
    </row>
    <row r="3614" spans="1:11" x14ac:dyDescent="0.25">
      <c r="A3614" t="s">
        <v>83</v>
      </c>
    </row>
    <row r="3615" spans="1:11" x14ac:dyDescent="0.25">
      <c r="A3615">
        <v>422</v>
      </c>
      <c r="B3615">
        <v>0</v>
      </c>
      <c r="C3615">
        <v>7.4337111378950498</v>
      </c>
      <c r="D3615">
        <v>4.22343502889888</v>
      </c>
      <c r="E3615">
        <v>6</v>
      </c>
      <c r="F3615">
        <v>1.01722196789785</v>
      </c>
      <c r="G3615" t="s">
        <v>84</v>
      </c>
      <c r="H3615" t="s">
        <v>84</v>
      </c>
      <c r="I3615">
        <v>425</v>
      </c>
      <c r="J3615">
        <v>749</v>
      </c>
      <c r="K3615">
        <v>0</v>
      </c>
    </row>
    <row r="3616" spans="1:11" x14ac:dyDescent="0.25">
      <c r="A3616" t="s">
        <v>82</v>
      </c>
    </row>
    <row r="3617" spans="1:11" x14ac:dyDescent="0.25">
      <c r="A3617">
        <v>120.16612143635599</v>
      </c>
      <c r="B3617">
        <v>127.60506818053101</v>
      </c>
      <c r="C3617">
        <v>2000</v>
      </c>
    </row>
    <row r="3618" spans="1:11" x14ac:dyDescent="0.25">
      <c r="A3618">
        <v>114.909693881368</v>
      </c>
      <c r="B3618">
        <v>122.348640625543</v>
      </c>
      <c r="C3618">
        <v>2000</v>
      </c>
    </row>
    <row r="3619" spans="1:11" x14ac:dyDescent="0.25">
      <c r="A3619">
        <v>114.47267785692</v>
      </c>
      <c r="B3619">
        <v>122.78565664999201</v>
      </c>
      <c r="C3619">
        <v>2001</v>
      </c>
    </row>
    <row r="3620" spans="1:11" x14ac:dyDescent="0.25">
      <c r="A3620">
        <v>119.729105411907</v>
      </c>
      <c r="B3620">
        <v>128.04208420497901</v>
      </c>
      <c r="C3620">
        <v>2001</v>
      </c>
    </row>
    <row r="3621" spans="1:11" x14ac:dyDescent="0.25">
      <c r="A3621">
        <v>122.715524960742</v>
      </c>
      <c r="B3621">
        <v>131.02850375381499</v>
      </c>
      <c r="C3621">
        <v>2001</v>
      </c>
    </row>
    <row r="3622" spans="1:11" x14ac:dyDescent="0.25">
      <c r="A3622">
        <v>123.152540985191</v>
      </c>
      <c r="B3622">
        <v>130.59148772936601</v>
      </c>
      <c r="C3622">
        <v>2000</v>
      </c>
    </row>
    <row r="3623" spans="1:11" x14ac:dyDescent="0.25">
      <c r="A3623" t="s">
        <v>83</v>
      </c>
    </row>
    <row r="3624" spans="1:11" x14ac:dyDescent="0.25">
      <c r="A3624">
        <v>520</v>
      </c>
      <c r="B3624">
        <v>0</v>
      </c>
      <c r="C3624">
        <v>9.2396968862165796</v>
      </c>
      <c r="D3624">
        <v>2.2596521154606699</v>
      </c>
      <c r="E3624">
        <v>6</v>
      </c>
      <c r="F3624">
        <v>1.01722196789785</v>
      </c>
      <c r="G3624" t="s">
        <v>81</v>
      </c>
      <c r="H3624" t="s">
        <v>84</v>
      </c>
      <c r="I3624">
        <v>0</v>
      </c>
      <c r="J3624">
        <v>501</v>
      </c>
      <c r="K3624">
        <v>0</v>
      </c>
    </row>
    <row r="3625" spans="1:11" x14ac:dyDescent="0.25">
      <c r="A3625" t="s">
        <v>82</v>
      </c>
    </row>
    <row r="3626" spans="1:11" x14ac:dyDescent="0.25">
      <c r="A3626">
        <v>66.433785508624794</v>
      </c>
      <c r="B3626">
        <v>6.7090229414250597</v>
      </c>
      <c r="C3626">
        <v>2000</v>
      </c>
    </row>
    <row r="3627" spans="1:11" x14ac:dyDescent="0.25">
      <c r="A3627">
        <v>59.724762567199697</v>
      </c>
      <c r="B3627">
        <v>0</v>
      </c>
      <c r="C3627">
        <v>2000</v>
      </c>
    </row>
    <row r="3628" spans="1:11" x14ac:dyDescent="0.25">
      <c r="A3628">
        <v>60.5987946160974</v>
      </c>
      <c r="B3628">
        <v>0</v>
      </c>
      <c r="C3628">
        <v>2001</v>
      </c>
    </row>
    <row r="3629" spans="1:11" x14ac:dyDescent="0.25">
      <c r="A3629">
        <v>66.9566763233763</v>
      </c>
      <c r="B3629">
        <v>6.3578817072788896</v>
      </c>
      <c r="C3629">
        <v>2001</v>
      </c>
    </row>
    <row r="3630" spans="1:11" x14ac:dyDescent="0.25">
      <c r="A3630">
        <v>68.511554262189705</v>
      </c>
      <c r="B3630">
        <v>7.9127596460923302</v>
      </c>
      <c r="C3630">
        <v>2001</v>
      </c>
    </row>
    <row r="3631" spans="1:11" x14ac:dyDescent="0.25">
      <c r="A3631">
        <v>68.074538237740896</v>
      </c>
      <c r="B3631">
        <v>8.3497756705411508</v>
      </c>
      <c r="C3631">
        <v>2000</v>
      </c>
    </row>
    <row r="3632" spans="1:11" x14ac:dyDescent="0.25">
      <c r="A3632" t="s">
        <v>83</v>
      </c>
    </row>
    <row r="3633" spans="1:11" x14ac:dyDescent="0.25">
      <c r="A3633">
        <v>519</v>
      </c>
      <c r="B3633">
        <v>0</v>
      </c>
      <c r="C3633">
        <v>9.2943579901836699</v>
      </c>
      <c r="D3633">
        <v>1.8990218812052</v>
      </c>
      <c r="E3633">
        <v>6</v>
      </c>
      <c r="F3633">
        <v>1.01722196789785</v>
      </c>
      <c r="G3633" t="s">
        <v>81</v>
      </c>
      <c r="H3633" t="s">
        <v>84</v>
      </c>
      <c r="I3633">
        <v>0</v>
      </c>
      <c r="J3633">
        <v>483</v>
      </c>
      <c r="K3633">
        <v>0</v>
      </c>
    </row>
    <row r="3634" spans="1:11" x14ac:dyDescent="0.25">
      <c r="A3634" t="s">
        <v>82</v>
      </c>
    </row>
    <row r="3635" spans="1:11" x14ac:dyDescent="0.25">
      <c r="A3635">
        <v>98.893511389132897</v>
      </c>
      <c r="B3635">
        <v>6.3906667022877404</v>
      </c>
      <c r="C3635">
        <v>2000</v>
      </c>
    </row>
    <row r="3636" spans="1:11" x14ac:dyDescent="0.25">
      <c r="A3636">
        <v>92.502844686845094</v>
      </c>
      <c r="B3636">
        <v>0</v>
      </c>
      <c r="C3636">
        <v>2000</v>
      </c>
    </row>
    <row r="3637" spans="1:11" x14ac:dyDescent="0.25">
      <c r="A3637">
        <v>91.628812637947505</v>
      </c>
      <c r="B3637">
        <v>0</v>
      </c>
      <c r="C3637">
        <v>2001</v>
      </c>
    </row>
    <row r="3638" spans="1:11" x14ac:dyDescent="0.25">
      <c r="A3638">
        <v>98.382353058928203</v>
      </c>
      <c r="B3638">
        <v>6.7535404209807401</v>
      </c>
      <c r="C3638">
        <v>2001</v>
      </c>
    </row>
    <row r="3639" spans="1:11" x14ac:dyDescent="0.25">
      <c r="A3639">
        <v>99.762235461627995</v>
      </c>
      <c r="B3639">
        <v>8.1334228236804798</v>
      </c>
      <c r="C3639">
        <v>2001</v>
      </c>
    </row>
    <row r="3640" spans="1:11" x14ac:dyDescent="0.25">
      <c r="A3640">
        <v>100.199251486077</v>
      </c>
      <c r="B3640">
        <v>7.69640679923166</v>
      </c>
      <c r="C3640">
        <v>2000</v>
      </c>
    </row>
    <row r="3641" spans="1:11" x14ac:dyDescent="0.25">
      <c r="A3641" t="s">
        <v>83</v>
      </c>
    </row>
    <row r="3642" spans="1:11" x14ac:dyDescent="0.25">
      <c r="A3642">
        <v>326</v>
      </c>
      <c r="B3642">
        <v>0</v>
      </c>
      <c r="C3642">
        <v>10.3763053494805</v>
      </c>
      <c r="D3642">
        <v>0.67055621194805304</v>
      </c>
      <c r="E3642">
        <v>6</v>
      </c>
      <c r="F3642">
        <v>1.5707963267949001</v>
      </c>
      <c r="G3642" t="s">
        <v>84</v>
      </c>
      <c r="H3642" t="s">
        <v>81</v>
      </c>
      <c r="I3642">
        <v>324</v>
      </c>
      <c r="J3642">
        <v>0</v>
      </c>
      <c r="K3642">
        <v>0</v>
      </c>
    </row>
    <row r="3643" spans="1:11" x14ac:dyDescent="0.25">
      <c r="A3643" t="s">
        <v>82</v>
      </c>
    </row>
    <row r="3644" spans="1:11" x14ac:dyDescent="0.25">
      <c r="A3644">
        <v>74.526992044191402</v>
      </c>
      <c r="B3644">
        <v>149.525845155365</v>
      </c>
      <c r="C3644">
        <v>2000</v>
      </c>
    </row>
    <row r="3645" spans="1:11" x14ac:dyDescent="0.25">
      <c r="A3645">
        <v>67.189836167911395</v>
      </c>
      <c r="B3645">
        <v>142.188689279085</v>
      </c>
      <c r="C3645">
        <v>2000</v>
      </c>
    </row>
    <row r="3646" spans="1:11" x14ac:dyDescent="0.25">
      <c r="A3646">
        <v>67.189836167911395</v>
      </c>
      <c r="B3646">
        <v>142.188689279085</v>
      </c>
      <c r="C3646">
        <v>2001</v>
      </c>
    </row>
    <row r="3647" spans="1:11" x14ac:dyDescent="0.25">
      <c r="A3647">
        <v>74.526992044191402</v>
      </c>
      <c r="B3647">
        <v>149.525845155365</v>
      </c>
      <c r="C3647">
        <v>2001</v>
      </c>
    </row>
    <row r="3648" spans="1:11" x14ac:dyDescent="0.25">
      <c r="A3648">
        <v>75.001146888826597</v>
      </c>
      <c r="B3648">
        <v>150</v>
      </c>
      <c r="C3648">
        <v>2001</v>
      </c>
    </row>
    <row r="3649" spans="1:11" x14ac:dyDescent="0.25">
      <c r="A3649">
        <v>75.001146888826597</v>
      </c>
      <c r="B3649">
        <v>150</v>
      </c>
      <c r="C3649">
        <v>2000</v>
      </c>
    </row>
    <row r="3650" spans="1:11" x14ac:dyDescent="0.25">
      <c r="A3650" t="s">
        <v>83</v>
      </c>
    </row>
    <row r="3651" spans="1:11" x14ac:dyDescent="0.25">
      <c r="A3651">
        <v>37</v>
      </c>
      <c r="B3651">
        <v>0</v>
      </c>
      <c r="C3651">
        <v>1.6887964794305299</v>
      </c>
      <c r="D3651">
        <v>9.3160463023216806</v>
      </c>
      <c r="E3651">
        <v>6</v>
      </c>
      <c r="F3651">
        <v>1.01722196789785</v>
      </c>
      <c r="G3651" t="s">
        <v>81</v>
      </c>
      <c r="H3651" t="s">
        <v>84</v>
      </c>
      <c r="I3651">
        <v>0</v>
      </c>
      <c r="J3651">
        <v>751</v>
      </c>
      <c r="K3651">
        <v>0</v>
      </c>
    </row>
    <row r="3652" spans="1:11" x14ac:dyDescent="0.25">
      <c r="A3652" t="s">
        <v>82</v>
      </c>
    </row>
    <row r="3653" spans="1:11" x14ac:dyDescent="0.25">
      <c r="A3653">
        <v>1.16062733600404</v>
      </c>
      <c r="B3653">
        <v>31.6590772811183</v>
      </c>
      <c r="C3653">
        <v>2000</v>
      </c>
    </row>
    <row r="3654" spans="1:11" x14ac:dyDescent="0.25">
      <c r="A3654">
        <v>0</v>
      </c>
      <c r="B3654">
        <v>30.498449945114199</v>
      </c>
      <c r="C3654">
        <v>2000</v>
      </c>
    </row>
    <row r="3655" spans="1:11" x14ac:dyDescent="0.25">
      <c r="A3655">
        <v>0</v>
      </c>
      <c r="B3655">
        <v>29.624417896216599</v>
      </c>
      <c r="C3655">
        <v>2001</v>
      </c>
    </row>
    <row r="3656" spans="1:11" x14ac:dyDescent="0.25">
      <c r="A3656">
        <v>1.2276915492945499</v>
      </c>
      <c r="B3656">
        <v>30.8521094455111</v>
      </c>
      <c r="C3656">
        <v>2001</v>
      </c>
    </row>
    <row r="3657" spans="1:11" x14ac:dyDescent="0.25">
      <c r="A3657">
        <v>8.0001069690932294</v>
      </c>
      <c r="B3657">
        <v>37.624524865309802</v>
      </c>
      <c r="C3657">
        <v>2001</v>
      </c>
    </row>
    <row r="3658" spans="1:11" x14ac:dyDescent="0.25">
      <c r="A3658">
        <v>7.5630909446444097</v>
      </c>
      <c r="B3658">
        <v>38.061540889758597</v>
      </c>
      <c r="C3658">
        <v>2000</v>
      </c>
    </row>
    <row r="3659" spans="1:11" x14ac:dyDescent="0.25">
      <c r="A3659" t="s">
        <v>83</v>
      </c>
    </row>
    <row r="3660" spans="1:11" x14ac:dyDescent="0.25">
      <c r="A3660">
        <v>491</v>
      </c>
      <c r="B3660">
        <v>0</v>
      </c>
      <c r="C3660">
        <v>10.503408795983299</v>
      </c>
      <c r="D3660">
        <v>0</v>
      </c>
      <c r="E3660">
        <v>5</v>
      </c>
      <c r="F3660">
        <v>1.5707963267949001</v>
      </c>
      <c r="G3660" t="s">
        <v>81</v>
      </c>
      <c r="H3660" t="s">
        <v>84</v>
      </c>
      <c r="I3660">
        <v>0</v>
      </c>
      <c r="J3660">
        <v>482</v>
      </c>
      <c r="K3660">
        <v>0</v>
      </c>
    </row>
    <row r="3661" spans="1:11" x14ac:dyDescent="0.25">
      <c r="A3661" t="s">
        <v>82</v>
      </c>
    </row>
    <row r="3662" spans="1:11" x14ac:dyDescent="0.25">
      <c r="A3662">
        <v>70.640573718417699</v>
      </c>
      <c r="B3662">
        <v>7.4270315852142099</v>
      </c>
      <c r="C3662">
        <v>2000</v>
      </c>
    </row>
    <row r="3663" spans="1:11" x14ac:dyDescent="0.25">
      <c r="A3663">
        <v>63.213542133203497</v>
      </c>
      <c r="B3663">
        <v>0</v>
      </c>
      <c r="C3663">
        <v>2000</v>
      </c>
    </row>
    <row r="3664" spans="1:11" x14ac:dyDescent="0.25">
      <c r="A3664">
        <v>63.213542133203497</v>
      </c>
      <c r="B3664">
        <v>0</v>
      </c>
      <c r="C3664">
        <v>2001</v>
      </c>
    </row>
    <row r="3665" spans="1:11" x14ac:dyDescent="0.25">
      <c r="A3665">
        <v>70.640573718417699</v>
      </c>
      <c r="B3665">
        <v>7.4270315852142099</v>
      </c>
      <c r="C3665">
        <v>2001</v>
      </c>
    </row>
    <row r="3666" spans="1:11" x14ac:dyDescent="0.25">
      <c r="A3666">
        <v>70.640573718417699</v>
      </c>
      <c r="B3666">
        <v>7.4270315852142099</v>
      </c>
      <c r="C3666">
        <v>2000</v>
      </c>
    </row>
    <row r="3667" spans="1:11" x14ac:dyDescent="0.25">
      <c r="A3667" t="s">
        <v>83</v>
      </c>
    </row>
    <row r="3668" spans="1:11" x14ac:dyDescent="0.25">
      <c r="A3668">
        <v>653</v>
      </c>
      <c r="B3668">
        <v>0</v>
      </c>
      <c r="C3668">
        <v>10.3010664034055</v>
      </c>
      <c r="D3668">
        <v>0</v>
      </c>
      <c r="E3668">
        <v>5</v>
      </c>
      <c r="F3668">
        <v>1.5707963267949001</v>
      </c>
      <c r="G3668" t="s">
        <v>84</v>
      </c>
      <c r="H3668" t="s">
        <v>84</v>
      </c>
      <c r="I3668">
        <v>641</v>
      </c>
      <c r="J3668">
        <v>662</v>
      </c>
      <c r="K3668">
        <v>0</v>
      </c>
    </row>
    <row r="3669" spans="1:11" x14ac:dyDescent="0.25">
      <c r="A3669" t="s">
        <v>82</v>
      </c>
    </row>
    <row r="3670" spans="1:11" x14ac:dyDescent="0.25">
      <c r="A3670">
        <v>42.324145169613999</v>
      </c>
      <c r="B3670">
        <v>88.8394392159951</v>
      </c>
      <c r="C3670">
        <v>2000</v>
      </c>
    </row>
    <row r="3671" spans="1:11" x14ac:dyDescent="0.25">
      <c r="A3671">
        <v>35.040191262313002</v>
      </c>
      <c r="B3671">
        <v>81.555485308694102</v>
      </c>
      <c r="C3671">
        <v>2000</v>
      </c>
    </row>
    <row r="3672" spans="1:11" x14ac:dyDescent="0.25">
      <c r="A3672">
        <v>35.040191262313002</v>
      </c>
      <c r="B3672">
        <v>81.555485308694102</v>
      </c>
      <c r="C3672">
        <v>2001</v>
      </c>
    </row>
    <row r="3673" spans="1:11" x14ac:dyDescent="0.25">
      <c r="A3673">
        <v>42.324145169613999</v>
      </c>
      <c r="B3673">
        <v>88.8394392159951</v>
      </c>
      <c r="C3673">
        <v>2001</v>
      </c>
    </row>
    <row r="3674" spans="1:11" x14ac:dyDescent="0.25">
      <c r="A3674">
        <v>42.324145169613999</v>
      </c>
      <c r="B3674">
        <v>88.8394392159951</v>
      </c>
      <c r="C3674">
        <v>2000</v>
      </c>
    </row>
    <row r="3675" spans="1:11" x14ac:dyDescent="0.25">
      <c r="A3675" t="s">
        <v>83</v>
      </c>
    </row>
    <row r="3676" spans="1:11" x14ac:dyDescent="0.25">
      <c r="A3676">
        <v>563</v>
      </c>
      <c r="B3676">
        <v>0</v>
      </c>
      <c r="C3676">
        <v>10.259646405970299</v>
      </c>
      <c r="D3676">
        <v>0</v>
      </c>
      <c r="E3676">
        <v>7</v>
      </c>
      <c r="F3676">
        <v>1.5707963267949001</v>
      </c>
      <c r="G3676" t="s">
        <v>81</v>
      </c>
      <c r="H3676" t="s">
        <v>84</v>
      </c>
      <c r="I3676">
        <v>0</v>
      </c>
      <c r="J3676">
        <v>573</v>
      </c>
      <c r="K3676">
        <v>0</v>
      </c>
    </row>
    <row r="3677" spans="1:11" x14ac:dyDescent="0.25">
      <c r="A3677" t="s">
        <v>82</v>
      </c>
    </row>
    <row r="3678" spans="1:11" x14ac:dyDescent="0.25">
      <c r="A3678">
        <v>7.2546655462377903</v>
      </c>
      <c r="B3678">
        <v>102.425410913967</v>
      </c>
      <c r="C3678">
        <v>2000</v>
      </c>
    </row>
    <row r="3679" spans="1:11" x14ac:dyDescent="0.25">
      <c r="A3679">
        <v>4.8292546322705201</v>
      </c>
      <c r="B3679">
        <v>100</v>
      </c>
      <c r="C3679">
        <v>2000</v>
      </c>
    </row>
    <row r="3680" spans="1:11" x14ac:dyDescent="0.25">
      <c r="A3680">
        <v>0</v>
      </c>
      <c r="B3680">
        <v>95.170745367729495</v>
      </c>
      <c r="C3680">
        <v>2000</v>
      </c>
    </row>
    <row r="3681" spans="1:11" x14ac:dyDescent="0.25">
      <c r="A3681">
        <v>0</v>
      </c>
      <c r="B3681">
        <v>95.170745367729495</v>
      </c>
      <c r="C3681">
        <v>2001</v>
      </c>
    </row>
    <row r="3682" spans="1:11" x14ac:dyDescent="0.25">
      <c r="A3682">
        <v>4.8292546322705201</v>
      </c>
      <c r="B3682">
        <v>100</v>
      </c>
      <c r="C3682">
        <v>2001</v>
      </c>
    </row>
    <row r="3683" spans="1:11" x14ac:dyDescent="0.25">
      <c r="A3683">
        <v>7.2546655462377903</v>
      </c>
      <c r="B3683">
        <v>102.425410913967</v>
      </c>
      <c r="C3683">
        <v>2001</v>
      </c>
    </row>
    <row r="3684" spans="1:11" x14ac:dyDescent="0.25">
      <c r="A3684">
        <v>7.2546655462377903</v>
      </c>
      <c r="B3684">
        <v>102.425410913967</v>
      </c>
      <c r="C3684">
        <v>2000</v>
      </c>
    </row>
    <row r="3685" spans="1:11" x14ac:dyDescent="0.25">
      <c r="A3685" t="s">
        <v>83</v>
      </c>
    </row>
    <row r="3686" spans="1:11" x14ac:dyDescent="0.25">
      <c r="A3686">
        <v>484</v>
      </c>
      <c r="B3686">
        <v>0</v>
      </c>
      <c r="C3686">
        <v>10.209924616305999</v>
      </c>
      <c r="D3686">
        <v>0</v>
      </c>
      <c r="E3686">
        <v>7</v>
      </c>
      <c r="F3686">
        <v>1.5707963267949001</v>
      </c>
      <c r="G3686" t="s">
        <v>81</v>
      </c>
      <c r="H3686" t="s">
        <v>84</v>
      </c>
      <c r="I3686">
        <v>0</v>
      </c>
      <c r="J3686">
        <v>498</v>
      </c>
      <c r="K3686">
        <v>0</v>
      </c>
    </row>
    <row r="3687" spans="1:11" x14ac:dyDescent="0.25">
      <c r="A3687" t="s">
        <v>82</v>
      </c>
    </row>
    <row r="3688" spans="1:11" x14ac:dyDescent="0.25">
      <c r="A3688">
        <v>50.979411846948501</v>
      </c>
      <c r="B3688">
        <v>7.2195069315934299</v>
      </c>
      <c r="C3688">
        <v>2000</v>
      </c>
    </row>
    <row r="3689" spans="1:11" x14ac:dyDescent="0.25">
      <c r="A3689">
        <v>50</v>
      </c>
      <c r="B3689">
        <v>6.2400950846449197</v>
      </c>
      <c r="C3689">
        <v>2000</v>
      </c>
    </row>
    <row r="3690" spans="1:11" x14ac:dyDescent="0.25">
      <c r="A3690">
        <v>43.759904915355101</v>
      </c>
      <c r="B3690">
        <v>0</v>
      </c>
      <c r="C3690">
        <v>2000</v>
      </c>
    </row>
    <row r="3691" spans="1:11" x14ac:dyDescent="0.25">
      <c r="A3691">
        <v>43.759904915355101</v>
      </c>
      <c r="B3691">
        <v>0</v>
      </c>
      <c r="C3691">
        <v>2001</v>
      </c>
    </row>
    <row r="3692" spans="1:11" x14ac:dyDescent="0.25">
      <c r="A3692">
        <v>50</v>
      </c>
      <c r="B3692">
        <v>6.2400950846449197</v>
      </c>
      <c r="C3692">
        <v>2001</v>
      </c>
    </row>
    <row r="3693" spans="1:11" x14ac:dyDescent="0.25">
      <c r="A3693">
        <v>50.979411846948501</v>
      </c>
      <c r="B3693">
        <v>7.2195069315934299</v>
      </c>
      <c r="C3693">
        <v>2001</v>
      </c>
    </row>
    <row r="3694" spans="1:11" x14ac:dyDescent="0.25">
      <c r="A3694">
        <v>50.979411846948501</v>
      </c>
      <c r="B3694">
        <v>7.2195069315934299</v>
      </c>
      <c r="C3694">
        <v>2000</v>
      </c>
    </row>
    <row r="3695" spans="1:11" x14ac:dyDescent="0.25">
      <c r="A3695" t="s">
        <v>83</v>
      </c>
    </row>
    <row r="3696" spans="1:11" x14ac:dyDescent="0.25">
      <c r="A3696">
        <v>648</v>
      </c>
      <c r="B3696">
        <v>0</v>
      </c>
      <c r="C3696">
        <v>0</v>
      </c>
      <c r="D3696">
        <v>9.9657352360486993</v>
      </c>
      <c r="E3696">
        <v>8</v>
      </c>
      <c r="F3696">
        <v>1.5707963267949001</v>
      </c>
      <c r="G3696" t="s">
        <v>84</v>
      </c>
      <c r="H3696" t="s">
        <v>84</v>
      </c>
      <c r="I3696">
        <v>644</v>
      </c>
      <c r="J3696">
        <v>334</v>
      </c>
      <c r="K3696">
        <v>0</v>
      </c>
    </row>
    <row r="3697" spans="1:11" x14ac:dyDescent="0.25">
      <c r="A3697" t="s">
        <v>82</v>
      </c>
    </row>
    <row r="3698" spans="1:11" x14ac:dyDescent="0.25">
      <c r="A3698">
        <v>43.316397638207498</v>
      </c>
      <c r="B3698">
        <v>97.817339316391099</v>
      </c>
      <c r="C3698">
        <v>2000</v>
      </c>
    </row>
    <row r="3699" spans="1:11" x14ac:dyDescent="0.25">
      <c r="A3699">
        <v>43.316397638207498</v>
      </c>
      <c r="B3699">
        <v>97.817339316391099</v>
      </c>
      <c r="C3699">
        <v>2001</v>
      </c>
    </row>
    <row r="3700" spans="1:11" x14ac:dyDescent="0.25">
      <c r="A3700">
        <v>45.499058321816399</v>
      </c>
      <c r="B3700">
        <v>100</v>
      </c>
      <c r="C3700">
        <v>2001</v>
      </c>
    </row>
    <row r="3701" spans="1:11" x14ac:dyDescent="0.25">
      <c r="A3701">
        <v>50</v>
      </c>
      <c r="B3701">
        <v>104.50094167818401</v>
      </c>
      <c r="C3701">
        <v>2001</v>
      </c>
    </row>
    <row r="3702" spans="1:11" x14ac:dyDescent="0.25">
      <c r="A3702">
        <v>50.363236603127199</v>
      </c>
      <c r="B3702">
        <v>104.864178281311</v>
      </c>
      <c r="C3702">
        <v>2001</v>
      </c>
    </row>
    <row r="3703" spans="1:11" x14ac:dyDescent="0.25">
      <c r="A3703">
        <v>50.363236603127199</v>
      </c>
      <c r="B3703">
        <v>104.864178281311</v>
      </c>
      <c r="C3703">
        <v>2000</v>
      </c>
    </row>
    <row r="3704" spans="1:11" x14ac:dyDescent="0.25">
      <c r="A3704">
        <v>50</v>
      </c>
      <c r="B3704">
        <v>104.50094167818401</v>
      </c>
      <c r="C3704">
        <v>2000</v>
      </c>
    </row>
    <row r="3705" spans="1:11" x14ac:dyDescent="0.25">
      <c r="A3705">
        <v>45.499058321816399</v>
      </c>
      <c r="B3705">
        <v>100</v>
      </c>
      <c r="C3705">
        <v>2000</v>
      </c>
    </row>
    <row r="3706" spans="1:11" x14ac:dyDescent="0.25">
      <c r="A3706" t="s">
        <v>83</v>
      </c>
    </row>
    <row r="3707" spans="1:11" x14ac:dyDescent="0.25">
      <c r="A3707">
        <v>258</v>
      </c>
      <c r="B3707">
        <v>0</v>
      </c>
      <c r="C3707">
        <v>9.9657352360465605</v>
      </c>
      <c r="D3707">
        <v>0</v>
      </c>
      <c r="E3707">
        <v>7</v>
      </c>
      <c r="F3707">
        <v>1.5707963267949001</v>
      </c>
      <c r="G3707" t="s">
        <v>84</v>
      </c>
      <c r="H3707" t="s">
        <v>84</v>
      </c>
      <c r="I3707">
        <v>499</v>
      </c>
      <c r="J3707">
        <v>175</v>
      </c>
      <c r="K3707">
        <v>0</v>
      </c>
    </row>
    <row r="3708" spans="1:11" x14ac:dyDescent="0.25">
      <c r="A3708" t="s">
        <v>82</v>
      </c>
    </row>
    <row r="3709" spans="1:11" x14ac:dyDescent="0.25">
      <c r="A3709">
        <v>106.467394638559</v>
      </c>
      <c r="B3709">
        <v>29.769190216795199</v>
      </c>
      <c r="C3709">
        <v>2000</v>
      </c>
    </row>
    <row r="3710" spans="1:11" x14ac:dyDescent="0.25">
      <c r="A3710">
        <v>100</v>
      </c>
      <c r="B3710">
        <v>23.3017955782366</v>
      </c>
      <c r="C3710">
        <v>2000</v>
      </c>
    </row>
    <row r="3711" spans="1:11" x14ac:dyDescent="0.25">
      <c r="A3711">
        <v>99.420555673640294</v>
      </c>
      <c r="B3711">
        <v>22.722351251876901</v>
      </c>
      <c r="C3711">
        <v>2000</v>
      </c>
    </row>
    <row r="3712" spans="1:11" x14ac:dyDescent="0.25">
      <c r="A3712">
        <v>99.420555673640294</v>
      </c>
      <c r="B3712">
        <v>22.722351251876901</v>
      </c>
      <c r="C3712">
        <v>2001</v>
      </c>
    </row>
    <row r="3713" spans="1:11" x14ac:dyDescent="0.25">
      <c r="A3713">
        <v>100</v>
      </c>
      <c r="B3713">
        <v>23.3017955782366</v>
      </c>
      <c r="C3713">
        <v>2001</v>
      </c>
    </row>
    <row r="3714" spans="1:11" x14ac:dyDescent="0.25">
      <c r="A3714">
        <v>106.467394638559</v>
      </c>
      <c r="B3714">
        <v>29.769190216795199</v>
      </c>
      <c r="C3714">
        <v>2001</v>
      </c>
    </row>
    <row r="3715" spans="1:11" x14ac:dyDescent="0.25">
      <c r="A3715">
        <v>106.467394638559</v>
      </c>
      <c r="B3715">
        <v>29.769190216795199</v>
      </c>
      <c r="C3715">
        <v>2000</v>
      </c>
    </row>
    <row r="3716" spans="1:11" x14ac:dyDescent="0.25">
      <c r="A3716" t="s">
        <v>83</v>
      </c>
    </row>
    <row r="3717" spans="1:11" x14ac:dyDescent="0.25">
      <c r="A3717">
        <v>329</v>
      </c>
      <c r="B3717">
        <v>0</v>
      </c>
      <c r="C3717">
        <v>0</v>
      </c>
      <c r="D3717">
        <v>9.9657352360430291</v>
      </c>
      <c r="E3717">
        <v>4</v>
      </c>
      <c r="F3717">
        <v>1.5707963267949001</v>
      </c>
      <c r="G3717" t="s">
        <v>84</v>
      </c>
      <c r="H3717" t="s">
        <v>84</v>
      </c>
      <c r="I3717">
        <v>668</v>
      </c>
      <c r="J3717">
        <v>326</v>
      </c>
      <c r="K3717">
        <v>0</v>
      </c>
    </row>
    <row r="3718" spans="1:11" x14ac:dyDescent="0.25">
      <c r="A3718" t="s">
        <v>82</v>
      </c>
    </row>
    <row r="3719" spans="1:11" x14ac:dyDescent="0.25">
      <c r="A3719">
        <v>59.211094600246803</v>
      </c>
      <c r="B3719">
        <v>136.07375291691801</v>
      </c>
      <c r="C3719">
        <v>2000</v>
      </c>
    </row>
    <row r="3720" spans="1:11" x14ac:dyDescent="0.25">
      <c r="A3720">
        <v>59.211094600246803</v>
      </c>
      <c r="B3720">
        <v>136.07375291691801</v>
      </c>
      <c r="C3720">
        <v>2001</v>
      </c>
    </row>
    <row r="3721" spans="1:11" x14ac:dyDescent="0.25">
      <c r="A3721">
        <v>66.257933565162503</v>
      </c>
      <c r="B3721">
        <v>143.120591881834</v>
      </c>
      <c r="C3721">
        <v>2001</v>
      </c>
    </row>
    <row r="3722" spans="1:11" x14ac:dyDescent="0.25">
      <c r="A3722">
        <v>66.257933565162503</v>
      </c>
      <c r="B3722">
        <v>143.120591881834</v>
      </c>
      <c r="C3722">
        <v>2000</v>
      </c>
    </row>
    <row r="3723" spans="1:11" x14ac:dyDescent="0.25">
      <c r="A3723" t="s">
        <v>83</v>
      </c>
    </row>
    <row r="3724" spans="1:11" x14ac:dyDescent="0.25">
      <c r="A3724">
        <v>12</v>
      </c>
      <c r="B3724">
        <v>0</v>
      </c>
      <c r="C3724">
        <v>9.9657352360430291</v>
      </c>
      <c r="D3724">
        <v>0</v>
      </c>
      <c r="E3724">
        <v>5</v>
      </c>
      <c r="F3724">
        <v>1.5707963267949001</v>
      </c>
      <c r="G3724" t="s">
        <v>84</v>
      </c>
      <c r="H3724" t="s">
        <v>84</v>
      </c>
      <c r="I3724">
        <v>15</v>
      </c>
      <c r="J3724">
        <v>655</v>
      </c>
      <c r="K3724">
        <v>0</v>
      </c>
    </row>
    <row r="3725" spans="1:11" x14ac:dyDescent="0.25">
      <c r="A3725" t="s">
        <v>82</v>
      </c>
    </row>
    <row r="3726" spans="1:11" x14ac:dyDescent="0.25">
      <c r="A3726">
        <v>36.765862750711797</v>
      </c>
      <c r="B3726">
        <v>49.1379795242744</v>
      </c>
      <c r="C3726">
        <v>2000</v>
      </c>
    </row>
    <row r="3727" spans="1:11" x14ac:dyDescent="0.25">
      <c r="A3727">
        <v>29.719023785796001</v>
      </c>
      <c r="B3727">
        <v>42.0911405593586</v>
      </c>
      <c r="C3727">
        <v>2000</v>
      </c>
    </row>
    <row r="3728" spans="1:11" x14ac:dyDescent="0.25">
      <c r="A3728">
        <v>29.719023785796001</v>
      </c>
      <c r="B3728">
        <v>42.0911405593586</v>
      </c>
      <c r="C3728">
        <v>2001</v>
      </c>
    </row>
    <row r="3729" spans="1:11" x14ac:dyDescent="0.25">
      <c r="A3729">
        <v>36.765862750711797</v>
      </c>
      <c r="B3729">
        <v>49.1379795242744</v>
      </c>
      <c r="C3729">
        <v>2001</v>
      </c>
    </row>
    <row r="3730" spans="1:11" x14ac:dyDescent="0.25">
      <c r="A3730">
        <v>36.765862750711797</v>
      </c>
      <c r="B3730">
        <v>49.1379795242744</v>
      </c>
      <c r="C3730">
        <v>2000</v>
      </c>
    </row>
    <row r="3731" spans="1:11" x14ac:dyDescent="0.25">
      <c r="A3731" t="s">
        <v>83</v>
      </c>
    </row>
    <row r="3732" spans="1:11" x14ac:dyDescent="0.25">
      <c r="A3732">
        <v>754</v>
      </c>
      <c r="B3732">
        <v>0</v>
      </c>
      <c r="C3732">
        <v>9.3099402800992408</v>
      </c>
      <c r="D3732">
        <v>0.44762351887781898</v>
      </c>
      <c r="E3732">
        <v>6</v>
      </c>
      <c r="F3732">
        <v>1.5707963267949001</v>
      </c>
      <c r="G3732" t="s">
        <v>84</v>
      </c>
      <c r="H3732" t="s">
        <v>84</v>
      </c>
      <c r="I3732">
        <v>493</v>
      </c>
      <c r="J3732">
        <v>169</v>
      </c>
      <c r="K3732">
        <v>0.38517947599598501</v>
      </c>
    </row>
    <row r="3733" spans="1:11" x14ac:dyDescent="0.25">
      <c r="A3733" t="s">
        <v>82</v>
      </c>
    </row>
    <row r="3734" spans="1:11" x14ac:dyDescent="0.25">
      <c r="A3734">
        <v>98.594134079103398</v>
      </c>
      <c r="B3734">
        <v>68.387097466451607</v>
      </c>
      <c r="C3734">
        <v>2000</v>
      </c>
    </row>
    <row r="3735" spans="1:11" x14ac:dyDescent="0.25">
      <c r="A3735">
        <v>92.011012174603493</v>
      </c>
      <c r="B3735">
        <v>61.803975561951702</v>
      </c>
      <c r="C3735">
        <v>2000</v>
      </c>
    </row>
    <row r="3736" spans="1:11" x14ac:dyDescent="0.25">
      <c r="A3736">
        <v>92.011012174603493</v>
      </c>
      <c r="B3736">
        <v>61.803975561951702</v>
      </c>
      <c r="C3736">
        <v>2001</v>
      </c>
    </row>
    <row r="3737" spans="1:11" x14ac:dyDescent="0.25">
      <c r="A3737">
        <v>98.594134079103398</v>
      </c>
      <c r="B3737">
        <v>68.387097466451607</v>
      </c>
      <c r="C3737">
        <v>2001</v>
      </c>
    </row>
    <row r="3738" spans="1:11" x14ac:dyDescent="0.25">
      <c r="A3738">
        <v>98.910651704720493</v>
      </c>
      <c r="B3738">
        <v>68.703615092068702</v>
      </c>
      <c r="C3738">
        <v>2001</v>
      </c>
    </row>
    <row r="3739" spans="1:11" x14ac:dyDescent="0.25">
      <c r="A3739">
        <v>98.910651704720493</v>
      </c>
      <c r="B3739">
        <v>68.703615092068702</v>
      </c>
      <c r="C3739">
        <v>2000</v>
      </c>
    </row>
    <row r="3740" spans="1:11" x14ac:dyDescent="0.25">
      <c r="A3740" t="s">
        <v>83</v>
      </c>
    </row>
    <row r="3741" spans="1:11" x14ac:dyDescent="0.25">
      <c r="A3741">
        <v>565</v>
      </c>
      <c r="B3741">
        <v>0</v>
      </c>
      <c r="C3741">
        <v>9.4408678129034307</v>
      </c>
      <c r="D3741">
        <v>0</v>
      </c>
      <c r="E3741">
        <v>5</v>
      </c>
      <c r="F3741">
        <v>1.5707963267949001</v>
      </c>
      <c r="G3741" t="s">
        <v>84</v>
      </c>
      <c r="H3741" t="s">
        <v>84</v>
      </c>
      <c r="I3741">
        <v>572</v>
      </c>
      <c r="J3741">
        <v>583</v>
      </c>
      <c r="K3741">
        <v>0</v>
      </c>
    </row>
    <row r="3742" spans="1:11" x14ac:dyDescent="0.25">
      <c r="A3742" t="s">
        <v>82</v>
      </c>
    </row>
    <row r="3743" spans="1:11" x14ac:dyDescent="0.25">
      <c r="A3743">
        <v>20.957208981717599</v>
      </c>
      <c r="B3743">
        <v>128.014740186285</v>
      </c>
      <c r="C3743">
        <v>2000</v>
      </c>
    </row>
    <row r="3744" spans="1:11" x14ac:dyDescent="0.25">
      <c r="A3744">
        <v>14.281507330927701</v>
      </c>
      <c r="B3744">
        <v>121.33903853549501</v>
      </c>
      <c r="C3744">
        <v>2000</v>
      </c>
    </row>
    <row r="3745" spans="1:11" x14ac:dyDescent="0.25">
      <c r="A3745">
        <v>14.281507330927701</v>
      </c>
      <c r="B3745">
        <v>121.33903853549501</v>
      </c>
      <c r="C3745">
        <v>2001</v>
      </c>
    </row>
    <row r="3746" spans="1:11" x14ac:dyDescent="0.25">
      <c r="A3746">
        <v>20.957208981717599</v>
      </c>
      <c r="B3746">
        <v>128.014740186285</v>
      </c>
      <c r="C3746">
        <v>2001</v>
      </c>
    </row>
    <row r="3747" spans="1:11" x14ac:dyDescent="0.25">
      <c r="A3747">
        <v>20.957208981717599</v>
      </c>
      <c r="B3747">
        <v>128.014740186285</v>
      </c>
      <c r="C3747">
        <v>2000</v>
      </c>
    </row>
    <row r="3748" spans="1:11" x14ac:dyDescent="0.25">
      <c r="A3748" t="s">
        <v>83</v>
      </c>
    </row>
    <row r="3749" spans="1:11" x14ac:dyDescent="0.25">
      <c r="A3749">
        <v>647</v>
      </c>
      <c r="B3749">
        <v>0</v>
      </c>
      <c r="C3749">
        <v>7.33706792472291</v>
      </c>
      <c r="D3749">
        <v>2.09595595922092</v>
      </c>
      <c r="E3749">
        <v>8</v>
      </c>
      <c r="F3749">
        <v>1.5707963267949001</v>
      </c>
      <c r="G3749" t="s">
        <v>84</v>
      </c>
      <c r="H3749" t="s">
        <v>84</v>
      </c>
      <c r="I3749">
        <v>2</v>
      </c>
      <c r="J3749">
        <v>652</v>
      </c>
      <c r="K3749">
        <v>0</v>
      </c>
    </row>
    <row r="3750" spans="1:11" x14ac:dyDescent="0.25">
      <c r="A3750" t="s">
        <v>82</v>
      </c>
    </row>
    <row r="3751" spans="1:11" x14ac:dyDescent="0.25">
      <c r="A3751">
        <v>17.883276423850699</v>
      </c>
      <c r="B3751">
        <v>54.362054322549199</v>
      </c>
      <c r="C3751">
        <v>2000</v>
      </c>
    </row>
    <row r="3752" spans="1:11" x14ac:dyDescent="0.25">
      <c r="A3752">
        <v>13.5212221013015</v>
      </c>
      <c r="B3752">
        <v>50</v>
      </c>
      <c r="C3752">
        <v>2000</v>
      </c>
    </row>
    <row r="3753" spans="1:11" x14ac:dyDescent="0.25">
      <c r="A3753">
        <v>12.6951859402528</v>
      </c>
      <c r="B3753">
        <v>49.173963838951302</v>
      </c>
      <c r="C3753">
        <v>2000</v>
      </c>
    </row>
    <row r="3754" spans="1:11" x14ac:dyDescent="0.25">
      <c r="A3754">
        <v>12.6951859402528</v>
      </c>
      <c r="B3754">
        <v>49.173963838951302</v>
      </c>
      <c r="C3754">
        <v>2001</v>
      </c>
    </row>
    <row r="3755" spans="1:11" x14ac:dyDescent="0.25">
      <c r="A3755">
        <v>13.5212221013015</v>
      </c>
      <c r="B3755">
        <v>50</v>
      </c>
      <c r="C3755">
        <v>2001</v>
      </c>
    </row>
    <row r="3756" spans="1:11" x14ac:dyDescent="0.25">
      <c r="A3756">
        <v>17.883276423850699</v>
      </c>
      <c r="B3756">
        <v>54.362054322549199</v>
      </c>
      <c r="C3756">
        <v>2001</v>
      </c>
    </row>
    <row r="3757" spans="1:11" x14ac:dyDescent="0.25">
      <c r="A3757">
        <v>19.365341095684101</v>
      </c>
      <c r="B3757">
        <v>55.844118994382598</v>
      </c>
      <c r="C3757">
        <v>2001</v>
      </c>
    </row>
    <row r="3758" spans="1:11" x14ac:dyDescent="0.25">
      <c r="A3758">
        <v>19.365341095684101</v>
      </c>
      <c r="B3758">
        <v>55.844118994382598</v>
      </c>
      <c r="C3758">
        <v>2000</v>
      </c>
    </row>
    <row r="3759" spans="1:11" x14ac:dyDescent="0.25">
      <c r="A3759" t="s">
        <v>83</v>
      </c>
    </row>
    <row r="3760" spans="1:11" x14ac:dyDescent="0.25">
      <c r="A3760">
        <v>260</v>
      </c>
      <c r="B3760">
        <v>0</v>
      </c>
      <c r="C3760">
        <v>0</v>
      </c>
      <c r="D3760">
        <v>9.3809487563440701</v>
      </c>
      <c r="E3760">
        <v>4</v>
      </c>
      <c r="F3760">
        <v>1.5707963267949001</v>
      </c>
      <c r="G3760" t="s">
        <v>84</v>
      </c>
      <c r="H3760" t="s">
        <v>81</v>
      </c>
      <c r="I3760">
        <v>280</v>
      </c>
      <c r="J3760">
        <v>0</v>
      </c>
      <c r="K3760">
        <v>0</v>
      </c>
    </row>
    <row r="3761" spans="1:11" x14ac:dyDescent="0.25">
      <c r="A3761" t="s">
        <v>82</v>
      </c>
    </row>
    <row r="3762" spans="1:11" x14ac:dyDescent="0.25">
      <c r="A3762">
        <v>143.36666752042601</v>
      </c>
      <c r="B3762">
        <v>29.764779566211999</v>
      </c>
      <c r="C3762">
        <v>2000</v>
      </c>
    </row>
    <row r="3763" spans="1:11" x14ac:dyDescent="0.25">
      <c r="A3763">
        <v>143.36666752042601</v>
      </c>
      <c r="B3763">
        <v>29.764779566211999</v>
      </c>
      <c r="C3763">
        <v>2001</v>
      </c>
    </row>
    <row r="3764" spans="1:11" x14ac:dyDescent="0.25">
      <c r="A3764">
        <v>150</v>
      </c>
      <c r="B3764">
        <v>36.398112045786398</v>
      </c>
      <c r="C3764">
        <v>2001</v>
      </c>
    </row>
    <row r="3765" spans="1:11" x14ac:dyDescent="0.25">
      <c r="A3765">
        <v>150</v>
      </c>
      <c r="B3765">
        <v>36.398112045786398</v>
      </c>
      <c r="C3765">
        <v>2000</v>
      </c>
    </row>
    <row r="3766" spans="1:11" x14ac:dyDescent="0.25">
      <c r="A3766" t="s">
        <v>83</v>
      </c>
    </row>
    <row r="3767" spans="1:11" x14ac:dyDescent="0.25">
      <c r="A3767">
        <v>738</v>
      </c>
      <c r="B3767">
        <v>0</v>
      </c>
      <c r="C3767">
        <v>7.4561892435391899</v>
      </c>
      <c r="D3767">
        <v>1.86254661554342</v>
      </c>
      <c r="E3767">
        <v>8</v>
      </c>
      <c r="F3767">
        <v>1.01722196789785</v>
      </c>
      <c r="G3767" t="s">
        <v>81</v>
      </c>
      <c r="H3767" t="s">
        <v>84</v>
      </c>
      <c r="I3767">
        <v>0</v>
      </c>
      <c r="J3767">
        <v>582</v>
      </c>
      <c r="K3767">
        <v>0.13295790203782501</v>
      </c>
    </row>
    <row r="3768" spans="1:11" x14ac:dyDescent="0.25">
      <c r="A3768" t="s">
        <v>82</v>
      </c>
    </row>
    <row r="3769" spans="1:11" x14ac:dyDescent="0.25">
      <c r="A3769">
        <v>5.4595057988609801</v>
      </c>
      <c r="B3769">
        <v>101.52388359853001</v>
      </c>
      <c r="C3769">
        <v>2000</v>
      </c>
    </row>
    <row r="3770" spans="1:11" x14ac:dyDescent="0.25">
      <c r="A3770">
        <v>3.64360367120576</v>
      </c>
      <c r="B3770">
        <v>99.707981470874898</v>
      </c>
      <c r="C3770">
        <v>2000</v>
      </c>
    </row>
    <row r="3771" spans="1:11" x14ac:dyDescent="0.25">
      <c r="A3771">
        <v>0</v>
      </c>
      <c r="B3771">
        <v>96.064377799669103</v>
      </c>
      <c r="C3771">
        <v>2000</v>
      </c>
    </row>
    <row r="3772" spans="1:11" x14ac:dyDescent="0.25">
      <c r="A3772">
        <v>0</v>
      </c>
      <c r="B3772">
        <v>96.938409848566806</v>
      </c>
      <c r="C3772">
        <v>2001</v>
      </c>
    </row>
    <row r="3773" spans="1:11" x14ac:dyDescent="0.25">
      <c r="A3773">
        <v>3.35360868055835</v>
      </c>
      <c r="B3773">
        <v>100.292018529125</v>
      </c>
      <c r="C3773">
        <v>2001</v>
      </c>
    </row>
    <row r="3774" spans="1:11" x14ac:dyDescent="0.25">
      <c r="A3774">
        <v>5.0851381529725197</v>
      </c>
      <c r="B3774">
        <v>102.023548001539</v>
      </c>
      <c r="C3774">
        <v>2001</v>
      </c>
    </row>
    <row r="3775" spans="1:11" x14ac:dyDescent="0.25">
      <c r="A3775">
        <v>6.3708333058191497</v>
      </c>
      <c r="B3775">
        <v>103.309243154386</v>
      </c>
      <c r="C3775">
        <v>2001</v>
      </c>
    </row>
    <row r="3776" spans="1:11" x14ac:dyDescent="0.25">
      <c r="A3776">
        <v>6.8078493302679703</v>
      </c>
      <c r="B3776">
        <v>102.872227129937</v>
      </c>
      <c r="C3776">
        <v>2000</v>
      </c>
    </row>
    <row r="3777" spans="1:11" x14ac:dyDescent="0.25">
      <c r="A3777" t="s">
        <v>83</v>
      </c>
    </row>
    <row r="3778" spans="1:11" x14ac:dyDescent="0.25">
      <c r="A3778">
        <v>82</v>
      </c>
      <c r="B3778">
        <v>0</v>
      </c>
      <c r="C3778">
        <v>8.6000108865205096</v>
      </c>
      <c r="D3778">
        <v>0</v>
      </c>
      <c r="E3778">
        <v>7</v>
      </c>
      <c r="F3778">
        <v>1.5707963267949001</v>
      </c>
      <c r="G3778" t="s">
        <v>84</v>
      </c>
      <c r="H3778" t="s">
        <v>84</v>
      </c>
      <c r="I3778">
        <v>497</v>
      </c>
      <c r="J3778">
        <v>106</v>
      </c>
      <c r="K3778">
        <v>0</v>
      </c>
    </row>
    <row r="3779" spans="1:11" x14ac:dyDescent="0.25">
      <c r="A3779" t="s">
        <v>82</v>
      </c>
    </row>
    <row r="3780" spans="1:11" x14ac:dyDescent="0.25">
      <c r="A3780">
        <v>68.503736841261301</v>
      </c>
      <c r="B3780">
        <v>51.581900672326803</v>
      </c>
      <c r="C3780">
        <v>2000</v>
      </c>
    </row>
    <row r="3781" spans="1:11" x14ac:dyDescent="0.25">
      <c r="A3781">
        <v>66.921836168934504</v>
      </c>
      <c r="B3781">
        <v>50</v>
      </c>
      <c r="C3781">
        <v>2000</v>
      </c>
    </row>
    <row r="3782" spans="1:11" x14ac:dyDescent="0.25">
      <c r="A3782">
        <v>62.422610825124501</v>
      </c>
      <c r="B3782">
        <v>45.500774656190003</v>
      </c>
      <c r="C3782">
        <v>2000</v>
      </c>
    </row>
    <row r="3783" spans="1:11" x14ac:dyDescent="0.25">
      <c r="A3783">
        <v>62.422610825124501</v>
      </c>
      <c r="B3783">
        <v>45.500774656190003</v>
      </c>
      <c r="C3783">
        <v>2001</v>
      </c>
    </row>
    <row r="3784" spans="1:11" x14ac:dyDescent="0.25">
      <c r="A3784">
        <v>66.921836168934504</v>
      </c>
      <c r="B3784">
        <v>50</v>
      </c>
      <c r="C3784">
        <v>2001</v>
      </c>
    </row>
    <row r="3785" spans="1:11" x14ac:dyDescent="0.25">
      <c r="A3785">
        <v>68.503736841261301</v>
      </c>
      <c r="B3785">
        <v>51.581900672326803</v>
      </c>
      <c r="C3785">
        <v>2001</v>
      </c>
    </row>
    <row r="3786" spans="1:11" x14ac:dyDescent="0.25">
      <c r="A3786">
        <v>68.503736841261301</v>
      </c>
      <c r="B3786">
        <v>51.581900672326803</v>
      </c>
      <c r="C3786">
        <v>2000</v>
      </c>
    </row>
    <row r="3787" spans="1:11" x14ac:dyDescent="0.25">
      <c r="A3787" t="s">
        <v>83</v>
      </c>
    </row>
    <row r="3788" spans="1:11" x14ac:dyDescent="0.25">
      <c r="A3788">
        <v>580</v>
      </c>
      <c r="B3788">
        <v>0</v>
      </c>
      <c r="C3788">
        <v>8.5418299953946804</v>
      </c>
      <c r="D3788">
        <v>0</v>
      </c>
      <c r="E3788">
        <v>5</v>
      </c>
      <c r="F3788">
        <v>1.5707963267949001</v>
      </c>
      <c r="G3788" t="s">
        <v>84</v>
      </c>
      <c r="H3788" t="s">
        <v>84</v>
      </c>
      <c r="I3788">
        <v>577</v>
      </c>
      <c r="J3788">
        <v>595</v>
      </c>
      <c r="K3788">
        <v>0</v>
      </c>
    </row>
    <row r="3789" spans="1:11" x14ac:dyDescent="0.25">
      <c r="A3789" t="s">
        <v>82</v>
      </c>
    </row>
    <row r="3790" spans="1:11" x14ac:dyDescent="0.25">
      <c r="A3790">
        <v>29.9678944074399</v>
      </c>
      <c r="B3790">
        <v>134.54636407995</v>
      </c>
      <c r="C3790">
        <v>2000</v>
      </c>
    </row>
    <row r="3791" spans="1:11" x14ac:dyDescent="0.25">
      <c r="A3791">
        <v>23.927908493953701</v>
      </c>
      <c r="B3791">
        <v>128.50637816646301</v>
      </c>
      <c r="C3791">
        <v>2000</v>
      </c>
    </row>
    <row r="3792" spans="1:11" x14ac:dyDescent="0.25">
      <c r="A3792">
        <v>23.927908493953701</v>
      </c>
      <c r="B3792">
        <v>128.50637816646301</v>
      </c>
      <c r="C3792">
        <v>2001</v>
      </c>
    </row>
    <row r="3793" spans="1:11" x14ac:dyDescent="0.25">
      <c r="A3793">
        <v>29.9678944074399</v>
      </c>
      <c r="B3793">
        <v>134.54636407995</v>
      </c>
      <c r="C3793">
        <v>2001</v>
      </c>
    </row>
    <row r="3794" spans="1:11" x14ac:dyDescent="0.25">
      <c r="A3794">
        <v>29.9678944074399</v>
      </c>
      <c r="B3794">
        <v>134.54636407995</v>
      </c>
      <c r="C3794">
        <v>2000</v>
      </c>
    </row>
    <row r="3795" spans="1:11" x14ac:dyDescent="0.25">
      <c r="A3795" t="s">
        <v>83</v>
      </c>
    </row>
    <row r="3796" spans="1:11" x14ac:dyDescent="0.25">
      <c r="A3796">
        <v>599</v>
      </c>
      <c r="B3796">
        <v>0</v>
      </c>
      <c r="C3796">
        <v>4.1287548084132197</v>
      </c>
      <c r="D3796">
        <v>4.22343502889888</v>
      </c>
      <c r="E3796">
        <v>6</v>
      </c>
      <c r="F3796">
        <v>1.01722196789785</v>
      </c>
      <c r="G3796" t="s">
        <v>84</v>
      </c>
      <c r="H3796" t="s">
        <v>84</v>
      </c>
      <c r="I3796">
        <v>595</v>
      </c>
      <c r="J3796">
        <v>600</v>
      </c>
      <c r="K3796">
        <v>0</v>
      </c>
    </row>
    <row r="3797" spans="1:11" x14ac:dyDescent="0.25">
      <c r="A3797" t="s">
        <v>82</v>
      </c>
    </row>
    <row r="3798" spans="1:11" x14ac:dyDescent="0.25">
      <c r="A3798">
        <v>38.248906492367098</v>
      </c>
      <c r="B3798">
        <v>142.70990762613701</v>
      </c>
      <c r="C3798">
        <v>2000</v>
      </c>
    </row>
    <row r="3799" spans="1:11" x14ac:dyDescent="0.25">
      <c r="A3799">
        <v>35.329435969481501</v>
      </c>
      <c r="B3799">
        <v>139.79043710325101</v>
      </c>
      <c r="C3799">
        <v>2000</v>
      </c>
    </row>
    <row r="3800" spans="1:11" x14ac:dyDescent="0.25">
      <c r="A3800">
        <v>34.8924199450327</v>
      </c>
      <c r="B3800">
        <v>140.22745312769999</v>
      </c>
      <c r="C3800">
        <v>2001</v>
      </c>
    </row>
    <row r="3801" spans="1:11" x14ac:dyDescent="0.25">
      <c r="A3801">
        <v>37.811890467918197</v>
      </c>
      <c r="B3801">
        <v>143.14692365058599</v>
      </c>
      <c r="C3801">
        <v>2001</v>
      </c>
    </row>
    <row r="3802" spans="1:11" x14ac:dyDescent="0.25">
      <c r="A3802">
        <v>40.798310016753398</v>
      </c>
      <c r="B3802">
        <v>146.13334319942101</v>
      </c>
      <c r="C3802">
        <v>2001</v>
      </c>
    </row>
    <row r="3803" spans="1:11" x14ac:dyDescent="0.25">
      <c r="A3803">
        <v>41.235326041202299</v>
      </c>
      <c r="B3803">
        <v>145.696327174972</v>
      </c>
      <c r="C3803">
        <v>2000</v>
      </c>
    </row>
    <row r="3804" spans="1:11" x14ac:dyDescent="0.25">
      <c r="A3804" t="s">
        <v>83</v>
      </c>
    </row>
    <row r="3805" spans="1:11" x14ac:dyDescent="0.25">
      <c r="A3805">
        <v>256</v>
      </c>
      <c r="B3805">
        <v>0</v>
      </c>
      <c r="C3805">
        <v>0.76051970101948996</v>
      </c>
      <c r="D3805">
        <v>7.3370679247197303</v>
      </c>
      <c r="E3805">
        <v>6</v>
      </c>
      <c r="F3805">
        <v>1.5707963267949001</v>
      </c>
      <c r="G3805" t="s">
        <v>84</v>
      </c>
      <c r="H3805" t="s">
        <v>84</v>
      </c>
      <c r="I3805">
        <v>250</v>
      </c>
      <c r="J3805">
        <v>257</v>
      </c>
      <c r="K3805">
        <v>0</v>
      </c>
    </row>
    <row r="3806" spans="1:11" x14ac:dyDescent="0.25">
      <c r="A3806" t="s">
        <v>82</v>
      </c>
    </row>
    <row r="3807" spans="1:11" x14ac:dyDescent="0.25">
      <c r="A3807">
        <v>124.1961487798</v>
      </c>
      <c r="B3807">
        <v>2.9042604276464399</v>
      </c>
      <c r="C3807">
        <v>2000</v>
      </c>
    </row>
    <row r="3808" spans="1:11" x14ac:dyDescent="0.25">
      <c r="A3808">
        <v>123.658380141983</v>
      </c>
      <c r="B3808">
        <v>2.3664917898295998</v>
      </c>
      <c r="C3808">
        <v>2000</v>
      </c>
    </row>
    <row r="3809" spans="1:11" x14ac:dyDescent="0.25">
      <c r="A3809">
        <v>123.658380141983</v>
      </c>
      <c r="B3809">
        <v>2.3664917898295998</v>
      </c>
      <c r="C3809">
        <v>2001</v>
      </c>
    </row>
    <row r="3810" spans="1:11" x14ac:dyDescent="0.25">
      <c r="A3810">
        <v>124.1961487798</v>
      </c>
      <c r="B3810">
        <v>2.9042604276464399</v>
      </c>
      <c r="C3810">
        <v>2001</v>
      </c>
    </row>
    <row r="3811" spans="1:11" x14ac:dyDescent="0.25">
      <c r="A3811">
        <v>129.38423926339601</v>
      </c>
      <c r="B3811">
        <v>8.09235091124207</v>
      </c>
      <c r="C3811">
        <v>2001</v>
      </c>
    </row>
    <row r="3812" spans="1:11" x14ac:dyDescent="0.25">
      <c r="A3812">
        <v>129.38423926339601</v>
      </c>
      <c r="B3812">
        <v>8.09235091124207</v>
      </c>
      <c r="C3812">
        <v>2000</v>
      </c>
    </row>
    <row r="3813" spans="1:11" x14ac:dyDescent="0.25">
      <c r="A3813" t="s">
        <v>83</v>
      </c>
    </row>
    <row r="3814" spans="1:11" x14ac:dyDescent="0.25">
      <c r="A3814">
        <v>483</v>
      </c>
      <c r="B3814">
        <v>0</v>
      </c>
      <c r="C3814">
        <v>0</v>
      </c>
      <c r="D3814">
        <v>7.9115884263878398</v>
      </c>
      <c r="E3814">
        <v>6</v>
      </c>
      <c r="F3814">
        <v>1.5707963267949001</v>
      </c>
      <c r="G3814" t="s">
        <v>84</v>
      </c>
      <c r="H3814" t="s">
        <v>84</v>
      </c>
      <c r="I3814">
        <v>519</v>
      </c>
      <c r="J3814">
        <v>755</v>
      </c>
      <c r="K3814">
        <v>0</v>
      </c>
    </row>
    <row r="3815" spans="1:11" x14ac:dyDescent="0.25">
      <c r="A3815" t="s">
        <v>82</v>
      </c>
    </row>
    <row r="3816" spans="1:11" x14ac:dyDescent="0.25">
      <c r="A3816">
        <v>99.865069857270001</v>
      </c>
      <c r="B3816">
        <v>8.0305884280384507</v>
      </c>
      <c r="C3816">
        <v>2000</v>
      </c>
    </row>
    <row r="3817" spans="1:11" x14ac:dyDescent="0.25">
      <c r="A3817">
        <v>99.865069857270001</v>
      </c>
      <c r="B3817">
        <v>8.0305884280384507</v>
      </c>
      <c r="C3817">
        <v>2001</v>
      </c>
    </row>
    <row r="3818" spans="1:11" x14ac:dyDescent="0.25">
      <c r="A3818">
        <v>100</v>
      </c>
      <c r="B3818">
        <v>8.1655185707684304</v>
      </c>
      <c r="C3818">
        <v>2001</v>
      </c>
    </row>
    <row r="3819" spans="1:11" x14ac:dyDescent="0.25">
      <c r="A3819">
        <v>105.459407683526</v>
      </c>
      <c r="B3819">
        <v>13.6249262542943</v>
      </c>
      <c r="C3819">
        <v>2001</v>
      </c>
    </row>
    <row r="3820" spans="1:11" x14ac:dyDescent="0.25">
      <c r="A3820">
        <v>105.459407683526</v>
      </c>
      <c r="B3820">
        <v>13.6249262542943</v>
      </c>
      <c r="C3820">
        <v>2000</v>
      </c>
    </row>
    <row r="3821" spans="1:11" x14ac:dyDescent="0.25">
      <c r="A3821">
        <v>100</v>
      </c>
      <c r="B3821">
        <v>8.1655185707684304</v>
      </c>
      <c r="C3821">
        <v>2000</v>
      </c>
    </row>
    <row r="3822" spans="1:11" x14ac:dyDescent="0.25">
      <c r="A3822" t="s">
        <v>83</v>
      </c>
    </row>
    <row r="3823" spans="1:11" x14ac:dyDescent="0.25">
      <c r="A3823">
        <v>595</v>
      </c>
      <c r="B3823">
        <v>0</v>
      </c>
      <c r="C3823">
        <v>3.2758669630483301</v>
      </c>
      <c r="D3823">
        <v>4.2234350288988898</v>
      </c>
      <c r="E3823">
        <v>6</v>
      </c>
      <c r="F3823">
        <v>1.01722196789785</v>
      </c>
      <c r="G3823" t="s">
        <v>84</v>
      </c>
      <c r="H3823" t="s">
        <v>84</v>
      </c>
      <c r="I3823">
        <v>580</v>
      </c>
      <c r="J3823">
        <v>599</v>
      </c>
      <c r="K3823">
        <v>0</v>
      </c>
    </row>
    <row r="3824" spans="1:11" x14ac:dyDescent="0.25">
      <c r="A3824" t="s">
        <v>82</v>
      </c>
    </row>
    <row r="3825" spans="1:11" x14ac:dyDescent="0.25">
      <c r="A3825">
        <v>32.0118194324995</v>
      </c>
      <c r="B3825">
        <v>137.13521454256301</v>
      </c>
      <c r="C3825">
        <v>2000</v>
      </c>
    </row>
    <row r="3826" spans="1:11" x14ac:dyDescent="0.25">
      <c r="A3826">
        <v>29.695431688663099</v>
      </c>
      <c r="B3826">
        <v>134.81882679872601</v>
      </c>
      <c r="C3826">
        <v>2000</v>
      </c>
    </row>
    <row r="3827" spans="1:11" x14ac:dyDescent="0.25">
      <c r="A3827">
        <v>30.132447713111901</v>
      </c>
      <c r="B3827">
        <v>134.38181077427799</v>
      </c>
      <c r="C3827">
        <v>2001</v>
      </c>
    </row>
    <row r="3828" spans="1:11" x14ac:dyDescent="0.25">
      <c r="A3828">
        <v>32.448835456948402</v>
      </c>
      <c r="B3828">
        <v>136.698198518114</v>
      </c>
      <c r="C3828">
        <v>2001</v>
      </c>
    </row>
    <row r="3829" spans="1:11" x14ac:dyDescent="0.25">
      <c r="A3829">
        <v>35.435255005783603</v>
      </c>
      <c r="B3829">
        <v>139.68461806694901</v>
      </c>
      <c r="C3829">
        <v>2001</v>
      </c>
    </row>
    <row r="3830" spans="1:11" x14ac:dyDescent="0.25">
      <c r="A3830">
        <v>34.998238981334801</v>
      </c>
      <c r="B3830">
        <v>140.12163409139799</v>
      </c>
      <c r="C3830">
        <v>2000</v>
      </c>
    </row>
    <row r="3831" spans="1:11" x14ac:dyDescent="0.25">
      <c r="A3831" t="s">
        <v>83</v>
      </c>
    </row>
    <row r="3832" spans="1:11" x14ac:dyDescent="0.25">
      <c r="A3832">
        <v>568</v>
      </c>
      <c r="B3832">
        <v>0</v>
      </c>
      <c r="C3832">
        <v>0</v>
      </c>
      <c r="D3832">
        <v>7.33706792472233</v>
      </c>
      <c r="E3832">
        <v>6</v>
      </c>
      <c r="F3832">
        <v>1.5707963267949001</v>
      </c>
      <c r="G3832" t="s">
        <v>84</v>
      </c>
      <c r="H3832" t="s">
        <v>84</v>
      </c>
      <c r="I3832">
        <v>564</v>
      </c>
      <c r="J3832">
        <v>339</v>
      </c>
      <c r="K3832">
        <v>0</v>
      </c>
    </row>
    <row r="3833" spans="1:11" x14ac:dyDescent="0.25">
      <c r="A3833" t="s">
        <v>82</v>
      </c>
    </row>
    <row r="3834" spans="1:11" x14ac:dyDescent="0.25">
      <c r="A3834">
        <v>46.060866080718498</v>
      </c>
      <c r="B3834">
        <v>134.68685306594099</v>
      </c>
      <c r="C3834">
        <v>2000</v>
      </c>
    </row>
    <row r="3835" spans="1:11" x14ac:dyDescent="0.25">
      <c r="A3835">
        <v>46.060866080718498</v>
      </c>
      <c r="B3835">
        <v>134.68685306594099</v>
      </c>
      <c r="C3835">
        <v>2001</v>
      </c>
    </row>
    <row r="3836" spans="1:11" x14ac:dyDescent="0.25">
      <c r="A3836">
        <v>50</v>
      </c>
      <c r="B3836">
        <v>138.625986985222</v>
      </c>
      <c r="C3836">
        <v>2001</v>
      </c>
    </row>
    <row r="3837" spans="1:11" x14ac:dyDescent="0.25">
      <c r="A3837">
        <v>51.248956564316003</v>
      </c>
      <c r="B3837">
        <v>139.87494354953799</v>
      </c>
      <c r="C3837">
        <v>2001</v>
      </c>
    </row>
    <row r="3838" spans="1:11" x14ac:dyDescent="0.25">
      <c r="A3838">
        <v>51.248956564316003</v>
      </c>
      <c r="B3838">
        <v>139.87494354953799</v>
      </c>
      <c r="C3838">
        <v>2000</v>
      </c>
    </row>
    <row r="3839" spans="1:11" x14ac:dyDescent="0.25">
      <c r="A3839">
        <v>50</v>
      </c>
      <c r="B3839">
        <v>138.625986985222</v>
      </c>
      <c r="C3839">
        <v>2000</v>
      </c>
    </row>
    <row r="3840" spans="1:11" x14ac:dyDescent="0.25">
      <c r="A3840" t="s">
        <v>83</v>
      </c>
    </row>
    <row r="3841" spans="1:11" x14ac:dyDescent="0.25">
      <c r="A3841">
        <v>89</v>
      </c>
      <c r="B3841">
        <v>0</v>
      </c>
      <c r="C3841">
        <v>7.3370679247197303</v>
      </c>
      <c r="D3841">
        <v>0</v>
      </c>
      <c r="E3841">
        <v>5</v>
      </c>
      <c r="F3841">
        <v>1.5707963267949001</v>
      </c>
      <c r="G3841" t="s">
        <v>84</v>
      </c>
      <c r="H3841" t="s">
        <v>84</v>
      </c>
      <c r="I3841">
        <v>85</v>
      </c>
      <c r="J3841">
        <v>105</v>
      </c>
      <c r="K3841">
        <v>0</v>
      </c>
    </row>
    <row r="3842" spans="1:11" x14ac:dyDescent="0.25">
      <c r="A3842" t="s">
        <v>82</v>
      </c>
    </row>
    <row r="3843" spans="1:11" x14ac:dyDescent="0.25">
      <c r="A3843">
        <v>62.922108936087298</v>
      </c>
      <c r="B3843">
        <v>66.934786640077306</v>
      </c>
      <c r="C3843">
        <v>2000</v>
      </c>
    </row>
    <row r="3844" spans="1:11" x14ac:dyDescent="0.25">
      <c r="A3844">
        <v>57.734018452491597</v>
      </c>
      <c r="B3844">
        <v>61.746696156481597</v>
      </c>
      <c r="C3844">
        <v>2000</v>
      </c>
    </row>
    <row r="3845" spans="1:11" x14ac:dyDescent="0.25">
      <c r="A3845">
        <v>57.734018452491597</v>
      </c>
      <c r="B3845">
        <v>61.746696156481597</v>
      </c>
      <c r="C3845">
        <v>2001</v>
      </c>
    </row>
    <row r="3846" spans="1:11" x14ac:dyDescent="0.25">
      <c r="A3846">
        <v>62.922108936087298</v>
      </c>
      <c r="B3846">
        <v>66.934786640077306</v>
      </c>
      <c r="C3846">
        <v>2001</v>
      </c>
    </row>
    <row r="3847" spans="1:11" x14ac:dyDescent="0.25">
      <c r="A3847">
        <v>62.922108936087298</v>
      </c>
      <c r="B3847">
        <v>66.934786640077306</v>
      </c>
      <c r="C3847">
        <v>2000</v>
      </c>
    </row>
    <row r="3848" spans="1:11" x14ac:dyDescent="0.25">
      <c r="A3848" t="s">
        <v>83</v>
      </c>
    </row>
    <row r="3849" spans="1:11" x14ac:dyDescent="0.25">
      <c r="A3849">
        <v>169</v>
      </c>
      <c r="B3849">
        <v>0</v>
      </c>
      <c r="C3849">
        <v>3.0397902155010401</v>
      </c>
      <c r="D3849">
        <v>4.1795044139095401</v>
      </c>
      <c r="E3849">
        <v>8</v>
      </c>
      <c r="F3849">
        <v>1.5707963267949001</v>
      </c>
      <c r="G3849" t="s">
        <v>84</v>
      </c>
      <c r="H3849" t="s">
        <v>84</v>
      </c>
      <c r="I3849">
        <v>754</v>
      </c>
      <c r="J3849">
        <v>165</v>
      </c>
      <c r="K3849">
        <v>0</v>
      </c>
    </row>
    <row r="3850" spans="1:11" x14ac:dyDescent="0.25">
      <c r="A3850" t="s">
        <v>82</v>
      </c>
    </row>
    <row r="3851" spans="1:11" x14ac:dyDescent="0.25">
      <c r="A3851">
        <v>101.512017555773</v>
      </c>
      <c r="B3851">
        <v>70.401161790546595</v>
      </c>
      <c r="C3851">
        <v>2000</v>
      </c>
    </row>
    <row r="3852" spans="1:11" x14ac:dyDescent="0.25">
      <c r="A3852">
        <v>100</v>
      </c>
      <c r="B3852">
        <v>68.889144234773298</v>
      </c>
      <c r="C3852">
        <v>2000</v>
      </c>
    </row>
    <row r="3853" spans="1:11" x14ac:dyDescent="0.25">
      <c r="A3853">
        <v>99.362561281007999</v>
      </c>
      <c r="B3853">
        <v>68.251705515781296</v>
      </c>
      <c r="C3853">
        <v>2000</v>
      </c>
    </row>
    <row r="3854" spans="1:11" x14ac:dyDescent="0.25">
      <c r="A3854">
        <v>99.362561281007999</v>
      </c>
      <c r="B3854">
        <v>68.251705515781296</v>
      </c>
      <c r="C3854">
        <v>2001</v>
      </c>
    </row>
    <row r="3855" spans="1:11" x14ac:dyDescent="0.25">
      <c r="A3855">
        <v>100</v>
      </c>
      <c r="B3855">
        <v>68.889144234773298</v>
      </c>
      <c r="C3855">
        <v>2001</v>
      </c>
    </row>
    <row r="3856" spans="1:11" x14ac:dyDescent="0.25">
      <c r="A3856">
        <v>101.512017555773</v>
      </c>
      <c r="B3856">
        <v>70.401161790546595</v>
      </c>
      <c r="C3856">
        <v>2001</v>
      </c>
    </row>
    <row r="3857" spans="1:11" x14ac:dyDescent="0.25">
      <c r="A3857">
        <v>104.467373468848</v>
      </c>
      <c r="B3857">
        <v>73.356517703621094</v>
      </c>
      <c r="C3857">
        <v>2001</v>
      </c>
    </row>
    <row r="3858" spans="1:11" x14ac:dyDescent="0.25">
      <c r="A3858">
        <v>104.467373468848</v>
      </c>
      <c r="B3858">
        <v>73.356517703621094</v>
      </c>
      <c r="C3858">
        <v>2000</v>
      </c>
    </row>
    <row r="3859" spans="1:11" x14ac:dyDescent="0.25">
      <c r="A3859" t="s">
        <v>83</v>
      </c>
    </row>
    <row r="3860" spans="1:11" x14ac:dyDescent="0.25">
      <c r="A3860">
        <v>489</v>
      </c>
      <c r="B3860">
        <v>0</v>
      </c>
      <c r="C3860">
        <v>4.39368564382284</v>
      </c>
      <c r="D3860">
        <v>2.7083756263107301</v>
      </c>
      <c r="E3860">
        <v>6</v>
      </c>
      <c r="F3860">
        <v>1.5707963267949001</v>
      </c>
      <c r="G3860" t="s">
        <v>84</v>
      </c>
      <c r="H3860" t="s">
        <v>84</v>
      </c>
      <c r="I3860">
        <v>492</v>
      </c>
      <c r="J3860">
        <v>496</v>
      </c>
      <c r="K3860">
        <v>0</v>
      </c>
    </row>
    <row r="3861" spans="1:11" x14ac:dyDescent="0.25">
      <c r="A3861" t="s">
        <v>82</v>
      </c>
    </row>
    <row r="3862" spans="1:11" x14ac:dyDescent="0.25">
      <c r="A3862">
        <v>57.896097578525598</v>
      </c>
      <c r="B3862">
        <v>23.234331560430299</v>
      </c>
      <c r="C3862">
        <v>2000</v>
      </c>
    </row>
    <row r="3863" spans="1:11" x14ac:dyDescent="0.25">
      <c r="A3863">
        <v>54.7892926653765</v>
      </c>
      <c r="B3863">
        <v>20.127526647281201</v>
      </c>
      <c r="C3863">
        <v>2000</v>
      </c>
    </row>
    <row r="3864" spans="1:11" x14ac:dyDescent="0.25">
      <c r="A3864">
        <v>54.7892926653765</v>
      </c>
      <c r="B3864">
        <v>20.127526647281201</v>
      </c>
      <c r="C3864">
        <v>2001</v>
      </c>
    </row>
    <row r="3865" spans="1:11" x14ac:dyDescent="0.25">
      <c r="A3865">
        <v>57.896097578525598</v>
      </c>
      <c r="B3865">
        <v>23.234331560430299</v>
      </c>
      <c r="C3865">
        <v>2001</v>
      </c>
    </row>
    <row r="3866" spans="1:11" x14ac:dyDescent="0.25">
      <c r="A3866">
        <v>59.8112083498903</v>
      </c>
      <c r="B3866">
        <v>25.149442331795001</v>
      </c>
      <c r="C3866">
        <v>2001</v>
      </c>
    </row>
    <row r="3867" spans="1:11" x14ac:dyDescent="0.25">
      <c r="A3867">
        <v>59.8112083498903</v>
      </c>
      <c r="B3867">
        <v>25.149442331795001</v>
      </c>
      <c r="C3867">
        <v>2000</v>
      </c>
    </row>
    <row r="3868" spans="1:11" x14ac:dyDescent="0.25">
      <c r="A3868" t="s">
        <v>83</v>
      </c>
    </row>
    <row r="3869" spans="1:11" x14ac:dyDescent="0.25">
      <c r="A3869">
        <v>20</v>
      </c>
      <c r="B3869">
        <v>0</v>
      </c>
      <c r="C3869">
        <v>6.9711848450553999</v>
      </c>
      <c r="D3869">
        <v>0</v>
      </c>
      <c r="E3869">
        <v>5</v>
      </c>
      <c r="F3869">
        <v>1.5707963267949001</v>
      </c>
      <c r="G3869" t="s">
        <v>81</v>
      </c>
      <c r="H3869" t="s">
        <v>84</v>
      </c>
      <c r="I3869">
        <v>0</v>
      </c>
      <c r="J3869">
        <v>432</v>
      </c>
      <c r="K3869">
        <v>0</v>
      </c>
    </row>
    <row r="3870" spans="1:11" x14ac:dyDescent="0.25">
      <c r="A3870" t="s">
        <v>82</v>
      </c>
    </row>
    <row r="3871" spans="1:11" x14ac:dyDescent="0.25">
      <c r="A3871">
        <v>4.9293720768435696</v>
      </c>
      <c r="B3871">
        <v>21.611248420836102</v>
      </c>
      <c r="C3871">
        <v>2000</v>
      </c>
    </row>
    <row r="3872" spans="1:11" x14ac:dyDescent="0.25">
      <c r="A3872">
        <v>0</v>
      </c>
      <c r="B3872">
        <v>16.681876343992499</v>
      </c>
      <c r="C3872">
        <v>2000</v>
      </c>
    </row>
    <row r="3873" spans="1:11" x14ac:dyDescent="0.25">
      <c r="A3873">
        <v>0</v>
      </c>
      <c r="B3873">
        <v>16.681876343992499</v>
      </c>
      <c r="C3873">
        <v>2001</v>
      </c>
    </row>
    <row r="3874" spans="1:11" x14ac:dyDescent="0.25">
      <c r="A3874">
        <v>4.9293720768435696</v>
      </c>
      <c r="B3874">
        <v>21.611248420836102</v>
      </c>
      <c r="C3874">
        <v>2001</v>
      </c>
    </row>
    <row r="3875" spans="1:11" x14ac:dyDescent="0.25">
      <c r="A3875">
        <v>4.9293720768435696</v>
      </c>
      <c r="B3875">
        <v>21.611248420836102</v>
      </c>
      <c r="C3875">
        <v>2000</v>
      </c>
    </row>
    <row r="3876" spans="1:11" x14ac:dyDescent="0.25">
      <c r="A3876" t="s">
        <v>83</v>
      </c>
    </row>
    <row r="3877" spans="1:11" x14ac:dyDescent="0.25">
      <c r="A3877">
        <v>488</v>
      </c>
      <c r="B3877">
        <v>0</v>
      </c>
      <c r="C3877">
        <v>4.5515970671305901</v>
      </c>
      <c r="D3877">
        <v>2.09595595922092</v>
      </c>
      <c r="E3877">
        <v>8</v>
      </c>
      <c r="F3877">
        <v>1.5707963267949001</v>
      </c>
      <c r="G3877" t="s">
        <v>84</v>
      </c>
      <c r="H3877" t="s">
        <v>84</v>
      </c>
      <c r="I3877">
        <v>18</v>
      </c>
      <c r="J3877">
        <v>486</v>
      </c>
      <c r="K3877">
        <v>0</v>
      </c>
    </row>
    <row r="3878" spans="1:11" x14ac:dyDescent="0.25">
      <c r="A3878" t="s">
        <v>82</v>
      </c>
    </row>
    <row r="3879" spans="1:11" x14ac:dyDescent="0.25">
      <c r="A3879">
        <v>51.492003014540302</v>
      </c>
      <c r="B3879">
        <v>13.544780266724899</v>
      </c>
      <c r="C3879">
        <v>2000</v>
      </c>
    </row>
    <row r="3880" spans="1:11" x14ac:dyDescent="0.25">
      <c r="A3880">
        <v>50</v>
      </c>
      <c r="B3880">
        <v>12.052777252184599</v>
      </c>
      <c r="C3880">
        <v>2000</v>
      </c>
    </row>
    <row r="3881" spans="1:11" x14ac:dyDescent="0.25">
      <c r="A3881">
        <v>48.273537863143403</v>
      </c>
      <c r="B3881">
        <v>10.3263151153281</v>
      </c>
      <c r="C3881">
        <v>2000</v>
      </c>
    </row>
    <row r="3882" spans="1:11" x14ac:dyDescent="0.25">
      <c r="A3882">
        <v>48.273537863143403</v>
      </c>
      <c r="B3882">
        <v>10.3263151153281</v>
      </c>
      <c r="C3882">
        <v>2001</v>
      </c>
    </row>
    <row r="3883" spans="1:11" x14ac:dyDescent="0.25">
      <c r="A3883">
        <v>50</v>
      </c>
      <c r="B3883">
        <v>12.052777252184599</v>
      </c>
      <c r="C3883">
        <v>2001</v>
      </c>
    </row>
    <row r="3884" spans="1:11" x14ac:dyDescent="0.25">
      <c r="A3884">
        <v>51.492003014540302</v>
      </c>
      <c r="B3884">
        <v>13.544780266724899</v>
      </c>
      <c r="C3884">
        <v>2001</v>
      </c>
    </row>
    <row r="3885" spans="1:11" x14ac:dyDescent="0.25">
      <c r="A3885">
        <v>52.9740676863738</v>
      </c>
      <c r="B3885">
        <v>15.0268449385584</v>
      </c>
      <c r="C3885">
        <v>2001</v>
      </c>
    </row>
    <row r="3886" spans="1:11" x14ac:dyDescent="0.25">
      <c r="A3886">
        <v>52.9740676863738</v>
      </c>
      <c r="B3886">
        <v>15.0268449385584</v>
      </c>
      <c r="C3886">
        <v>2000</v>
      </c>
    </row>
    <row r="3887" spans="1:11" x14ac:dyDescent="0.25">
      <c r="A3887" t="s">
        <v>83</v>
      </c>
    </row>
    <row r="3888" spans="1:11" x14ac:dyDescent="0.25">
      <c r="A3888">
        <v>9</v>
      </c>
      <c r="B3888">
        <v>0</v>
      </c>
      <c r="C3888">
        <v>2.3373509521134301</v>
      </c>
      <c r="D3888">
        <v>3.9596816643524901</v>
      </c>
      <c r="E3888">
        <v>6</v>
      </c>
      <c r="F3888">
        <v>1.5707963267949001</v>
      </c>
      <c r="G3888" t="s">
        <v>84</v>
      </c>
      <c r="H3888" t="s">
        <v>84</v>
      </c>
      <c r="I3888">
        <v>5</v>
      </c>
      <c r="J3888">
        <v>10</v>
      </c>
      <c r="K3888">
        <v>0</v>
      </c>
    </row>
    <row r="3889" spans="1:11" x14ac:dyDescent="0.25">
      <c r="A3889" t="s">
        <v>82</v>
      </c>
    </row>
    <row r="3890" spans="1:11" x14ac:dyDescent="0.25">
      <c r="A3890">
        <v>13.506164605964999</v>
      </c>
      <c r="B3890">
        <v>25.739154965029599</v>
      </c>
      <c r="C3890">
        <v>2000</v>
      </c>
    </row>
    <row r="3891" spans="1:11" x14ac:dyDescent="0.25">
      <c r="A3891">
        <v>11.8534078977127</v>
      </c>
      <c r="B3891">
        <v>24.0863982567774</v>
      </c>
      <c r="C3891">
        <v>2000</v>
      </c>
    </row>
    <row r="3892" spans="1:11" x14ac:dyDescent="0.25">
      <c r="A3892">
        <v>11.8534078977127</v>
      </c>
      <c r="B3892">
        <v>24.0863982567774</v>
      </c>
      <c r="C3892">
        <v>2001</v>
      </c>
    </row>
    <row r="3893" spans="1:11" x14ac:dyDescent="0.25">
      <c r="A3893">
        <v>13.506164605964999</v>
      </c>
      <c r="B3893">
        <v>25.739154965029599</v>
      </c>
      <c r="C3893">
        <v>2001</v>
      </c>
    </row>
    <row r="3894" spans="1:11" x14ac:dyDescent="0.25">
      <c r="A3894">
        <v>16.306082362168699</v>
      </c>
      <c r="B3894">
        <v>28.5390727212333</v>
      </c>
      <c r="C3894">
        <v>2001</v>
      </c>
    </row>
    <row r="3895" spans="1:11" x14ac:dyDescent="0.25">
      <c r="A3895">
        <v>16.306082362168699</v>
      </c>
      <c r="B3895">
        <v>28.5390727212333</v>
      </c>
      <c r="C3895">
        <v>2000</v>
      </c>
    </row>
    <row r="3896" spans="1:11" x14ac:dyDescent="0.25">
      <c r="A3896" t="s">
        <v>83</v>
      </c>
    </row>
    <row r="3897" spans="1:11" x14ac:dyDescent="0.25">
      <c r="A3897">
        <v>10</v>
      </c>
      <c r="B3897">
        <v>0</v>
      </c>
      <c r="C3897">
        <v>3.4550711520081401</v>
      </c>
      <c r="D3897">
        <v>2.7083756263107301</v>
      </c>
      <c r="E3897">
        <v>6</v>
      </c>
      <c r="F3897">
        <v>1.5707963267949001</v>
      </c>
      <c r="G3897" t="s">
        <v>84</v>
      </c>
      <c r="H3897" t="s">
        <v>84</v>
      </c>
      <c r="I3897">
        <v>9</v>
      </c>
      <c r="J3897">
        <v>15</v>
      </c>
      <c r="K3897">
        <v>0</v>
      </c>
    </row>
    <row r="3898" spans="1:11" x14ac:dyDescent="0.25">
      <c r="A3898" t="s">
        <v>82</v>
      </c>
    </row>
    <row r="3899" spans="1:11" x14ac:dyDescent="0.25">
      <c r="A3899">
        <v>18.334819955441599</v>
      </c>
      <c r="B3899">
        <v>31.396543610094401</v>
      </c>
      <c r="C3899">
        <v>2000</v>
      </c>
    </row>
    <row r="3900" spans="1:11" x14ac:dyDescent="0.25">
      <c r="A3900">
        <v>15.8917157143746</v>
      </c>
      <c r="B3900">
        <v>28.9534393690274</v>
      </c>
      <c r="C3900">
        <v>2000</v>
      </c>
    </row>
    <row r="3901" spans="1:11" x14ac:dyDescent="0.25">
      <c r="A3901">
        <v>15.8917157143746</v>
      </c>
      <c r="B3901">
        <v>28.9534393690274</v>
      </c>
      <c r="C3901">
        <v>2001</v>
      </c>
    </row>
    <row r="3902" spans="1:11" x14ac:dyDescent="0.25">
      <c r="A3902">
        <v>18.334819955441599</v>
      </c>
      <c r="B3902">
        <v>31.396543610094401</v>
      </c>
      <c r="C3902">
        <v>2001</v>
      </c>
    </row>
    <row r="3903" spans="1:11" x14ac:dyDescent="0.25">
      <c r="A3903">
        <v>20.249930726806198</v>
      </c>
      <c r="B3903">
        <v>33.3116543814591</v>
      </c>
      <c r="C3903">
        <v>2001</v>
      </c>
    </row>
    <row r="3904" spans="1:11" x14ac:dyDescent="0.25">
      <c r="A3904">
        <v>20.249930726806198</v>
      </c>
      <c r="B3904">
        <v>33.3116543814591</v>
      </c>
      <c r="C3904">
        <v>2000</v>
      </c>
    </row>
    <row r="3905" spans="1:11" x14ac:dyDescent="0.25">
      <c r="A3905" t="s">
        <v>83</v>
      </c>
    </row>
    <row r="3906" spans="1:11" x14ac:dyDescent="0.25">
      <c r="A3906">
        <v>654</v>
      </c>
      <c r="B3906">
        <v>0</v>
      </c>
      <c r="C3906">
        <v>5.8978005248377503</v>
      </c>
      <c r="D3906">
        <v>0</v>
      </c>
      <c r="E3906">
        <v>5</v>
      </c>
      <c r="F3906">
        <v>1.5707963267949001</v>
      </c>
      <c r="G3906" t="s">
        <v>84</v>
      </c>
      <c r="H3906" t="s">
        <v>84</v>
      </c>
      <c r="I3906">
        <v>660</v>
      </c>
      <c r="J3906">
        <v>670</v>
      </c>
      <c r="K3906">
        <v>0</v>
      </c>
    </row>
    <row r="3907" spans="1:11" x14ac:dyDescent="0.25">
      <c r="A3907" t="s">
        <v>82</v>
      </c>
    </row>
    <row r="3908" spans="1:11" x14ac:dyDescent="0.25">
      <c r="A3908">
        <v>35.639087511524103</v>
      </c>
      <c r="B3908">
        <v>74.332188861133602</v>
      </c>
      <c r="C3908">
        <v>2000</v>
      </c>
    </row>
    <row r="3909" spans="1:11" x14ac:dyDescent="0.25">
      <c r="A3909">
        <v>31.468712766325801</v>
      </c>
      <c r="B3909">
        <v>70.1618141159353</v>
      </c>
      <c r="C3909">
        <v>2000</v>
      </c>
    </row>
    <row r="3910" spans="1:11" x14ac:dyDescent="0.25">
      <c r="A3910">
        <v>31.468712766325801</v>
      </c>
      <c r="B3910">
        <v>70.1618141159353</v>
      </c>
      <c r="C3910">
        <v>2001</v>
      </c>
    </row>
    <row r="3911" spans="1:11" x14ac:dyDescent="0.25">
      <c r="A3911">
        <v>35.639087511524103</v>
      </c>
      <c r="B3911">
        <v>74.332188861133602</v>
      </c>
      <c r="C3911">
        <v>2001</v>
      </c>
    </row>
    <row r="3912" spans="1:11" x14ac:dyDescent="0.25">
      <c r="A3912">
        <v>35.639087511524103</v>
      </c>
      <c r="B3912">
        <v>74.332188861133602</v>
      </c>
      <c r="C3912">
        <v>2000</v>
      </c>
    </row>
    <row r="3913" spans="1:11" x14ac:dyDescent="0.25">
      <c r="A3913" t="s">
        <v>83</v>
      </c>
    </row>
    <row r="3914" spans="1:11" x14ac:dyDescent="0.25">
      <c r="A3914">
        <v>643</v>
      </c>
      <c r="B3914">
        <v>0</v>
      </c>
      <c r="C3914">
        <v>5.8642425177189503</v>
      </c>
      <c r="D3914">
        <v>0</v>
      </c>
      <c r="E3914">
        <v>5</v>
      </c>
      <c r="F3914">
        <v>1.5707963267949001</v>
      </c>
      <c r="G3914" t="s">
        <v>81</v>
      </c>
      <c r="H3914" t="s">
        <v>84</v>
      </c>
      <c r="I3914">
        <v>0</v>
      </c>
      <c r="J3914">
        <v>346</v>
      </c>
      <c r="K3914">
        <v>0</v>
      </c>
    </row>
    <row r="3915" spans="1:11" x14ac:dyDescent="0.25">
      <c r="A3915" t="s">
        <v>82</v>
      </c>
    </row>
    <row r="3916" spans="1:11" x14ac:dyDescent="0.25">
      <c r="A3916">
        <v>4.1466456508015401</v>
      </c>
      <c r="B3916">
        <v>55.062159048422302</v>
      </c>
      <c r="C3916">
        <v>2000</v>
      </c>
    </row>
    <row r="3917" spans="1:11" x14ac:dyDescent="0.25">
      <c r="A3917">
        <v>0</v>
      </c>
      <c r="B3917">
        <v>50.915513397620799</v>
      </c>
      <c r="C3917">
        <v>2000</v>
      </c>
    </row>
    <row r="3918" spans="1:11" x14ac:dyDescent="0.25">
      <c r="A3918">
        <v>0</v>
      </c>
      <c r="B3918">
        <v>50.915513397620799</v>
      </c>
      <c r="C3918">
        <v>2001</v>
      </c>
    </row>
    <row r="3919" spans="1:11" x14ac:dyDescent="0.25">
      <c r="A3919">
        <v>4.1466456508015401</v>
      </c>
      <c r="B3919">
        <v>55.062159048422302</v>
      </c>
      <c r="C3919">
        <v>2001</v>
      </c>
    </row>
    <row r="3920" spans="1:11" x14ac:dyDescent="0.25">
      <c r="A3920">
        <v>4.1466456508015401</v>
      </c>
      <c r="B3920">
        <v>55.062159048422302</v>
      </c>
      <c r="C3920">
        <v>2000</v>
      </c>
    </row>
    <row r="3921" spans="1:11" x14ac:dyDescent="0.25">
      <c r="A3921" t="s">
        <v>83</v>
      </c>
    </row>
    <row r="3922" spans="1:11" x14ac:dyDescent="0.25">
      <c r="A3922">
        <v>411</v>
      </c>
      <c r="B3922">
        <v>0</v>
      </c>
      <c r="C3922">
        <v>0</v>
      </c>
      <c r="D3922">
        <v>5.7450308151948697</v>
      </c>
      <c r="E3922">
        <v>4</v>
      </c>
      <c r="F3922">
        <v>1.5707963267949001</v>
      </c>
      <c r="G3922" t="s">
        <v>84</v>
      </c>
      <c r="H3922" t="s">
        <v>81</v>
      </c>
      <c r="I3922">
        <v>178</v>
      </c>
      <c r="J3922">
        <v>0</v>
      </c>
      <c r="K3922">
        <v>0</v>
      </c>
    </row>
    <row r="3923" spans="1:11" x14ac:dyDescent="0.25">
      <c r="A3923" t="s">
        <v>82</v>
      </c>
    </row>
    <row r="3924" spans="1:11" x14ac:dyDescent="0.25">
      <c r="A3924">
        <v>145.93764975245</v>
      </c>
      <c r="B3924">
        <v>102.642817598601</v>
      </c>
      <c r="C3924">
        <v>2000</v>
      </c>
    </row>
    <row r="3925" spans="1:11" x14ac:dyDescent="0.25">
      <c r="A3925">
        <v>145.93764975245</v>
      </c>
      <c r="B3925">
        <v>102.642817598601</v>
      </c>
      <c r="C3925">
        <v>2001</v>
      </c>
    </row>
    <row r="3926" spans="1:11" x14ac:dyDescent="0.25">
      <c r="A3926">
        <v>150</v>
      </c>
      <c r="B3926">
        <v>106.705167846151</v>
      </c>
      <c r="C3926">
        <v>2001</v>
      </c>
    </row>
    <row r="3927" spans="1:11" x14ac:dyDescent="0.25">
      <c r="A3927">
        <v>150</v>
      </c>
      <c r="B3927">
        <v>106.705167846151</v>
      </c>
      <c r="C3927">
        <v>2000</v>
      </c>
    </row>
    <row r="3928" spans="1:11" x14ac:dyDescent="0.25">
      <c r="A3928" t="s">
        <v>83</v>
      </c>
    </row>
    <row r="3929" spans="1:11" x14ac:dyDescent="0.25">
      <c r="A3929">
        <v>600</v>
      </c>
      <c r="B3929">
        <v>0</v>
      </c>
      <c r="C3929">
        <v>4.2316847552960404</v>
      </c>
      <c r="D3929">
        <v>0.94159551549438403</v>
      </c>
      <c r="E3929">
        <v>6</v>
      </c>
      <c r="F3929">
        <v>1.01722196789785</v>
      </c>
      <c r="G3929" t="s">
        <v>84</v>
      </c>
      <c r="H3929" t="s">
        <v>81</v>
      </c>
      <c r="I3929">
        <v>599</v>
      </c>
      <c r="J3929">
        <v>0</v>
      </c>
      <c r="K3929">
        <v>0</v>
      </c>
    </row>
    <row r="3930" spans="1:11" x14ac:dyDescent="0.25">
      <c r="A3930" t="s">
        <v>82</v>
      </c>
    </row>
    <row r="3931" spans="1:11" x14ac:dyDescent="0.25">
      <c r="A3931">
        <v>43.184722667892402</v>
      </c>
      <c r="B3931">
        <v>149.37396235525799</v>
      </c>
      <c r="C3931">
        <v>2000</v>
      </c>
    </row>
    <row r="3932" spans="1:11" x14ac:dyDescent="0.25">
      <c r="A3932">
        <v>40.371206764404398</v>
      </c>
      <c r="B3932">
        <v>146.56044645176999</v>
      </c>
      <c r="C3932">
        <v>2000</v>
      </c>
    </row>
    <row r="3933" spans="1:11" x14ac:dyDescent="0.25">
      <c r="A3933">
        <v>40.8082227888533</v>
      </c>
      <c r="B3933">
        <v>146.12343042732101</v>
      </c>
      <c r="C3933">
        <v>2001</v>
      </c>
    </row>
    <row r="3934" spans="1:11" x14ac:dyDescent="0.25">
      <c r="A3934">
        <v>43.979212857992401</v>
      </c>
      <c r="B3934">
        <v>149.29442049645999</v>
      </c>
      <c r="C3934">
        <v>2001</v>
      </c>
    </row>
    <row r="3935" spans="1:11" x14ac:dyDescent="0.25">
      <c r="A3935">
        <v>44.684792361532203</v>
      </c>
      <c r="B3935">
        <v>150</v>
      </c>
      <c r="C3935">
        <v>2001</v>
      </c>
    </row>
    <row r="3936" spans="1:11" x14ac:dyDescent="0.25">
      <c r="A3936">
        <v>43.8107603126345</v>
      </c>
      <c r="B3936">
        <v>150</v>
      </c>
      <c r="C3936">
        <v>2000</v>
      </c>
    </row>
    <row r="3937" spans="1:11" x14ac:dyDescent="0.25">
      <c r="A3937" t="s">
        <v>83</v>
      </c>
    </row>
    <row r="3938" spans="1:11" x14ac:dyDescent="0.25">
      <c r="A3938">
        <v>570</v>
      </c>
      <c r="B3938">
        <v>0</v>
      </c>
      <c r="C3938">
        <v>0.99836193318820698</v>
      </c>
      <c r="D3938">
        <v>3.8881892365812298</v>
      </c>
      <c r="E3938">
        <v>6</v>
      </c>
      <c r="F3938">
        <v>1.5707963267949001</v>
      </c>
      <c r="G3938" t="s">
        <v>84</v>
      </c>
      <c r="H3938" t="s">
        <v>81</v>
      </c>
      <c r="I3938">
        <v>562</v>
      </c>
      <c r="J3938">
        <v>0</v>
      </c>
      <c r="K3938">
        <v>0</v>
      </c>
    </row>
    <row r="3939" spans="1:11" x14ac:dyDescent="0.25">
      <c r="A3939" t="s">
        <v>82</v>
      </c>
    </row>
    <row r="3940" spans="1:11" x14ac:dyDescent="0.25">
      <c r="A3940">
        <v>30.247414673328102</v>
      </c>
      <c r="B3940">
        <v>147.25063502427699</v>
      </c>
      <c r="C3940">
        <v>2000</v>
      </c>
    </row>
    <row r="3941" spans="1:11" x14ac:dyDescent="0.25">
      <c r="A3941">
        <v>29.541466180292201</v>
      </c>
      <c r="B3941">
        <v>146.54468653124101</v>
      </c>
      <c r="C3941">
        <v>2000</v>
      </c>
    </row>
    <row r="3942" spans="1:11" x14ac:dyDescent="0.25">
      <c r="A3942">
        <v>29.541466180292201</v>
      </c>
      <c r="B3942">
        <v>146.54468653124101</v>
      </c>
      <c r="C3942">
        <v>2001</v>
      </c>
    </row>
    <row r="3943" spans="1:11" x14ac:dyDescent="0.25">
      <c r="A3943">
        <v>30.247414673328102</v>
      </c>
      <c r="B3943">
        <v>147.25063502427699</v>
      </c>
      <c r="C3943">
        <v>2001</v>
      </c>
    </row>
    <row r="3944" spans="1:11" x14ac:dyDescent="0.25">
      <c r="A3944">
        <v>32.996779649051298</v>
      </c>
      <c r="B3944">
        <v>150</v>
      </c>
      <c r="C3944">
        <v>2001</v>
      </c>
    </row>
    <row r="3945" spans="1:11" x14ac:dyDescent="0.25">
      <c r="A3945">
        <v>32.996779649051298</v>
      </c>
      <c r="B3945">
        <v>150</v>
      </c>
      <c r="C3945">
        <v>2000</v>
      </c>
    </row>
    <row r="3946" spans="1:11" x14ac:dyDescent="0.25">
      <c r="A3946" t="s">
        <v>83</v>
      </c>
    </row>
    <row r="3947" spans="1:11" x14ac:dyDescent="0.25">
      <c r="A3947">
        <v>335</v>
      </c>
      <c r="B3947">
        <v>0</v>
      </c>
      <c r="C3947">
        <v>0</v>
      </c>
      <c r="D3947">
        <v>4.7575226013200602</v>
      </c>
      <c r="E3947">
        <v>4</v>
      </c>
      <c r="F3947">
        <v>1.5707963267949001</v>
      </c>
      <c r="G3947" t="s">
        <v>84</v>
      </c>
      <c r="H3947" t="s">
        <v>84</v>
      </c>
      <c r="I3947">
        <v>338</v>
      </c>
      <c r="J3947">
        <v>327</v>
      </c>
      <c r="K3947">
        <v>0</v>
      </c>
    </row>
    <row r="3948" spans="1:11" x14ac:dyDescent="0.25">
      <c r="A3948" t="s">
        <v>82</v>
      </c>
    </row>
    <row r="3949" spans="1:11" x14ac:dyDescent="0.25">
      <c r="A3949">
        <v>72.171673526601694</v>
      </c>
      <c r="B3949">
        <v>133.21866328279401</v>
      </c>
      <c r="C3949">
        <v>2000</v>
      </c>
    </row>
    <row r="3950" spans="1:11" x14ac:dyDescent="0.25">
      <c r="A3950">
        <v>72.171673526601694</v>
      </c>
      <c r="B3950">
        <v>133.21866328279401</v>
      </c>
      <c r="C3950">
        <v>2001</v>
      </c>
    </row>
    <row r="3951" spans="1:11" x14ac:dyDescent="0.25">
      <c r="A3951">
        <v>75.535750019643402</v>
      </c>
      <c r="B3951">
        <v>136.58273977583599</v>
      </c>
      <c r="C3951">
        <v>2001</v>
      </c>
    </row>
    <row r="3952" spans="1:11" x14ac:dyDescent="0.25">
      <c r="A3952">
        <v>75.535750019643402</v>
      </c>
      <c r="B3952">
        <v>136.58273977583599</v>
      </c>
      <c r="C3952">
        <v>2000</v>
      </c>
    </row>
    <row r="3953" spans="1:11" x14ac:dyDescent="0.25">
      <c r="A3953" t="s">
        <v>83</v>
      </c>
    </row>
    <row r="3954" spans="1:11" x14ac:dyDescent="0.25">
      <c r="A3954">
        <v>83</v>
      </c>
      <c r="B3954">
        <v>0</v>
      </c>
      <c r="C3954">
        <v>0</v>
      </c>
      <c r="D3954">
        <v>4.5882250647587002</v>
      </c>
      <c r="E3954">
        <v>4</v>
      </c>
      <c r="F3954">
        <v>1.5707963267949001</v>
      </c>
      <c r="G3954" t="s">
        <v>84</v>
      </c>
      <c r="H3954" t="s">
        <v>84</v>
      </c>
      <c r="I3954">
        <v>728</v>
      </c>
      <c r="J3954">
        <v>99</v>
      </c>
      <c r="K3954">
        <v>0</v>
      </c>
    </row>
    <row r="3955" spans="1:11" x14ac:dyDescent="0.25">
      <c r="A3955" t="s">
        <v>82</v>
      </c>
    </row>
    <row r="3956" spans="1:11" x14ac:dyDescent="0.25">
      <c r="A3956">
        <v>70.484671017846395</v>
      </c>
      <c r="B3956">
        <v>58.521750561670302</v>
      </c>
      <c r="C3956">
        <v>2000</v>
      </c>
    </row>
    <row r="3957" spans="1:11" x14ac:dyDescent="0.25">
      <c r="A3957">
        <v>70.484671017846395</v>
      </c>
      <c r="B3957">
        <v>58.521750561670302</v>
      </c>
      <c r="C3957">
        <v>2001</v>
      </c>
    </row>
    <row r="3958" spans="1:11" x14ac:dyDescent="0.25">
      <c r="A3958">
        <v>73.729036074747398</v>
      </c>
      <c r="B3958">
        <v>61.766115618571298</v>
      </c>
      <c r="C3958">
        <v>2001</v>
      </c>
    </row>
    <row r="3959" spans="1:11" x14ac:dyDescent="0.25">
      <c r="A3959">
        <v>73.729036074747398</v>
      </c>
      <c r="B3959">
        <v>61.766115618571298</v>
      </c>
      <c r="C3959">
        <v>2000</v>
      </c>
    </row>
    <row r="3960" spans="1:11" x14ac:dyDescent="0.25">
      <c r="A3960" t="s">
        <v>83</v>
      </c>
    </row>
    <row r="3961" spans="1:11" x14ac:dyDescent="0.25">
      <c r="A3961">
        <v>328</v>
      </c>
      <c r="B3961">
        <v>0</v>
      </c>
      <c r="C3961">
        <v>0</v>
      </c>
      <c r="D3961">
        <v>4.4475138731113999</v>
      </c>
      <c r="E3961">
        <v>4</v>
      </c>
      <c r="F3961">
        <v>1.5707963267949001</v>
      </c>
      <c r="G3961" t="s">
        <v>84</v>
      </c>
      <c r="H3961" t="s">
        <v>81</v>
      </c>
      <c r="I3961">
        <v>730</v>
      </c>
      <c r="J3961">
        <v>0</v>
      </c>
      <c r="K3961">
        <v>0</v>
      </c>
    </row>
    <row r="3962" spans="1:11" x14ac:dyDescent="0.25">
      <c r="A3962" t="s">
        <v>82</v>
      </c>
    </row>
    <row r="3963" spans="1:11" x14ac:dyDescent="0.25">
      <c r="A3963">
        <v>90.083752253597495</v>
      </c>
      <c r="B3963">
        <v>146.85513278090201</v>
      </c>
      <c r="C3963">
        <v>2000</v>
      </c>
    </row>
    <row r="3964" spans="1:11" x14ac:dyDescent="0.25">
      <c r="A3964">
        <v>90.083752253597495</v>
      </c>
      <c r="B3964">
        <v>146.85513278090201</v>
      </c>
      <c r="C3964">
        <v>2001</v>
      </c>
    </row>
    <row r="3965" spans="1:11" x14ac:dyDescent="0.25">
      <c r="A3965">
        <v>93.228619472695797</v>
      </c>
      <c r="B3965">
        <v>150</v>
      </c>
      <c r="C3965">
        <v>2001</v>
      </c>
    </row>
    <row r="3966" spans="1:11" x14ac:dyDescent="0.25">
      <c r="A3966">
        <v>93.228619472695797</v>
      </c>
      <c r="B3966">
        <v>150</v>
      </c>
      <c r="C3966">
        <v>2000</v>
      </c>
    </row>
    <row r="3967" spans="1:11" x14ac:dyDescent="0.25">
      <c r="A3967" t="s">
        <v>83</v>
      </c>
    </row>
    <row r="3968" spans="1:11" x14ac:dyDescent="0.25">
      <c r="A3968">
        <v>99</v>
      </c>
      <c r="B3968">
        <v>0</v>
      </c>
      <c r="C3968">
        <v>4.3936856438228196</v>
      </c>
      <c r="D3968">
        <v>0</v>
      </c>
      <c r="E3968">
        <v>5</v>
      </c>
      <c r="F3968">
        <v>1.5707963267949001</v>
      </c>
      <c r="G3968" t="s">
        <v>84</v>
      </c>
      <c r="H3968" t="s">
        <v>84</v>
      </c>
      <c r="I3968">
        <v>83</v>
      </c>
      <c r="J3968">
        <v>98</v>
      </c>
      <c r="K3968">
        <v>0</v>
      </c>
    </row>
    <row r="3969" spans="1:11" x14ac:dyDescent="0.25">
      <c r="A3969" t="s">
        <v>82</v>
      </c>
    </row>
    <row r="3970" spans="1:11" x14ac:dyDescent="0.25">
      <c r="A3970">
        <v>76.483704406527707</v>
      </c>
      <c r="B3970">
        <v>65.225057113089207</v>
      </c>
      <c r="C3970">
        <v>2000</v>
      </c>
    </row>
    <row r="3971" spans="1:11" x14ac:dyDescent="0.25">
      <c r="A3971">
        <v>73.376899493378602</v>
      </c>
      <c r="B3971">
        <v>62.118252199940102</v>
      </c>
      <c r="C3971">
        <v>2000</v>
      </c>
    </row>
    <row r="3972" spans="1:11" x14ac:dyDescent="0.25">
      <c r="A3972">
        <v>73.376899493378602</v>
      </c>
      <c r="B3972">
        <v>62.118252199940102</v>
      </c>
      <c r="C3972">
        <v>2001</v>
      </c>
    </row>
    <row r="3973" spans="1:11" x14ac:dyDescent="0.25">
      <c r="A3973">
        <v>76.483704406527707</v>
      </c>
      <c r="B3973">
        <v>65.225057113089207</v>
      </c>
      <c r="C3973">
        <v>2001</v>
      </c>
    </row>
    <row r="3974" spans="1:11" x14ac:dyDescent="0.25">
      <c r="A3974">
        <v>76.483704406527707</v>
      </c>
      <c r="B3974">
        <v>65.225057113089207</v>
      </c>
      <c r="C3974">
        <v>2000</v>
      </c>
    </row>
    <row r="3975" spans="1:11" x14ac:dyDescent="0.25">
      <c r="A3975" t="s">
        <v>83</v>
      </c>
    </row>
    <row r="3976" spans="1:11" x14ac:dyDescent="0.25">
      <c r="A3976">
        <v>649</v>
      </c>
      <c r="B3976">
        <v>0</v>
      </c>
      <c r="C3976">
        <v>4.1617322275663797</v>
      </c>
      <c r="D3976">
        <v>0</v>
      </c>
      <c r="E3976">
        <v>5</v>
      </c>
      <c r="F3976">
        <v>1.5707963267949001</v>
      </c>
      <c r="G3976" t="s">
        <v>81</v>
      </c>
      <c r="H3976" t="s">
        <v>84</v>
      </c>
      <c r="I3976">
        <v>0</v>
      </c>
      <c r="J3976">
        <v>325</v>
      </c>
      <c r="K3976">
        <v>0</v>
      </c>
    </row>
    <row r="3977" spans="1:11" x14ac:dyDescent="0.25">
      <c r="A3977" t="s">
        <v>82</v>
      </c>
    </row>
    <row r="3978" spans="1:11" x14ac:dyDescent="0.25">
      <c r="A3978">
        <v>2.94278907959478</v>
      </c>
      <c r="B3978">
        <v>67.148413319209794</v>
      </c>
      <c r="C3978">
        <v>2000</v>
      </c>
    </row>
    <row r="3979" spans="1:11" x14ac:dyDescent="0.25">
      <c r="A3979">
        <v>0</v>
      </c>
      <c r="B3979">
        <v>64.205624239615005</v>
      </c>
      <c r="C3979">
        <v>2000</v>
      </c>
    </row>
    <row r="3980" spans="1:11" x14ac:dyDescent="0.25">
      <c r="A3980">
        <v>0</v>
      </c>
      <c r="B3980">
        <v>64.205624239615005</v>
      </c>
      <c r="C3980">
        <v>2001</v>
      </c>
    </row>
    <row r="3981" spans="1:11" x14ac:dyDescent="0.25">
      <c r="A3981">
        <v>2.94278907959478</v>
      </c>
      <c r="B3981">
        <v>67.148413319209794</v>
      </c>
      <c r="C3981">
        <v>2001</v>
      </c>
    </row>
    <row r="3982" spans="1:11" x14ac:dyDescent="0.25">
      <c r="A3982">
        <v>2.94278907959478</v>
      </c>
      <c r="B3982">
        <v>67.148413319209794</v>
      </c>
      <c r="C3982">
        <v>2000</v>
      </c>
    </row>
    <row r="3983" spans="1:11" x14ac:dyDescent="0.25">
      <c r="A3983" t="s">
        <v>83</v>
      </c>
    </row>
    <row r="3984" spans="1:11" x14ac:dyDescent="0.25">
      <c r="A3984">
        <v>250</v>
      </c>
      <c r="B3984">
        <v>0</v>
      </c>
      <c r="C3984">
        <v>2.8265090025717501</v>
      </c>
      <c r="D3984">
        <v>0.92207238364426303</v>
      </c>
      <c r="E3984">
        <v>6</v>
      </c>
      <c r="F3984">
        <v>1.5707963267949001</v>
      </c>
      <c r="G3984" t="s">
        <v>81</v>
      </c>
      <c r="H3984" t="s">
        <v>84</v>
      </c>
      <c r="I3984">
        <v>0</v>
      </c>
      <c r="J3984">
        <v>256</v>
      </c>
      <c r="K3984">
        <v>0</v>
      </c>
    </row>
    <row r="3985" spans="1:11" x14ac:dyDescent="0.25">
      <c r="A3985" t="s">
        <v>82</v>
      </c>
    </row>
    <row r="3986" spans="1:11" x14ac:dyDescent="0.25">
      <c r="A3986">
        <v>122.72222097856999</v>
      </c>
      <c r="B3986">
        <v>1.9986436828033201</v>
      </c>
      <c r="C3986">
        <v>2000</v>
      </c>
    </row>
    <row r="3987" spans="1:11" x14ac:dyDescent="0.25">
      <c r="A3987">
        <v>120.723577295767</v>
      </c>
      <c r="B3987">
        <v>0</v>
      </c>
      <c r="C3987">
        <v>2000</v>
      </c>
    </row>
    <row r="3988" spans="1:11" x14ac:dyDescent="0.25">
      <c r="A3988">
        <v>120.723577295767</v>
      </c>
      <c r="B3988">
        <v>0</v>
      </c>
      <c r="C3988">
        <v>2001</v>
      </c>
    </row>
    <row r="3989" spans="1:11" x14ac:dyDescent="0.25">
      <c r="A3989">
        <v>122.72222097856999</v>
      </c>
      <c r="B3989">
        <v>1.9986436828033201</v>
      </c>
      <c r="C3989">
        <v>2001</v>
      </c>
    </row>
    <row r="3990" spans="1:11" x14ac:dyDescent="0.25">
      <c r="A3990">
        <v>123.37422461379001</v>
      </c>
      <c r="B3990">
        <v>2.6506473180230201</v>
      </c>
      <c r="C3990">
        <v>2001</v>
      </c>
    </row>
    <row r="3991" spans="1:11" x14ac:dyDescent="0.25">
      <c r="A3991">
        <v>123.37422461379001</v>
      </c>
      <c r="B3991">
        <v>2.6506473180230201</v>
      </c>
      <c r="C3991">
        <v>2000</v>
      </c>
    </row>
    <row r="3992" spans="1:11" x14ac:dyDescent="0.25">
      <c r="A3992" t="s">
        <v>83</v>
      </c>
    </row>
    <row r="3993" spans="1:11" x14ac:dyDescent="0.25">
      <c r="A3993">
        <v>165</v>
      </c>
      <c r="B3993">
        <v>0</v>
      </c>
      <c r="C3993">
        <v>3.4550711520081299</v>
      </c>
      <c r="D3993">
        <v>0</v>
      </c>
      <c r="E3993">
        <v>5</v>
      </c>
      <c r="F3993">
        <v>1.5707963267949001</v>
      </c>
      <c r="G3993" t="s">
        <v>84</v>
      </c>
      <c r="H3993" t="s">
        <v>84</v>
      </c>
      <c r="I3993">
        <v>169</v>
      </c>
      <c r="J3993">
        <v>193</v>
      </c>
      <c r="K3993">
        <v>0</v>
      </c>
    </row>
    <row r="3994" spans="1:11" x14ac:dyDescent="0.25">
      <c r="A3994" t="s">
        <v>82</v>
      </c>
    </row>
    <row r="3995" spans="1:11" x14ac:dyDescent="0.25">
      <c r="A3995">
        <v>106.71249049795399</v>
      </c>
      <c r="B3995">
        <v>75.997609156648394</v>
      </c>
      <c r="C3995">
        <v>2000</v>
      </c>
    </row>
    <row r="3996" spans="1:11" x14ac:dyDescent="0.25">
      <c r="A3996">
        <v>104.269386256887</v>
      </c>
      <c r="B3996">
        <v>73.554504915581504</v>
      </c>
      <c r="C3996">
        <v>2000</v>
      </c>
    </row>
    <row r="3997" spans="1:11" x14ac:dyDescent="0.25">
      <c r="A3997">
        <v>104.269386256887</v>
      </c>
      <c r="B3997">
        <v>73.554504915581504</v>
      </c>
      <c r="C3997">
        <v>2001</v>
      </c>
    </row>
    <row r="3998" spans="1:11" x14ac:dyDescent="0.25">
      <c r="A3998">
        <v>106.71249049795399</v>
      </c>
      <c r="B3998">
        <v>75.997609156648394</v>
      </c>
      <c r="C3998">
        <v>2001</v>
      </c>
    </row>
    <row r="3999" spans="1:11" x14ac:dyDescent="0.25">
      <c r="A3999">
        <v>106.71249049795399</v>
      </c>
      <c r="B3999">
        <v>75.997609156648394</v>
      </c>
      <c r="C3999">
        <v>2000</v>
      </c>
    </row>
    <row r="4000" spans="1:11" x14ac:dyDescent="0.25">
      <c r="A4000" t="s">
        <v>83</v>
      </c>
    </row>
    <row r="4001" spans="1:11" x14ac:dyDescent="0.25">
      <c r="A4001">
        <v>419</v>
      </c>
      <c r="B4001">
        <v>0</v>
      </c>
      <c r="C4001">
        <v>0</v>
      </c>
      <c r="D4001">
        <v>3.4243493135830598</v>
      </c>
      <c r="E4001">
        <v>4</v>
      </c>
      <c r="F4001">
        <v>1.5707963267949001</v>
      </c>
      <c r="G4001" t="s">
        <v>84</v>
      </c>
      <c r="H4001" t="s">
        <v>84</v>
      </c>
      <c r="I4001">
        <v>105</v>
      </c>
      <c r="J4001">
        <v>418</v>
      </c>
      <c r="K4001">
        <v>0</v>
      </c>
    </row>
    <row r="4002" spans="1:11" x14ac:dyDescent="0.25">
      <c r="A4002" t="s">
        <v>82</v>
      </c>
    </row>
    <row r="4003" spans="1:11" x14ac:dyDescent="0.25">
      <c r="A4003">
        <v>107.913524579682</v>
      </c>
      <c r="B4003">
        <v>111.95075976986</v>
      </c>
      <c r="C4003">
        <v>2000</v>
      </c>
    </row>
    <row r="4004" spans="1:11" x14ac:dyDescent="0.25">
      <c r="A4004">
        <v>107.913524579682</v>
      </c>
      <c r="B4004">
        <v>111.95075976986</v>
      </c>
      <c r="C4004">
        <v>2001</v>
      </c>
    </row>
    <row r="4005" spans="1:11" x14ac:dyDescent="0.25">
      <c r="A4005">
        <v>110.334905200468</v>
      </c>
      <c r="B4005">
        <v>114.372140390646</v>
      </c>
      <c r="C4005">
        <v>2001</v>
      </c>
    </row>
    <row r="4006" spans="1:11" x14ac:dyDescent="0.25">
      <c r="A4006">
        <v>110.334905200468</v>
      </c>
      <c r="B4006">
        <v>114.372140390646</v>
      </c>
      <c r="C4006">
        <v>2000</v>
      </c>
    </row>
    <row r="4007" spans="1:11" x14ac:dyDescent="0.25">
      <c r="A4007" t="s">
        <v>83</v>
      </c>
    </row>
    <row r="4008" spans="1:11" x14ac:dyDescent="0.25">
      <c r="A4008">
        <v>323</v>
      </c>
      <c r="B4008">
        <v>0</v>
      </c>
      <c r="C4008">
        <v>3.42067691622682</v>
      </c>
      <c r="D4008">
        <v>0</v>
      </c>
      <c r="E4008">
        <v>7</v>
      </c>
      <c r="F4008">
        <v>1.5707963267949001</v>
      </c>
      <c r="G4008" t="s">
        <v>84</v>
      </c>
      <c r="H4008" t="s">
        <v>84</v>
      </c>
      <c r="I4008">
        <v>748</v>
      </c>
      <c r="J4008">
        <v>431</v>
      </c>
      <c r="K4008">
        <v>0</v>
      </c>
    </row>
    <row r="4009" spans="1:11" x14ac:dyDescent="0.25">
      <c r="A4009" t="s">
        <v>82</v>
      </c>
    </row>
    <row r="4010" spans="1:11" x14ac:dyDescent="0.25">
      <c r="A4010">
        <v>87.889695289959107</v>
      </c>
      <c r="B4010">
        <v>101.928210573703</v>
      </c>
      <c r="C4010">
        <v>2000</v>
      </c>
    </row>
    <row r="4011" spans="1:11" x14ac:dyDescent="0.25">
      <c r="A4011">
        <v>85.961484716255896</v>
      </c>
      <c r="B4011">
        <v>100</v>
      </c>
      <c r="C4011">
        <v>2000</v>
      </c>
    </row>
    <row r="4012" spans="1:11" x14ac:dyDescent="0.25">
      <c r="A4012">
        <v>85.470911446246802</v>
      </c>
      <c r="B4012">
        <v>99.509426729990906</v>
      </c>
      <c r="C4012">
        <v>2000</v>
      </c>
    </row>
    <row r="4013" spans="1:11" x14ac:dyDescent="0.25">
      <c r="A4013">
        <v>85.470911446246802</v>
      </c>
      <c r="B4013">
        <v>99.509426729990906</v>
      </c>
      <c r="C4013">
        <v>2001</v>
      </c>
    </row>
    <row r="4014" spans="1:11" x14ac:dyDescent="0.25">
      <c r="A4014">
        <v>85.961484716255896</v>
      </c>
      <c r="B4014">
        <v>100</v>
      </c>
      <c r="C4014">
        <v>2001</v>
      </c>
    </row>
    <row r="4015" spans="1:11" x14ac:dyDescent="0.25">
      <c r="A4015">
        <v>87.889695289959107</v>
      </c>
      <c r="B4015">
        <v>101.928210573703</v>
      </c>
      <c r="C4015">
        <v>2001</v>
      </c>
    </row>
    <row r="4016" spans="1:11" x14ac:dyDescent="0.25">
      <c r="A4016">
        <v>87.889695289959107</v>
      </c>
      <c r="B4016">
        <v>101.928210573703</v>
      </c>
      <c r="C4016">
        <v>2000</v>
      </c>
    </row>
    <row r="4017" spans="1:11" x14ac:dyDescent="0.25">
      <c r="A4017" t="s">
        <v>83</v>
      </c>
    </row>
    <row r="4018" spans="1:11" x14ac:dyDescent="0.25">
      <c r="A4018">
        <v>95</v>
      </c>
      <c r="B4018">
        <v>0</v>
      </c>
      <c r="C4018">
        <v>0</v>
      </c>
      <c r="D4018">
        <v>2.95034730953881</v>
      </c>
      <c r="E4018">
        <v>6</v>
      </c>
      <c r="F4018">
        <v>1.5707963267949001</v>
      </c>
      <c r="G4018" t="s">
        <v>84</v>
      </c>
      <c r="H4018" t="s">
        <v>84</v>
      </c>
      <c r="I4018">
        <v>98</v>
      </c>
      <c r="J4018">
        <v>415</v>
      </c>
      <c r="K4018">
        <v>0</v>
      </c>
    </row>
    <row r="4019" spans="1:11" x14ac:dyDescent="0.25">
      <c r="A4019" t="s">
        <v>82</v>
      </c>
    </row>
    <row r="4020" spans="1:11" x14ac:dyDescent="0.25">
      <c r="A4020">
        <v>98.702964430536596</v>
      </c>
      <c r="B4020">
        <v>88.061444304446397</v>
      </c>
      <c r="C4020">
        <v>2000</v>
      </c>
    </row>
    <row r="4021" spans="1:11" x14ac:dyDescent="0.25">
      <c r="A4021">
        <v>98.702964430536596</v>
      </c>
      <c r="B4021">
        <v>88.061444304446397</v>
      </c>
      <c r="C4021">
        <v>2001</v>
      </c>
    </row>
    <row r="4022" spans="1:11" x14ac:dyDescent="0.25">
      <c r="A4022">
        <v>100</v>
      </c>
      <c r="B4022">
        <v>89.358479873909801</v>
      </c>
      <c r="C4022">
        <v>2001</v>
      </c>
    </row>
    <row r="4023" spans="1:11" x14ac:dyDescent="0.25">
      <c r="A4023">
        <v>100.789175019967</v>
      </c>
      <c r="B4023">
        <v>90.147654893876805</v>
      </c>
      <c r="C4023">
        <v>2001</v>
      </c>
    </row>
    <row r="4024" spans="1:11" x14ac:dyDescent="0.25">
      <c r="A4024">
        <v>100.789175019967</v>
      </c>
      <c r="B4024">
        <v>90.147654893876805</v>
      </c>
      <c r="C4024">
        <v>2000</v>
      </c>
    </row>
    <row r="4025" spans="1:11" x14ac:dyDescent="0.25">
      <c r="A4025">
        <v>100</v>
      </c>
      <c r="B4025">
        <v>89.358479873909801</v>
      </c>
      <c r="C4025">
        <v>2000</v>
      </c>
    </row>
    <row r="4026" spans="1:11" x14ac:dyDescent="0.25">
      <c r="A4026" t="s">
        <v>83</v>
      </c>
    </row>
    <row r="4027" spans="1:11" x14ac:dyDescent="0.25">
      <c r="A4027">
        <v>331</v>
      </c>
      <c r="B4027">
        <v>0</v>
      </c>
      <c r="C4027">
        <v>0.76051970101960398</v>
      </c>
      <c r="D4027">
        <v>2.1336085752870102</v>
      </c>
      <c r="E4027">
        <v>8</v>
      </c>
      <c r="F4027">
        <v>1.5707963267949001</v>
      </c>
      <c r="G4027" t="s">
        <v>84</v>
      </c>
      <c r="H4027" t="s">
        <v>84</v>
      </c>
      <c r="I4027">
        <v>578</v>
      </c>
      <c r="J4027">
        <v>332</v>
      </c>
      <c r="K4027">
        <v>0</v>
      </c>
    </row>
    <row r="4028" spans="1:11" x14ac:dyDescent="0.25">
      <c r="A4028" t="s">
        <v>82</v>
      </c>
    </row>
    <row r="4029" spans="1:11" x14ac:dyDescent="0.25">
      <c r="A4029">
        <v>50.249272619955804</v>
      </c>
      <c r="B4029">
        <v>134.52592485562201</v>
      </c>
      <c r="C4029">
        <v>2000</v>
      </c>
    </row>
    <row r="4030" spans="1:11" x14ac:dyDescent="0.25">
      <c r="A4030">
        <v>50</v>
      </c>
      <c r="B4030">
        <v>134.276652235667</v>
      </c>
      <c r="C4030">
        <v>2000</v>
      </c>
    </row>
    <row r="4031" spans="1:11" x14ac:dyDescent="0.25">
      <c r="A4031">
        <v>49.7115039821389</v>
      </c>
      <c r="B4031">
        <v>133.988156217805</v>
      </c>
      <c r="C4031">
        <v>2000</v>
      </c>
    </row>
    <row r="4032" spans="1:11" x14ac:dyDescent="0.25">
      <c r="A4032">
        <v>49.7115039821389</v>
      </c>
      <c r="B4032">
        <v>133.988156217805</v>
      </c>
      <c r="C4032">
        <v>2001</v>
      </c>
    </row>
    <row r="4033" spans="1:11" x14ac:dyDescent="0.25">
      <c r="A4033">
        <v>50</v>
      </c>
      <c r="B4033">
        <v>134.276652235667</v>
      </c>
      <c r="C4033">
        <v>2001</v>
      </c>
    </row>
    <row r="4034" spans="1:11" x14ac:dyDescent="0.25">
      <c r="A4034">
        <v>50.249272619955804</v>
      </c>
      <c r="B4034">
        <v>134.52592485562201</v>
      </c>
      <c r="C4034">
        <v>2001</v>
      </c>
    </row>
    <row r="4035" spans="1:11" x14ac:dyDescent="0.25">
      <c r="A4035">
        <v>51.757961711938997</v>
      </c>
      <c r="B4035">
        <v>136.034613947606</v>
      </c>
      <c r="C4035">
        <v>2001</v>
      </c>
    </row>
    <row r="4036" spans="1:11" x14ac:dyDescent="0.25">
      <c r="A4036">
        <v>51.757961711938997</v>
      </c>
      <c r="B4036">
        <v>136.034613947606</v>
      </c>
      <c r="C4036">
        <v>2000</v>
      </c>
    </row>
    <row r="4037" spans="1:11" x14ac:dyDescent="0.25">
      <c r="A4037" t="s">
        <v>83</v>
      </c>
    </row>
    <row r="4038" spans="1:11" x14ac:dyDescent="0.25">
      <c r="A4038">
        <v>5</v>
      </c>
      <c r="B4038">
        <v>0</v>
      </c>
      <c r="C4038">
        <v>0.68993281029422004</v>
      </c>
      <c r="D4038">
        <v>2.0959559592209098</v>
      </c>
      <c r="E4038">
        <v>6</v>
      </c>
      <c r="F4038">
        <v>1.5707963267949001</v>
      </c>
      <c r="G4038" t="s">
        <v>84</v>
      </c>
      <c r="H4038" t="s">
        <v>84</v>
      </c>
      <c r="I4038">
        <v>19</v>
      </c>
      <c r="J4038">
        <v>17</v>
      </c>
      <c r="K4038">
        <v>0</v>
      </c>
    </row>
    <row r="4039" spans="1:11" x14ac:dyDescent="0.25">
      <c r="A4039" t="s">
        <v>82</v>
      </c>
    </row>
    <row r="4040" spans="1:11" x14ac:dyDescent="0.25">
      <c r="A4040">
        <v>9.5201394681446807</v>
      </c>
      <c r="B4040">
        <v>23.4555373426786</v>
      </c>
      <c r="C4040">
        <v>2000</v>
      </c>
    </row>
    <row r="4041" spans="1:11" x14ac:dyDescent="0.25">
      <c r="A4041">
        <v>9.0322832994225504</v>
      </c>
      <c r="B4041">
        <v>22.9676811739564</v>
      </c>
      <c r="C4041">
        <v>2000</v>
      </c>
    </row>
    <row r="4042" spans="1:11" x14ac:dyDescent="0.25">
      <c r="A4042">
        <v>9.0322832994225504</v>
      </c>
      <c r="B4042">
        <v>22.9676811739564</v>
      </c>
      <c r="C4042">
        <v>2001</v>
      </c>
    </row>
    <row r="4043" spans="1:11" x14ac:dyDescent="0.25">
      <c r="A4043">
        <v>9.5201394681446807</v>
      </c>
      <c r="B4043">
        <v>23.4555373426786</v>
      </c>
      <c r="C4043">
        <v>2001</v>
      </c>
    </row>
    <row r="4044" spans="1:11" x14ac:dyDescent="0.25">
      <c r="A4044">
        <v>11.002204139978099</v>
      </c>
      <c r="B4044">
        <v>24.937602014511999</v>
      </c>
      <c r="C4044">
        <v>2001</v>
      </c>
    </row>
    <row r="4045" spans="1:11" x14ac:dyDescent="0.25">
      <c r="A4045">
        <v>11.002204139978099</v>
      </c>
      <c r="B4045">
        <v>24.937602014511999</v>
      </c>
      <c r="C4045">
        <v>2000</v>
      </c>
    </row>
    <row r="4046" spans="1:11" x14ac:dyDescent="0.25">
      <c r="A4046" t="s">
        <v>83</v>
      </c>
    </row>
    <row r="4047" spans="1:11" x14ac:dyDescent="0.25">
      <c r="A4047">
        <v>424</v>
      </c>
      <c r="B4047">
        <v>0</v>
      </c>
      <c r="C4047">
        <v>1.9038656406997601</v>
      </c>
      <c r="D4047">
        <v>0.83492477195588299</v>
      </c>
      <c r="E4047">
        <v>6</v>
      </c>
      <c r="F4047">
        <v>1.01722196789785</v>
      </c>
      <c r="G4047" t="s">
        <v>84</v>
      </c>
      <c r="H4047" t="s">
        <v>84</v>
      </c>
      <c r="I4047">
        <v>747</v>
      </c>
      <c r="J4047">
        <v>401</v>
      </c>
      <c r="K4047">
        <v>0</v>
      </c>
    </row>
    <row r="4048" spans="1:11" x14ac:dyDescent="0.25">
      <c r="A4048" t="s">
        <v>82</v>
      </c>
    </row>
    <row r="4049" spans="1:11" x14ac:dyDescent="0.25">
      <c r="A4049">
        <v>113.494490648389</v>
      </c>
      <c r="B4049">
        <v>117.735249095469</v>
      </c>
      <c r="C4049">
        <v>2000</v>
      </c>
    </row>
    <row r="4050" spans="1:11" x14ac:dyDescent="0.25">
      <c r="A4050">
        <v>112.14825434338201</v>
      </c>
      <c r="B4050">
        <v>116.389012790462</v>
      </c>
      <c r="C4050">
        <v>2000</v>
      </c>
    </row>
    <row r="4051" spans="1:11" x14ac:dyDescent="0.25">
      <c r="A4051">
        <v>112.585270367831</v>
      </c>
      <c r="B4051">
        <v>115.951996766013</v>
      </c>
      <c r="C4051">
        <v>2001</v>
      </c>
    </row>
    <row r="4052" spans="1:11" x14ac:dyDescent="0.25">
      <c r="A4052">
        <v>113.931506672838</v>
      </c>
      <c r="B4052">
        <v>117.29823307101999</v>
      </c>
      <c r="C4052">
        <v>2001</v>
      </c>
    </row>
    <row r="4053" spans="1:11" x14ac:dyDescent="0.25">
      <c r="A4053">
        <v>114.521887640868</v>
      </c>
      <c r="B4053">
        <v>117.88861403905</v>
      </c>
      <c r="C4053">
        <v>2001</v>
      </c>
    </row>
    <row r="4054" spans="1:11" x14ac:dyDescent="0.25">
      <c r="A4054">
        <v>114.08487161642</v>
      </c>
      <c r="B4054">
        <v>118.32563006349901</v>
      </c>
      <c r="C4054">
        <v>2000</v>
      </c>
    </row>
    <row r="4055" spans="1:11" x14ac:dyDescent="0.25">
      <c r="A4055" t="s">
        <v>83</v>
      </c>
    </row>
    <row r="4056" spans="1:11" x14ac:dyDescent="0.25">
      <c r="A4056">
        <v>418</v>
      </c>
      <c r="B4056">
        <v>0</v>
      </c>
      <c r="C4056">
        <v>2.7083756263107301</v>
      </c>
      <c r="D4056">
        <v>0</v>
      </c>
      <c r="E4056">
        <v>5</v>
      </c>
      <c r="F4056">
        <v>1.5707963267949001</v>
      </c>
      <c r="G4056" t="s">
        <v>84</v>
      </c>
      <c r="H4056" t="s">
        <v>84</v>
      </c>
      <c r="I4056">
        <v>419</v>
      </c>
      <c r="J4056">
        <v>424</v>
      </c>
      <c r="K4056">
        <v>0</v>
      </c>
    </row>
    <row r="4057" spans="1:11" x14ac:dyDescent="0.25">
      <c r="A4057" t="s">
        <v>82</v>
      </c>
    </row>
    <row r="4058" spans="1:11" x14ac:dyDescent="0.25">
      <c r="A4058">
        <v>112.39120382228499</v>
      </c>
      <c r="B4058">
        <v>116.146063311559</v>
      </c>
      <c r="C4058">
        <v>2000</v>
      </c>
    </row>
    <row r="4059" spans="1:11" x14ac:dyDescent="0.25">
      <c r="A4059">
        <v>110.47609305092</v>
      </c>
      <c r="B4059">
        <v>114.23095254019501</v>
      </c>
      <c r="C4059">
        <v>2000</v>
      </c>
    </row>
    <row r="4060" spans="1:11" x14ac:dyDescent="0.25">
      <c r="A4060">
        <v>110.47609305092</v>
      </c>
      <c r="B4060">
        <v>114.23095254019501</v>
      </c>
      <c r="C4060">
        <v>2001</v>
      </c>
    </row>
    <row r="4061" spans="1:11" x14ac:dyDescent="0.25">
      <c r="A4061">
        <v>112.39120382228499</v>
      </c>
      <c r="B4061">
        <v>116.146063311559</v>
      </c>
      <c r="C4061">
        <v>2001</v>
      </c>
    </row>
    <row r="4062" spans="1:11" x14ac:dyDescent="0.25">
      <c r="A4062">
        <v>112.39120382228499</v>
      </c>
      <c r="B4062">
        <v>116.146063311559</v>
      </c>
      <c r="C4062">
        <v>2000</v>
      </c>
    </row>
    <row r="4063" spans="1:11" x14ac:dyDescent="0.25">
      <c r="A4063" t="s">
        <v>83</v>
      </c>
    </row>
    <row r="4064" spans="1:11" x14ac:dyDescent="0.25">
      <c r="A4064">
        <v>496</v>
      </c>
      <c r="B4064">
        <v>0</v>
      </c>
      <c r="C4064">
        <v>2.5354298678080398</v>
      </c>
      <c r="D4064">
        <v>0</v>
      </c>
      <c r="E4064">
        <v>5</v>
      </c>
      <c r="F4064">
        <v>1.5707963267949001</v>
      </c>
      <c r="G4064" t="s">
        <v>84</v>
      </c>
      <c r="H4064" t="s">
        <v>84</v>
      </c>
      <c r="I4064">
        <v>489</v>
      </c>
      <c r="J4064">
        <v>516</v>
      </c>
      <c r="K4064">
        <v>0</v>
      </c>
    </row>
    <row r="4065" spans="1:11" x14ac:dyDescent="0.25">
      <c r="A4065" t="s">
        <v>82</v>
      </c>
    </row>
    <row r="4066" spans="1:11" x14ac:dyDescent="0.25">
      <c r="A4066">
        <v>61.833271680787803</v>
      </c>
      <c r="B4066">
        <v>26.713018306397402</v>
      </c>
      <c r="C4066">
        <v>2000</v>
      </c>
    </row>
    <row r="4067" spans="1:11" x14ac:dyDescent="0.25">
      <c r="A4067">
        <v>60.040452028037798</v>
      </c>
      <c r="B4067">
        <v>24.9201986536474</v>
      </c>
      <c r="C4067">
        <v>2000</v>
      </c>
    </row>
    <row r="4068" spans="1:11" x14ac:dyDescent="0.25">
      <c r="A4068">
        <v>60.040452028037798</v>
      </c>
      <c r="B4068">
        <v>24.9201986536474</v>
      </c>
      <c r="C4068">
        <v>2001</v>
      </c>
    </row>
    <row r="4069" spans="1:11" x14ac:dyDescent="0.25">
      <c r="A4069">
        <v>61.833271680787803</v>
      </c>
      <c r="B4069">
        <v>26.713018306397402</v>
      </c>
      <c r="C4069">
        <v>2001</v>
      </c>
    </row>
    <row r="4070" spans="1:11" x14ac:dyDescent="0.25">
      <c r="A4070">
        <v>61.833271680787803</v>
      </c>
      <c r="B4070">
        <v>26.713018306397402</v>
      </c>
      <c r="C4070">
        <v>2000</v>
      </c>
    </row>
    <row r="4071" spans="1:11" x14ac:dyDescent="0.25">
      <c r="A4071" t="s">
        <v>83</v>
      </c>
    </row>
    <row r="4072" spans="1:11" x14ac:dyDescent="0.25">
      <c r="A4072">
        <v>495</v>
      </c>
      <c r="B4072">
        <v>0</v>
      </c>
      <c r="C4072">
        <v>2.3702802002860599</v>
      </c>
      <c r="D4072">
        <v>0</v>
      </c>
      <c r="E4072">
        <v>5</v>
      </c>
      <c r="F4072">
        <v>1.5707963267949001</v>
      </c>
      <c r="G4072" t="s">
        <v>81</v>
      </c>
      <c r="H4072" t="s">
        <v>84</v>
      </c>
      <c r="I4072">
        <v>0</v>
      </c>
      <c r="J4072">
        <v>509</v>
      </c>
      <c r="K4072">
        <v>0</v>
      </c>
    </row>
    <row r="4073" spans="1:11" x14ac:dyDescent="0.25">
      <c r="A4073" t="s">
        <v>82</v>
      </c>
    </row>
    <row r="4074" spans="1:11" x14ac:dyDescent="0.25">
      <c r="A4074">
        <v>60.788216644799398</v>
      </c>
      <c r="B4074">
        <v>1.67604120293448</v>
      </c>
      <c r="C4074">
        <v>2000</v>
      </c>
    </row>
    <row r="4075" spans="1:11" x14ac:dyDescent="0.25">
      <c r="A4075">
        <v>59.112175441864899</v>
      </c>
      <c r="B4075">
        <v>0</v>
      </c>
      <c r="C4075">
        <v>2000</v>
      </c>
    </row>
    <row r="4076" spans="1:11" x14ac:dyDescent="0.25">
      <c r="A4076">
        <v>59.112175441864899</v>
      </c>
      <c r="B4076">
        <v>0</v>
      </c>
      <c r="C4076">
        <v>2001</v>
      </c>
    </row>
    <row r="4077" spans="1:11" x14ac:dyDescent="0.25">
      <c r="A4077">
        <v>60.788216644799398</v>
      </c>
      <c r="B4077">
        <v>1.67604120293448</v>
      </c>
      <c r="C4077">
        <v>2001</v>
      </c>
    </row>
    <row r="4078" spans="1:11" x14ac:dyDescent="0.25">
      <c r="A4078">
        <v>60.788216644799398</v>
      </c>
      <c r="B4078">
        <v>1.67604120293448</v>
      </c>
      <c r="C4078">
        <v>2000</v>
      </c>
    </row>
    <row r="4079" spans="1:11" x14ac:dyDescent="0.25">
      <c r="A4079" t="s">
        <v>83</v>
      </c>
    </row>
    <row r="4080" spans="1:11" x14ac:dyDescent="0.25">
      <c r="A4080">
        <v>410</v>
      </c>
      <c r="B4080">
        <v>0</v>
      </c>
      <c r="C4080">
        <v>2.2966701224400499</v>
      </c>
      <c r="D4080">
        <v>0</v>
      </c>
      <c r="E4080">
        <v>5</v>
      </c>
      <c r="F4080">
        <v>1.5707963267949001</v>
      </c>
      <c r="G4080" t="s">
        <v>84</v>
      </c>
      <c r="H4080" t="s">
        <v>84</v>
      </c>
      <c r="I4080">
        <v>420</v>
      </c>
      <c r="J4080">
        <v>722</v>
      </c>
      <c r="K4080">
        <v>0</v>
      </c>
    </row>
    <row r="4081" spans="1:11" x14ac:dyDescent="0.25">
      <c r="A4081" t="s">
        <v>82</v>
      </c>
    </row>
    <row r="4082" spans="1:11" x14ac:dyDescent="0.25">
      <c r="A4082">
        <v>119.65801892553399</v>
      </c>
      <c r="B4082">
        <v>118.81442006855001</v>
      </c>
      <c r="C4082">
        <v>2000</v>
      </c>
    </row>
    <row r="4083" spans="1:11" x14ac:dyDescent="0.25">
      <c r="A4083">
        <v>118.034027907808</v>
      </c>
      <c r="B4083">
        <v>117.19042905082399</v>
      </c>
      <c r="C4083">
        <v>2000</v>
      </c>
    </row>
    <row r="4084" spans="1:11" x14ac:dyDescent="0.25">
      <c r="A4084">
        <v>118.034027907808</v>
      </c>
      <c r="B4084">
        <v>117.19042905082399</v>
      </c>
      <c r="C4084">
        <v>2001</v>
      </c>
    </row>
    <row r="4085" spans="1:11" x14ac:dyDescent="0.25">
      <c r="A4085">
        <v>119.65801892553399</v>
      </c>
      <c r="B4085">
        <v>118.81442006855001</v>
      </c>
      <c r="C4085">
        <v>2001</v>
      </c>
    </row>
    <row r="4086" spans="1:11" x14ac:dyDescent="0.25">
      <c r="A4086">
        <v>119.65801892553399</v>
      </c>
      <c r="B4086">
        <v>118.81442006855001</v>
      </c>
      <c r="C4086">
        <v>2000</v>
      </c>
    </row>
    <row r="4087" spans="1:11" x14ac:dyDescent="0.25">
      <c r="A4087" t="s">
        <v>83</v>
      </c>
    </row>
    <row r="4088" spans="1:11" x14ac:dyDescent="0.25">
      <c r="A4088">
        <v>497</v>
      </c>
      <c r="B4088">
        <v>0</v>
      </c>
      <c r="C4088">
        <v>2.2296002092179101</v>
      </c>
      <c r="D4088">
        <v>0</v>
      </c>
      <c r="E4088">
        <v>5</v>
      </c>
      <c r="F4088">
        <v>1.5707963267949001</v>
      </c>
      <c r="G4088" t="s">
        <v>84</v>
      </c>
      <c r="H4088" t="s">
        <v>84</v>
      </c>
      <c r="I4088">
        <v>40</v>
      </c>
      <c r="J4088">
        <v>82</v>
      </c>
      <c r="K4088">
        <v>0</v>
      </c>
    </row>
    <row r="4089" spans="1:11" x14ac:dyDescent="0.25">
      <c r="A4089" t="s">
        <v>82</v>
      </c>
    </row>
    <row r="4090" spans="1:11" x14ac:dyDescent="0.25">
      <c r="A4090">
        <v>61.406610969643403</v>
      </c>
      <c r="B4090">
        <v>46.516774511671102</v>
      </c>
      <c r="C4090">
        <v>2000</v>
      </c>
    </row>
    <row r="4091" spans="1:11" x14ac:dyDescent="0.25">
      <c r="A4091">
        <v>59.830045542370499</v>
      </c>
      <c r="B4091">
        <v>44.940209084398099</v>
      </c>
      <c r="C4091">
        <v>2000</v>
      </c>
    </row>
    <row r="4092" spans="1:11" x14ac:dyDescent="0.25">
      <c r="A4092">
        <v>59.830045542370499</v>
      </c>
      <c r="B4092">
        <v>44.940209084398099</v>
      </c>
      <c r="C4092">
        <v>2001</v>
      </c>
    </row>
    <row r="4093" spans="1:11" x14ac:dyDescent="0.25">
      <c r="A4093">
        <v>61.406610969643403</v>
      </c>
      <c r="B4093">
        <v>46.516774511671102</v>
      </c>
      <c r="C4093">
        <v>2001</v>
      </c>
    </row>
    <row r="4094" spans="1:11" x14ac:dyDescent="0.25">
      <c r="A4094">
        <v>61.406610969643403</v>
      </c>
      <c r="B4094">
        <v>46.516774511671102</v>
      </c>
      <c r="C4094">
        <v>2000</v>
      </c>
    </row>
    <row r="4095" spans="1:11" x14ac:dyDescent="0.25">
      <c r="A4095" t="s">
        <v>83</v>
      </c>
    </row>
    <row r="4096" spans="1:11" x14ac:dyDescent="0.25">
      <c r="A4096">
        <v>652</v>
      </c>
      <c r="B4096">
        <v>0</v>
      </c>
      <c r="C4096">
        <v>2.0353874850562801</v>
      </c>
      <c r="D4096">
        <v>0</v>
      </c>
      <c r="E4096">
        <v>5</v>
      </c>
      <c r="F4096">
        <v>1.5707963267949001</v>
      </c>
      <c r="G4096" t="s">
        <v>84</v>
      </c>
      <c r="H4096" t="s">
        <v>84</v>
      </c>
      <c r="I4096">
        <v>647</v>
      </c>
      <c r="J4096">
        <v>660</v>
      </c>
      <c r="K4096">
        <v>0</v>
      </c>
    </row>
    <row r="4097" spans="1:11" x14ac:dyDescent="0.25">
      <c r="A4097" t="s">
        <v>82</v>
      </c>
    </row>
    <row r="4098" spans="1:11" x14ac:dyDescent="0.25">
      <c r="A4098">
        <v>21.051366299414699</v>
      </c>
      <c r="B4098">
        <v>57.036566376703099</v>
      </c>
      <c r="C4098">
        <v>2000</v>
      </c>
    </row>
    <row r="4099" spans="1:11" x14ac:dyDescent="0.25">
      <c r="A4099">
        <v>19.612130006389201</v>
      </c>
      <c r="B4099">
        <v>55.597330083677598</v>
      </c>
      <c r="C4099">
        <v>2000</v>
      </c>
    </row>
    <row r="4100" spans="1:11" x14ac:dyDescent="0.25">
      <c r="A4100">
        <v>19.612130006389201</v>
      </c>
      <c r="B4100">
        <v>55.597330083677598</v>
      </c>
      <c r="C4100">
        <v>2001</v>
      </c>
    </row>
    <row r="4101" spans="1:11" x14ac:dyDescent="0.25">
      <c r="A4101">
        <v>21.051366299414699</v>
      </c>
      <c r="B4101">
        <v>57.036566376703099</v>
      </c>
      <c r="C4101">
        <v>2001</v>
      </c>
    </row>
    <row r="4102" spans="1:11" x14ac:dyDescent="0.25">
      <c r="A4102">
        <v>21.051366299414699</v>
      </c>
      <c r="B4102">
        <v>57.036566376703099</v>
      </c>
      <c r="C4102">
        <v>2000</v>
      </c>
    </row>
    <row r="4103" spans="1:11" x14ac:dyDescent="0.25">
      <c r="A4103" t="s">
        <v>83</v>
      </c>
    </row>
    <row r="4104" spans="1:11" x14ac:dyDescent="0.25">
      <c r="A4104">
        <v>29</v>
      </c>
      <c r="B4104">
        <v>0</v>
      </c>
      <c r="C4104">
        <v>1.4932412596400699</v>
      </c>
      <c r="D4104">
        <v>0.377909100869667</v>
      </c>
      <c r="E4104">
        <v>6</v>
      </c>
      <c r="F4104">
        <v>1.01722196789785</v>
      </c>
      <c r="G4104" t="s">
        <v>81</v>
      </c>
      <c r="H4104" t="s">
        <v>84</v>
      </c>
      <c r="I4104">
        <v>0</v>
      </c>
      <c r="J4104">
        <v>30</v>
      </c>
      <c r="K4104">
        <v>0</v>
      </c>
    </row>
    <row r="4105" spans="1:11" x14ac:dyDescent="0.25">
      <c r="A4105" t="s">
        <v>82</v>
      </c>
    </row>
    <row r="4106" spans="1:11" x14ac:dyDescent="0.25">
      <c r="A4106">
        <v>14.804227236952199</v>
      </c>
      <c r="B4106">
        <v>1.2302578031262199</v>
      </c>
      <c r="C4106">
        <v>2000</v>
      </c>
    </row>
    <row r="4107" spans="1:11" x14ac:dyDescent="0.25">
      <c r="A4107">
        <v>13.573969433826001</v>
      </c>
      <c r="B4107">
        <v>0</v>
      </c>
      <c r="C4107">
        <v>2000</v>
      </c>
    </row>
    <row r="4108" spans="1:11" x14ac:dyDescent="0.25">
      <c r="A4108">
        <v>14.448001482723599</v>
      </c>
      <c r="B4108">
        <v>0</v>
      </c>
      <c r="C4108">
        <v>2001</v>
      </c>
    </row>
    <row r="4109" spans="1:11" x14ac:dyDescent="0.25">
      <c r="A4109">
        <v>15.329505720875501</v>
      </c>
      <c r="B4109">
        <v>0.88150423815185197</v>
      </c>
      <c r="C4109">
        <v>2001</v>
      </c>
    </row>
    <row r="4110" spans="1:11" x14ac:dyDescent="0.25">
      <c r="A4110">
        <v>15.552596579035299</v>
      </c>
      <c r="B4110">
        <v>1.10459509631168</v>
      </c>
      <c r="C4110">
        <v>2001</v>
      </c>
    </row>
    <row r="4111" spans="1:11" x14ac:dyDescent="0.25">
      <c r="A4111">
        <v>15.115580554586501</v>
      </c>
      <c r="B4111">
        <v>1.5416111207605001</v>
      </c>
      <c r="C4111">
        <v>2000</v>
      </c>
    </row>
    <row r="4112" spans="1:11" x14ac:dyDescent="0.25">
      <c r="A4112" t="s">
        <v>83</v>
      </c>
    </row>
    <row r="4113" spans="1:11" x14ac:dyDescent="0.25">
      <c r="A4113">
        <v>416</v>
      </c>
      <c r="B4113">
        <v>0</v>
      </c>
      <c r="C4113">
        <v>0</v>
      </c>
      <c r="D4113">
        <v>1.44081792283939</v>
      </c>
      <c r="E4113">
        <v>4</v>
      </c>
      <c r="F4113">
        <v>1.5707963267949001</v>
      </c>
      <c r="G4113" t="s">
        <v>84</v>
      </c>
      <c r="H4113" t="s">
        <v>81</v>
      </c>
      <c r="I4113">
        <v>417</v>
      </c>
      <c r="J4113">
        <v>0</v>
      </c>
      <c r="K4113">
        <v>0</v>
      </c>
    </row>
    <row r="4114" spans="1:11" x14ac:dyDescent="0.25">
      <c r="A4114" t="s">
        <v>82</v>
      </c>
    </row>
    <row r="4115" spans="1:11" x14ac:dyDescent="0.25">
      <c r="A4115">
        <v>148.981187876305</v>
      </c>
      <c r="B4115">
        <v>123.88648108993</v>
      </c>
      <c r="C4115">
        <v>2000</v>
      </c>
    </row>
    <row r="4116" spans="1:11" x14ac:dyDescent="0.25">
      <c r="A4116">
        <v>148.981187876305</v>
      </c>
      <c r="B4116">
        <v>123.88648108993</v>
      </c>
      <c r="C4116">
        <v>2001</v>
      </c>
    </row>
    <row r="4117" spans="1:11" x14ac:dyDescent="0.25">
      <c r="A4117">
        <v>150</v>
      </c>
      <c r="B4117">
        <v>124.905293213625</v>
      </c>
      <c r="C4117">
        <v>2001</v>
      </c>
    </row>
    <row r="4118" spans="1:11" x14ac:dyDescent="0.25">
      <c r="A4118">
        <v>150</v>
      </c>
      <c r="B4118">
        <v>124.905293213625</v>
      </c>
      <c r="C4118">
        <v>2000</v>
      </c>
    </row>
    <row r="4119" spans="1:11" x14ac:dyDescent="0.25">
      <c r="A4119" t="s">
        <v>83</v>
      </c>
    </row>
    <row r="4120" spans="1:11" x14ac:dyDescent="0.25">
      <c r="A4120">
        <v>166</v>
      </c>
      <c r="B4120">
        <v>0</v>
      </c>
      <c r="C4120">
        <v>0</v>
      </c>
      <c r="D4120">
        <v>1.14214377573123</v>
      </c>
      <c r="E4120">
        <v>4</v>
      </c>
      <c r="F4120">
        <v>1.5707963267949001</v>
      </c>
      <c r="G4120" t="s">
        <v>84</v>
      </c>
      <c r="H4120" t="s">
        <v>84</v>
      </c>
      <c r="I4120">
        <v>263</v>
      </c>
      <c r="J4120">
        <v>171</v>
      </c>
      <c r="K4120">
        <v>0</v>
      </c>
    </row>
    <row r="4121" spans="1:11" x14ac:dyDescent="0.25">
      <c r="A4121" t="s">
        <v>82</v>
      </c>
    </row>
    <row r="4122" spans="1:11" x14ac:dyDescent="0.25">
      <c r="A4122">
        <v>135.36608103214101</v>
      </c>
      <c r="B4122">
        <v>74.977516499337497</v>
      </c>
      <c r="C4122">
        <v>2000</v>
      </c>
    </row>
    <row r="4123" spans="1:11" x14ac:dyDescent="0.25">
      <c r="A4123">
        <v>135.36608103214101</v>
      </c>
      <c r="B4123">
        <v>74.977516499337497</v>
      </c>
      <c r="C4123">
        <v>2001</v>
      </c>
    </row>
    <row r="4124" spans="1:11" x14ac:dyDescent="0.25">
      <c r="A4124">
        <v>136.173698641051</v>
      </c>
      <c r="B4124">
        <v>75.785134108247107</v>
      </c>
      <c r="C4124">
        <v>2001</v>
      </c>
    </row>
    <row r="4125" spans="1:11" x14ac:dyDescent="0.25">
      <c r="A4125">
        <v>136.173698641051</v>
      </c>
      <c r="B4125">
        <v>75.785134108247107</v>
      </c>
      <c r="C4125">
        <v>2000</v>
      </c>
    </row>
    <row r="4126" spans="1:11" x14ac:dyDescent="0.25">
      <c r="A4126" t="s">
        <v>83</v>
      </c>
    </row>
    <row r="4127" spans="1:11" x14ac:dyDescent="0.25">
      <c r="A4127">
        <v>487</v>
      </c>
      <c r="B4127">
        <v>0</v>
      </c>
      <c r="C4127">
        <v>0</v>
      </c>
      <c r="D4127">
        <v>1.1331248350032599</v>
      </c>
      <c r="E4127">
        <v>4</v>
      </c>
      <c r="F4127">
        <v>1.5707963267949001</v>
      </c>
      <c r="G4127" t="s">
        <v>84</v>
      </c>
      <c r="H4127" t="s">
        <v>84</v>
      </c>
      <c r="I4127">
        <v>514</v>
      </c>
      <c r="J4127">
        <v>500</v>
      </c>
      <c r="K4127">
        <v>0</v>
      </c>
    </row>
    <row r="4128" spans="1:11" x14ac:dyDescent="0.25">
      <c r="A4128" t="s">
        <v>82</v>
      </c>
    </row>
    <row r="4129" spans="1:11" x14ac:dyDescent="0.25">
      <c r="A4129">
        <v>91.571341416133293</v>
      </c>
      <c r="B4129">
        <v>38.410585216903399</v>
      </c>
      <c r="C4129">
        <v>2000</v>
      </c>
    </row>
    <row r="4130" spans="1:11" x14ac:dyDescent="0.25">
      <c r="A4130">
        <v>91.571341416133293</v>
      </c>
      <c r="B4130">
        <v>38.410585216903399</v>
      </c>
      <c r="C4130">
        <v>2001</v>
      </c>
    </row>
    <row r="4131" spans="1:11" x14ac:dyDescent="0.25">
      <c r="A4131">
        <v>92.372581670894903</v>
      </c>
      <c r="B4131">
        <v>39.211825471665101</v>
      </c>
      <c r="C4131">
        <v>2001</v>
      </c>
    </row>
    <row r="4132" spans="1:11" x14ac:dyDescent="0.25">
      <c r="A4132">
        <v>92.372581670894903</v>
      </c>
      <c r="B4132">
        <v>39.211825471665101</v>
      </c>
      <c r="C4132">
        <v>2000</v>
      </c>
    </row>
    <row r="4133" spans="1:11" x14ac:dyDescent="0.25">
      <c r="A4133" t="s">
        <v>83</v>
      </c>
    </row>
    <row r="4134" spans="1:11" x14ac:dyDescent="0.25">
      <c r="A4134">
        <v>171</v>
      </c>
      <c r="B4134">
        <v>0</v>
      </c>
      <c r="C4134">
        <v>0.99908046940123496</v>
      </c>
      <c r="D4134">
        <v>0</v>
      </c>
      <c r="E4134">
        <v>5</v>
      </c>
      <c r="F4134">
        <v>1.5707963267949001</v>
      </c>
      <c r="G4134" t="s">
        <v>84</v>
      </c>
      <c r="H4134" t="s">
        <v>84</v>
      </c>
      <c r="I4134">
        <v>166</v>
      </c>
      <c r="J4134">
        <v>182</v>
      </c>
      <c r="K4134">
        <v>0</v>
      </c>
    </row>
    <row r="4135" spans="1:11" x14ac:dyDescent="0.25">
      <c r="A4135" t="s">
        <v>82</v>
      </c>
    </row>
    <row r="4136" spans="1:11" x14ac:dyDescent="0.25">
      <c r="A4136">
        <v>136.18498105145301</v>
      </c>
      <c r="B4136">
        <v>77.186764847574196</v>
      </c>
      <c r="C4136">
        <v>2000</v>
      </c>
    </row>
    <row r="4137" spans="1:11" x14ac:dyDescent="0.25">
      <c r="A4137">
        <v>135.47852447658801</v>
      </c>
      <c r="B4137">
        <v>76.480308272709493</v>
      </c>
      <c r="C4137">
        <v>2000</v>
      </c>
    </row>
    <row r="4138" spans="1:11" x14ac:dyDescent="0.25">
      <c r="A4138">
        <v>135.47852447658801</v>
      </c>
      <c r="B4138">
        <v>76.480308272709493</v>
      </c>
      <c r="C4138">
        <v>2001</v>
      </c>
    </row>
    <row r="4139" spans="1:11" x14ac:dyDescent="0.25">
      <c r="A4139">
        <v>136.18498105145301</v>
      </c>
      <c r="B4139">
        <v>77.186764847574196</v>
      </c>
      <c r="C4139">
        <v>2001</v>
      </c>
    </row>
    <row r="4140" spans="1:11" x14ac:dyDescent="0.25">
      <c r="A4140">
        <v>136.18498105145301</v>
      </c>
      <c r="B4140">
        <v>77.186764847574196</v>
      </c>
      <c r="C4140">
        <v>2000</v>
      </c>
    </row>
    <row r="4141" spans="1:11" x14ac:dyDescent="0.25">
      <c r="A4141" t="s">
        <v>83</v>
      </c>
    </row>
    <row r="4142" spans="1:11" x14ac:dyDescent="0.25">
      <c r="A4142">
        <v>170</v>
      </c>
      <c r="B4142">
        <v>0</v>
      </c>
      <c r="C4142">
        <v>0</v>
      </c>
      <c r="D4142">
        <v>0.274440669467992</v>
      </c>
      <c r="E4142">
        <v>4</v>
      </c>
      <c r="F4142">
        <v>1.5707963267949001</v>
      </c>
      <c r="G4142" t="s">
        <v>84</v>
      </c>
      <c r="H4142" t="s">
        <v>81</v>
      </c>
      <c r="I4142">
        <v>267</v>
      </c>
      <c r="J4142">
        <v>0</v>
      </c>
      <c r="K4142">
        <v>0</v>
      </c>
    </row>
    <row r="4143" spans="1:11" x14ac:dyDescent="0.25">
      <c r="A4143" t="s">
        <v>82</v>
      </c>
    </row>
    <row r="4144" spans="1:11" x14ac:dyDescent="0.25">
      <c r="A4144">
        <v>149.805941141586</v>
      </c>
      <c r="B4144">
        <v>78.628421809351295</v>
      </c>
      <c r="C4144">
        <v>2000</v>
      </c>
    </row>
    <row r="4145" spans="1:3" x14ac:dyDescent="0.25">
      <c r="A4145">
        <v>149.805941141586</v>
      </c>
      <c r="B4145">
        <v>78.628421809351295</v>
      </c>
      <c r="C4145">
        <v>2001</v>
      </c>
    </row>
    <row r="4146" spans="1:3" x14ac:dyDescent="0.25">
      <c r="A4146">
        <v>150</v>
      </c>
      <c r="B4146">
        <v>78.822480667765504</v>
      </c>
      <c r="C4146">
        <v>2001</v>
      </c>
    </row>
    <row r="4147" spans="1:3" x14ac:dyDescent="0.25">
      <c r="A4147">
        <v>150</v>
      </c>
      <c r="B4147">
        <v>78.822480667765504</v>
      </c>
      <c r="C4147">
        <v>2000</v>
      </c>
    </row>
    <row r="4148" spans="1:3" x14ac:dyDescent="0.25">
      <c r="A4148" t="s">
        <v>83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2023-06-20T00:20:38Z</dcterms:modified>
</cp:coreProperties>
</file>