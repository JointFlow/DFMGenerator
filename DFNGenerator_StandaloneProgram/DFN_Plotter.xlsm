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source\repos\DFNGenerator\DFNGenerator_StandaloneProgram\"/>
    </mc:Choice>
  </mc:AlternateContent>
  <xr:revisionPtr revIDLastSave="0" documentId="13_ncr:1_{4A125A3B-E0B3-43ED-9D6A-A3942F1761D4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73" i="90" l="1"/>
  <c r="A1062" i="90"/>
  <c r="C1062" i="90" l="1"/>
  <c r="D1062" i="90"/>
  <c r="E1062" i="90"/>
  <c r="F1062" i="90"/>
  <c r="G1062" i="90"/>
  <c r="H1062" i="90"/>
  <c r="I1062" i="90"/>
  <c r="J1062" i="90"/>
  <c r="K1062" i="90"/>
  <c r="L1062" i="90"/>
  <c r="M1062" i="90"/>
  <c r="N1062" i="90"/>
  <c r="O1062" i="90"/>
  <c r="P1062" i="90"/>
  <c r="Q1062" i="90"/>
  <c r="R1062" i="90"/>
  <c r="S1062" i="90"/>
  <c r="T1062" i="90"/>
  <c r="U1062" i="90"/>
  <c r="V1062" i="90"/>
  <c r="C1073" i="90"/>
  <c r="D1073" i="90"/>
  <c r="E1073" i="90"/>
  <c r="F1073" i="90"/>
  <c r="G1073" i="90"/>
  <c r="H1073" i="90"/>
  <c r="I1073" i="90"/>
  <c r="J1073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B1073" i="90"/>
  <c r="B1062" i="90"/>
  <c r="AA17" i="91" l="1"/>
  <c r="AA9" i="91"/>
  <c r="V1077" i="90"/>
  <c r="U1077" i="90"/>
  <c r="T1077" i="90"/>
  <c r="S1077" i="90"/>
  <c r="R1077" i="90"/>
  <c r="Q1077" i="90"/>
  <c r="P1077" i="90"/>
  <c r="O1077" i="90"/>
  <c r="N1077" i="90"/>
  <c r="M1077" i="90"/>
  <c r="L1077" i="90"/>
  <c r="K1077" i="90"/>
  <c r="J1077" i="90"/>
  <c r="I1077" i="90"/>
  <c r="H1077" i="90"/>
  <c r="G1077" i="90"/>
  <c r="F1077" i="90"/>
  <c r="E1077" i="90"/>
  <c r="D1077" i="90"/>
  <c r="C1077" i="90"/>
  <c r="B1077" i="90"/>
  <c r="V1076" i="90"/>
  <c r="U1076" i="90"/>
  <c r="T1076" i="90"/>
  <c r="S1076" i="90"/>
  <c r="R1076" i="90"/>
  <c r="Q1076" i="90"/>
  <c r="P1076" i="90"/>
  <c r="O1076" i="90"/>
  <c r="N1076" i="90"/>
  <c r="M1076" i="90"/>
  <c r="L1076" i="90"/>
  <c r="K1076" i="90"/>
  <c r="J1076" i="90"/>
  <c r="I1076" i="90"/>
  <c r="H1076" i="90"/>
  <c r="G1076" i="90"/>
  <c r="F1076" i="90"/>
  <c r="E1076" i="90"/>
  <c r="D1076" i="90"/>
  <c r="C1076" i="90"/>
  <c r="B1076" i="90"/>
  <c r="V1075" i="90"/>
  <c r="U1075" i="90"/>
  <c r="T1075" i="90"/>
  <c r="S1075" i="90"/>
  <c r="R1075" i="90"/>
  <c r="Q1075" i="90"/>
  <c r="P1075" i="90"/>
  <c r="O1075" i="90"/>
  <c r="N1075" i="90"/>
  <c r="M1075" i="90"/>
  <c r="L1075" i="90"/>
  <c r="K1075" i="90"/>
  <c r="J1075" i="90"/>
  <c r="I1075" i="90"/>
  <c r="H1075" i="90"/>
  <c r="G1075" i="90"/>
  <c r="F1075" i="90"/>
  <c r="E1075" i="90"/>
  <c r="D1075" i="90"/>
  <c r="C1075" i="90"/>
  <c r="B1075" i="90"/>
  <c r="V1074" i="90"/>
  <c r="U1074" i="90"/>
  <c r="T1074" i="90"/>
  <c r="S1074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V1066" i="90"/>
  <c r="U1066" i="90"/>
  <c r="T1066" i="90"/>
  <c r="S1066" i="90"/>
  <c r="R1066" i="90"/>
  <c r="Q1066" i="90"/>
  <c r="P1066" i="90"/>
  <c r="O1066" i="90"/>
  <c r="N1066" i="90"/>
  <c r="M1066" i="90"/>
  <c r="L1066" i="90"/>
  <c r="K1066" i="90"/>
  <c r="J1066" i="90"/>
  <c r="I1066" i="90"/>
  <c r="H1066" i="90"/>
  <c r="G1066" i="90"/>
  <c r="F1066" i="90"/>
  <c r="E1066" i="90"/>
  <c r="D1066" i="90"/>
  <c r="C1066" i="90"/>
  <c r="B1066" i="90"/>
  <c r="V1065" i="90"/>
  <c r="U1065" i="90"/>
  <c r="T1065" i="90"/>
  <c r="S1065" i="90"/>
  <c r="R1065" i="90"/>
  <c r="Q1065" i="90"/>
  <c r="P1065" i="90"/>
  <c r="O1065" i="90"/>
  <c r="N1065" i="90"/>
  <c r="M1065" i="90"/>
  <c r="L1065" i="90"/>
  <c r="K1065" i="90"/>
  <c r="J1065" i="90"/>
  <c r="I1065" i="90"/>
  <c r="H1065" i="90"/>
  <c r="G1065" i="90"/>
  <c r="F1065" i="90"/>
  <c r="E1065" i="90"/>
  <c r="D1065" i="90"/>
  <c r="C1065" i="90"/>
  <c r="B1065" i="90"/>
  <c r="V1064" i="90"/>
  <c r="U1064" i="90"/>
  <c r="T1064" i="90"/>
  <c r="S1064" i="90"/>
  <c r="R1064" i="90"/>
  <c r="Q1064" i="90"/>
  <c r="P1064" i="90"/>
  <c r="O1064" i="90"/>
  <c r="N1064" i="90"/>
  <c r="M1064" i="90"/>
  <c r="L1064" i="90"/>
  <c r="K1064" i="90"/>
  <c r="J1064" i="90"/>
  <c r="I1064" i="90"/>
  <c r="H1064" i="90"/>
  <c r="G1064" i="90"/>
  <c r="F1064" i="90"/>
  <c r="E1064" i="90"/>
  <c r="D1064" i="90"/>
  <c r="C1064" i="90"/>
  <c r="B1064" i="90"/>
  <c r="V1063" i="90"/>
  <c r="U1063" i="90"/>
  <c r="T1063" i="90"/>
  <c r="S1063" i="90"/>
  <c r="R1063" i="90"/>
  <c r="Q1063" i="90"/>
  <c r="P1063" i="90"/>
  <c r="O1063" i="90"/>
  <c r="N1063" i="90"/>
  <c r="M1063" i="90"/>
  <c r="L1063" i="90"/>
  <c r="K1063" i="90"/>
  <c r="J1063" i="90"/>
  <c r="I1063" i="90"/>
  <c r="H1063" i="90"/>
  <c r="G1063" i="90"/>
  <c r="F1063" i="90"/>
  <c r="E1063" i="90"/>
  <c r="D1063" i="90"/>
  <c r="C1063" i="90"/>
  <c r="B1063" i="90"/>
  <c r="A1046" i="90"/>
  <c r="A1032" i="90"/>
  <c r="A1018" i="90"/>
  <c r="A1004" i="90"/>
  <c r="E1067" i="90" l="1"/>
  <c r="E1068" i="90"/>
  <c r="E1069" i="90"/>
  <c r="E1070" i="90"/>
  <c r="I1067" i="90"/>
  <c r="I1069" i="90"/>
  <c r="I1070" i="90"/>
  <c r="I1068" i="90"/>
  <c r="M1068" i="90"/>
  <c r="M1069" i="90"/>
  <c r="M1070" i="90"/>
  <c r="M1067" i="90"/>
  <c r="Q1067" i="90"/>
  <c r="Q1068" i="90"/>
  <c r="Q1070" i="90"/>
  <c r="Q1069" i="90"/>
  <c r="U1067" i="90"/>
  <c r="U1068" i="90"/>
  <c r="U1069" i="90"/>
  <c r="U1070" i="90"/>
  <c r="C1078" i="90"/>
  <c r="C1079" i="90"/>
  <c r="C1080" i="90"/>
  <c r="C1081" i="90"/>
  <c r="G1078" i="90"/>
  <c r="G1079" i="90"/>
  <c r="G1080" i="90"/>
  <c r="G1081" i="90"/>
  <c r="K1078" i="90"/>
  <c r="K1079" i="90"/>
  <c r="K1080" i="90"/>
  <c r="K1081" i="90"/>
  <c r="O1078" i="90"/>
  <c r="O1079" i="90"/>
  <c r="O1080" i="90"/>
  <c r="O1081" i="90"/>
  <c r="S1078" i="90"/>
  <c r="S1079" i="90"/>
  <c r="S1080" i="90"/>
  <c r="S1081" i="90"/>
  <c r="B1070" i="90"/>
  <c r="B1068" i="90"/>
  <c r="B1069" i="90"/>
  <c r="B1067" i="90"/>
  <c r="F1067" i="90"/>
  <c r="F1068" i="90"/>
  <c r="F1069" i="90"/>
  <c r="F1070" i="90"/>
  <c r="J1067" i="90"/>
  <c r="J1068" i="90"/>
  <c r="J1069" i="90"/>
  <c r="J1070" i="90"/>
  <c r="N1070" i="90"/>
  <c r="N1068" i="90"/>
  <c r="N1069" i="90"/>
  <c r="N1067" i="90"/>
  <c r="R1069" i="90"/>
  <c r="R1070" i="90"/>
  <c r="R1067" i="90"/>
  <c r="R1068" i="90"/>
  <c r="V1068" i="90"/>
  <c r="V1069" i="90"/>
  <c r="V1067" i="90"/>
  <c r="V1070" i="90"/>
  <c r="D1078" i="90"/>
  <c r="D1079" i="90"/>
  <c r="D1080" i="90"/>
  <c r="D1081" i="90"/>
  <c r="H1078" i="90"/>
  <c r="H1079" i="90"/>
  <c r="H1080" i="90"/>
  <c r="H1081" i="90"/>
  <c r="L1078" i="90"/>
  <c r="L1079" i="90"/>
  <c r="L1080" i="90"/>
  <c r="L1081" i="90"/>
  <c r="P1078" i="90"/>
  <c r="P1079" i="90"/>
  <c r="P1080" i="90"/>
  <c r="P1081" i="90"/>
  <c r="T1078" i="90"/>
  <c r="T1079" i="90"/>
  <c r="T1080" i="90"/>
  <c r="T1081" i="90"/>
  <c r="C1067" i="90"/>
  <c r="C1068" i="90"/>
  <c r="C1069" i="90"/>
  <c r="C1070" i="90"/>
  <c r="G1067" i="90"/>
  <c r="G1068" i="90"/>
  <c r="G1069" i="90"/>
  <c r="G1070" i="90"/>
  <c r="K1067" i="90"/>
  <c r="K1068" i="90"/>
  <c r="K1069" i="90"/>
  <c r="K1070" i="90"/>
  <c r="O1067" i="90"/>
  <c r="O1068" i="90"/>
  <c r="O1069" i="90"/>
  <c r="O1070" i="90"/>
  <c r="S1067" i="90"/>
  <c r="S1068" i="90"/>
  <c r="S1069" i="90"/>
  <c r="S1070" i="90"/>
  <c r="E1078" i="90"/>
  <c r="E1079" i="90"/>
  <c r="E1080" i="90"/>
  <c r="E1081" i="90"/>
  <c r="I1079" i="90"/>
  <c r="I1080" i="90"/>
  <c r="I1081" i="90"/>
  <c r="I1078" i="90"/>
  <c r="M1078" i="90"/>
  <c r="M1079" i="90"/>
  <c r="M1080" i="90"/>
  <c r="M1081" i="90"/>
  <c r="Q1079" i="90"/>
  <c r="Q1080" i="90"/>
  <c r="Q1081" i="90"/>
  <c r="Q1078" i="90"/>
  <c r="U1079" i="90"/>
  <c r="U1080" i="90"/>
  <c r="U1081" i="90"/>
  <c r="U1078" i="90"/>
  <c r="D1070" i="90"/>
  <c r="D1067" i="90"/>
  <c r="D1068" i="90"/>
  <c r="D1069" i="90"/>
  <c r="H1069" i="90"/>
  <c r="H1070" i="90"/>
  <c r="H1067" i="90"/>
  <c r="H1068" i="90"/>
  <c r="L1067" i="90"/>
  <c r="L1068" i="90"/>
  <c r="L1069" i="90"/>
  <c r="L1070" i="90"/>
  <c r="P1069" i="90"/>
  <c r="P1070" i="90"/>
  <c r="P1067" i="90"/>
  <c r="P1068" i="90"/>
  <c r="T1070" i="90"/>
  <c r="T1067" i="90"/>
  <c r="T1068" i="90"/>
  <c r="T1069" i="90"/>
  <c r="B1081" i="90"/>
  <c r="B1080" i="90"/>
  <c r="B1079" i="90"/>
  <c r="B1078" i="90"/>
  <c r="F1078" i="90"/>
  <c r="F1079" i="90"/>
  <c r="F1080" i="90"/>
  <c r="F1081" i="90"/>
  <c r="J1080" i="90"/>
  <c r="J1081" i="90"/>
  <c r="J1078" i="90"/>
  <c r="J1079" i="90"/>
  <c r="N1079" i="90"/>
  <c r="N1078" i="90"/>
  <c r="N1080" i="90"/>
  <c r="N1081" i="90"/>
  <c r="R1079" i="90"/>
  <c r="R1080" i="90"/>
  <c r="R1081" i="90"/>
  <c r="R1078" i="90"/>
  <c r="V1081" i="90"/>
  <c r="V1078" i="90"/>
  <c r="V1079" i="90"/>
  <c r="V1080" i="90"/>
</calcChain>
</file>

<file path=xl/sharedStrings.xml><?xml version="1.0" encoding="utf-8"?>
<sst xmlns="http://schemas.openxmlformats.org/spreadsheetml/2006/main" count="191" uniqueCount="76">
  <si>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</si>
  <si>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</si>
  <si>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</si>
  <si>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</si>
  <si>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</si>
  <si>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</si>
  <si>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</si>
  <si>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</si>
  <si>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</si>
  <si>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</si>
  <si>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</si>
  <si>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</si>
  <si>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</si>
  <si>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</si>
  <si>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</si>
  <si>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</si>
  <si>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</si>
  <si>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</si>
  <si>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</si>
  <si>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</si>
  <si>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</si>
  <si>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</si>
  <si>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</si>
  <si>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</si>
  <si>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</si>
  <si>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</si>
  <si>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</si>
  <si>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</si>
  <si>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</si>
  <si>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</si>
  <si>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</si>
  <si>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</si>
  <si>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</si>
  <si>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</si>
  <si>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</si>
  <si>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</si>
  <si>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</si>
  <si>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</si>
  <si>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</si>
  <si>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</si>
  <si>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</si>
  <si>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</si>
  <si>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</si>
  <si>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</si>
  <si>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</si>
  <si>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</si>
  <si>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</si>
  <si>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</si>
  <si>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</si>
  <si>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</si>
  <si>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</si>
  <si>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</si>
  <si>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</si>
  <si>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</si>
  <si>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</si>
  <si>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</si>
  <si>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</si>
  <si>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</si>
  <si>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</si>
  <si>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</si>
  <si>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</si>
  <si>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</si>
  <si>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FS HMin Mode1</t>
  </si>
  <si>
    <t>FS HMin Mode2</t>
  </si>
  <si>
    <t>FS HMax Mode1</t>
  </si>
  <si>
    <t>FS HMax Mode2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</si>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</sst>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Implicit_Fracs!$B$1066:$V$1066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Implicit_Fracs!$B$1064:$V$1064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Implicit_Fracs!$B$1077:$V$1077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Implicit_Fracs!$A$1067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Implicit_Fracs!$B$1067:$V$1067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Implicit_Fracs!$A$1068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Implicit_Fracs!$B$1068:$V$1068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Implicit_Fracs!$B$1078:$V$1078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Implicit_Fracs!$A$1079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Implicit_Fracs!$B$1079:$V$1079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Implicit_Fracs!$AK$3:$AK$1003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81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S34" sqref="BS34"/>
    </sheetView>
  </sheetViews>
  <sheetFormatPr defaultRowHeight="15" x14ac:dyDescent="0.25"/>
  <sheetData>
    <row r="1" spans="1:149" x14ac:dyDescent="0.25">
      <c r="A1" t="s">
        <v>0</v>
      </c>
      <c r="B1" t="s">
        <v>71</v>
      </c>
      <c r="C1" t="s">
        <v>72</v>
      </c>
      <c r="D1" t="s">
        <v>46</v>
      </c>
      <c r="E1" t="s">
        <v>47</v>
      </c>
      <c r="F1" t="s">
        <v>48</v>
      </c>
      <c r="G1" t="s">
        <v>49</v>
      </c>
      <c r="H1" t="s">
        <v>62</v>
      </c>
      <c r="V1" t="s">
        <v>63</v>
      </c>
      <c r="AJ1" t="s">
        <v>64</v>
      </c>
      <c r="AX1" t="s">
        <v>65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</row>
    <row r="2" spans="1:149" x14ac:dyDescent="0.25">
      <c r="H2" t="s">
        <v>45</v>
      </c>
      <c r="I2" t="s">
        <v>1</v>
      </c>
      <c r="J2" t="s">
        <v>73</v>
      </c>
      <c r="K2" t="s">
        <v>74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75</v>
      </c>
      <c r="V2" t="s">
        <v>45</v>
      </c>
      <c r="W2" t="s">
        <v>1</v>
      </c>
      <c r="X2" t="s">
        <v>73</v>
      </c>
      <c r="Y2" t="s">
        <v>74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75</v>
      </c>
      <c r="AJ2" t="s">
        <v>45</v>
      </c>
      <c r="AK2" t="s">
        <v>1</v>
      </c>
      <c r="AL2" t="s">
        <v>73</v>
      </c>
      <c r="AM2" t="s">
        <v>74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75</v>
      </c>
      <c r="AX2" t="s">
        <v>45</v>
      </c>
      <c r="AY2" t="s">
        <v>1</v>
      </c>
      <c r="AZ2" t="s">
        <v>73</v>
      </c>
      <c r="BA2" t="s">
        <v>74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75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</row>
    <row r="17" spans="1:62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</row>
    <row r="18" spans="1:62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</row>
    <row r="19" spans="1:62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</row>
    <row r="20" spans="1:62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</row>
    <row r="21" spans="1:62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</row>
    <row r="22" spans="1:62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</row>
    <row r="23" spans="1:62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</row>
    <row r="24" spans="1:62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</row>
    <row r="25" spans="1:62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</row>
    <row r="26" spans="1:62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</row>
    <row r="27" spans="1:62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</row>
    <row r="28" spans="1:62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</row>
    <row r="29" spans="1:62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</row>
    <row r="30" spans="1:62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</row>
    <row r="31" spans="1:62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</row>
    <row r="32" spans="1:62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</row>
    <row r="33" spans="1:62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</row>
    <row r="34" spans="1:62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</row>
    <row r="35" spans="1:62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</row>
    <row r="36" spans="1:62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</row>
    <row r="37" spans="1:62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</row>
    <row r="38" spans="1:62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</row>
    <row r="39" spans="1:62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</row>
    <row r="40" spans="1:62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</row>
    <row r="41" spans="1:62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</row>
    <row r="42" spans="1:62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</row>
    <row r="43" spans="1:62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</row>
    <row r="44" spans="1:62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</row>
    <row r="45" spans="1:62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</row>
    <row r="46" spans="1:62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</row>
    <row r="47" spans="1:62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</row>
    <row r="48" spans="1:62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</row>
    <row r="49" spans="1:62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</row>
    <row r="50" spans="1:62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</row>
    <row r="51" spans="1:62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</row>
    <row r="52" spans="1:62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</row>
    <row r="53" spans="1:62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</row>
    <row r="54" spans="1:62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</row>
    <row r="55" spans="1:62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</row>
    <row r="56" spans="1:62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</row>
    <row r="57" spans="1:62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</row>
    <row r="58" spans="1:62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</row>
    <row r="59" spans="1:62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</row>
    <row r="60" spans="1:62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</row>
    <row r="61" spans="1:62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</row>
    <row r="62" spans="1:62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</row>
    <row r="63" spans="1:62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</row>
    <row r="64" spans="1:62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</row>
    <row r="65" spans="1:51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</row>
    <row r="66" spans="1:51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</row>
    <row r="67" spans="1:51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</row>
    <row r="68" spans="1:51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</row>
    <row r="69" spans="1:51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</row>
    <row r="70" spans="1:51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</row>
    <row r="71" spans="1:51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</row>
    <row r="72" spans="1:51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</row>
    <row r="73" spans="1:51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</row>
    <row r="74" spans="1:51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</row>
    <row r="75" spans="1:51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</row>
    <row r="76" spans="1:51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</row>
    <row r="77" spans="1:51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</row>
    <row r="78" spans="1:51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</row>
    <row r="79" spans="1:51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</row>
    <row r="80" spans="1:51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</row>
    <row r="81" spans="1:51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</row>
    <row r="82" spans="1:51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</row>
    <row r="83" spans="1:51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</row>
    <row r="84" spans="1:51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</row>
    <row r="85" spans="1:51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</row>
    <row r="86" spans="1:51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</row>
    <row r="87" spans="1:51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</row>
    <row r="88" spans="1:51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</row>
    <row r="89" spans="1:51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</row>
    <row r="90" spans="1:51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</row>
    <row r="91" spans="1:51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</row>
    <row r="92" spans="1:51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</row>
    <row r="93" spans="1:51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</row>
    <row r="94" spans="1:51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</row>
    <row r="95" spans="1:51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</row>
    <row r="96" spans="1:51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</row>
    <row r="97" spans="1:51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</row>
    <row r="98" spans="1:51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</row>
    <row r="99" spans="1:51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</row>
    <row r="100" spans="1:51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</row>
    <row r="101" spans="1:51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</row>
    <row r="102" spans="1:51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</row>
    <row r="103" spans="1:51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</row>
    <row r="104" spans="1:51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</row>
    <row r="105" spans="1:51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</row>
    <row r="106" spans="1:51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</row>
    <row r="107" spans="1:51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</row>
    <row r="108" spans="1:51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</row>
    <row r="109" spans="1:51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</row>
    <row r="110" spans="1:51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</row>
    <row r="111" spans="1:51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</row>
    <row r="112" spans="1:51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</row>
    <row r="113" spans="1:51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</row>
    <row r="114" spans="1:51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</row>
    <row r="115" spans="1:51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</row>
    <row r="116" spans="1:51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</row>
    <row r="117" spans="1:51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</row>
    <row r="118" spans="1:51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</row>
    <row r="119" spans="1:51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</row>
    <row r="120" spans="1:51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</row>
    <row r="121" spans="1:51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</row>
    <row r="122" spans="1:51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</row>
    <row r="123" spans="1:51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</row>
    <row r="124" spans="1:51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</row>
    <row r="125" spans="1:51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</row>
    <row r="126" spans="1:51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</row>
    <row r="127" spans="1:51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</row>
    <row r="128" spans="1:51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</row>
    <row r="129" spans="1:51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</row>
    <row r="130" spans="1:51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</row>
    <row r="131" spans="1:51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</row>
    <row r="132" spans="1:51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</row>
    <row r="133" spans="1:51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</row>
    <row r="134" spans="1:51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</row>
    <row r="135" spans="1:51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</row>
    <row r="136" spans="1:51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</row>
    <row r="137" spans="1:51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</row>
    <row r="138" spans="1:51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</row>
    <row r="139" spans="1:51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</row>
    <row r="140" spans="1:51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</row>
    <row r="141" spans="1:51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</row>
    <row r="142" spans="1:51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</row>
    <row r="143" spans="1:51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</row>
    <row r="144" spans="1:51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</row>
    <row r="145" spans="1:51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</row>
    <row r="146" spans="1:51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</row>
    <row r="147" spans="1:51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</row>
    <row r="148" spans="1:51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</row>
    <row r="149" spans="1:51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</row>
    <row r="150" spans="1:51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</row>
    <row r="151" spans="1:51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</row>
    <row r="152" spans="1:51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</row>
    <row r="153" spans="1:51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</row>
    <row r="154" spans="1:51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</row>
    <row r="155" spans="1:51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</row>
    <row r="156" spans="1:51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</row>
    <row r="157" spans="1:51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</row>
    <row r="158" spans="1:51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</row>
    <row r="159" spans="1:51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</row>
    <row r="160" spans="1:51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</row>
    <row r="161" spans="1:51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</row>
    <row r="162" spans="1:51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</row>
    <row r="163" spans="1:51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</row>
    <row r="164" spans="1:51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</row>
    <row r="165" spans="1:51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</row>
    <row r="166" spans="1:51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</row>
    <row r="167" spans="1:51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</row>
    <row r="168" spans="1:51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</row>
    <row r="169" spans="1:51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</row>
    <row r="170" spans="1:51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</row>
    <row r="171" spans="1:51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</row>
    <row r="172" spans="1:51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</row>
    <row r="173" spans="1:51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</row>
    <row r="174" spans="1:51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</row>
    <row r="175" spans="1:51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</row>
    <row r="176" spans="1:51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</row>
    <row r="177" spans="1:51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</row>
    <row r="178" spans="1:51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</row>
    <row r="179" spans="1:51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</row>
    <row r="180" spans="1:51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</row>
    <row r="181" spans="1:51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</row>
    <row r="182" spans="1:51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</row>
    <row r="183" spans="1:51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</row>
    <row r="184" spans="1:51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</row>
    <row r="185" spans="1:51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</row>
    <row r="186" spans="1:51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</row>
    <row r="187" spans="1:51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</row>
    <row r="188" spans="1:51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</row>
    <row r="189" spans="1:51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</row>
    <row r="190" spans="1:51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</row>
    <row r="191" spans="1:51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</row>
    <row r="192" spans="1:51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</row>
    <row r="193" spans="1:51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</row>
    <row r="194" spans="1:51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</row>
    <row r="195" spans="1:51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</row>
    <row r="196" spans="1:51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</row>
    <row r="197" spans="1:51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</row>
    <row r="198" spans="1:51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</row>
    <row r="199" spans="1:51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</row>
    <row r="200" spans="1:51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</row>
    <row r="201" spans="1:51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</row>
    <row r="202" spans="1:51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</row>
    <row r="203" spans="1:51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</row>
    <row r="204" spans="1:51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</row>
    <row r="205" spans="1:51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</row>
    <row r="206" spans="1:51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</row>
    <row r="207" spans="1:51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</row>
    <row r="208" spans="1:51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</row>
    <row r="209" spans="1:51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</row>
    <row r="210" spans="1:51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</row>
    <row r="211" spans="1:51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</row>
    <row r="212" spans="1:51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</row>
    <row r="213" spans="1:51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</row>
    <row r="214" spans="1:51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</row>
    <row r="215" spans="1:51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</row>
    <row r="216" spans="1:51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</row>
    <row r="217" spans="1:51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</row>
    <row r="218" spans="1:51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</row>
    <row r="219" spans="1:51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</row>
    <row r="220" spans="1:51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</row>
    <row r="221" spans="1:51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</row>
    <row r="222" spans="1:51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</row>
    <row r="223" spans="1:51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</row>
    <row r="224" spans="1:51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</row>
    <row r="225" spans="1:51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</row>
    <row r="226" spans="1:51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</row>
    <row r="227" spans="1:51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</row>
    <row r="228" spans="1:51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</row>
    <row r="229" spans="1:51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</row>
    <row r="230" spans="1:51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</row>
    <row r="231" spans="1:51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</row>
    <row r="232" spans="1:51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</row>
    <row r="233" spans="1:51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</row>
    <row r="234" spans="1:51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</row>
    <row r="235" spans="1:51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</row>
    <row r="236" spans="1:51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</row>
    <row r="237" spans="1:51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</row>
    <row r="238" spans="1:51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</row>
    <row r="239" spans="1:51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</row>
    <row r="240" spans="1:51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</row>
    <row r="241" spans="1:51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</row>
    <row r="242" spans="1:51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</row>
    <row r="243" spans="1:51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</row>
    <row r="244" spans="1:51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</row>
    <row r="245" spans="1:51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</row>
    <row r="246" spans="1:51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</row>
    <row r="247" spans="1:51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</row>
    <row r="248" spans="1:51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</row>
    <row r="249" spans="1:51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</row>
    <row r="250" spans="1:51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</row>
    <row r="251" spans="1:51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</row>
    <row r="252" spans="1:51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</row>
    <row r="253" spans="1:51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</row>
    <row r="254" spans="1:51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</row>
    <row r="255" spans="1:51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</row>
    <row r="256" spans="1:51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</row>
    <row r="257" spans="1:51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</row>
    <row r="258" spans="1:51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</row>
    <row r="259" spans="1:51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</row>
    <row r="260" spans="1:51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</row>
    <row r="261" spans="1:51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</row>
    <row r="262" spans="1:51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</row>
    <row r="263" spans="1:51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</row>
    <row r="264" spans="1:51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</row>
    <row r="265" spans="1:51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</row>
    <row r="266" spans="1:51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</row>
    <row r="267" spans="1:51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</row>
    <row r="268" spans="1:51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</row>
    <row r="269" spans="1:51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</row>
    <row r="270" spans="1:51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</row>
    <row r="271" spans="1:51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</row>
    <row r="272" spans="1:51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</row>
    <row r="273" spans="1:51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</row>
    <row r="274" spans="1:51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</row>
    <row r="275" spans="1:51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</row>
    <row r="276" spans="1:51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</row>
    <row r="277" spans="1:51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</row>
    <row r="278" spans="1:51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</row>
    <row r="279" spans="1:51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</row>
    <row r="280" spans="1:51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</row>
    <row r="281" spans="1:51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</row>
    <row r="282" spans="1:51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</row>
    <row r="283" spans="1:51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</row>
    <row r="284" spans="1:51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</row>
    <row r="285" spans="1:51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</row>
    <row r="286" spans="1:51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</row>
    <row r="287" spans="1:51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</row>
    <row r="288" spans="1:51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</row>
    <row r="289" spans="1:51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</row>
    <row r="290" spans="1:51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</row>
    <row r="291" spans="1:51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</row>
    <row r="292" spans="1:51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</row>
    <row r="293" spans="1:51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</row>
    <row r="294" spans="1:51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</row>
    <row r="295" spans="1:51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</row>
    <row r="296" spans="1:51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</row>
    <row r="297" spans="1:51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</row>
    <row r="298" spans="1:51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</row>
    <row r="299" spans="1:51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</row>
    <row r="300" spans="1:51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</row>
    <row r="301" spans="1:51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</row>
    <row r="302" spans="1:51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</row>
    <row r="303" spans="1:51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</row>
    <row r="304" spans="1:51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</row>
    <row r="305" spans="1:51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</row>
    <row r="306" spans="1:51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</row>
    <row r="307" spans="1:51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</row>
    <row r="308" spans="1:51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</row>
    <row r="309" spans="1:51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</row>
    <row r="310" spans="1:51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</row>
    <row r="311" spans="1:51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</row>
    <row r="312" spans="1:51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</row>
    <row r="313" spans="1:51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</row>
    <row r="314" spans="1:51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</row>
    <row r="315" spans="1:51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</row>
    <row r="316" spans="1:51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</row>
    <row r="317" spans="1:51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</row>
    <row r="318" spans="1:51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</row>
    <row r="319" spans="1:51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</row>
    <row r="320" spans="1:51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</row>
    <row r="321" spans="1:51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</row>
    <row r="322" spans="1:51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</row>
    <row r="323" spans="1:51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</row>
    <row r="324" spans="1:51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</row>
    <row r="325" spans="1:51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</row>
    <row r="326" spans="1:51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</row>
    <row r="327" spans="1:51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</row>
    <row r="328" spans="1:51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</row>
    <row r="329" spans="1:51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</row>
    <row r="330" spans="1:51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</row>
    <row r="331" spans="1:51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</row>
    <row r="332" spans="1:51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</row>
    <row r="333" spans="1:51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</row>
    <row r="334" spans="1:51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</row>
    <row r="335" spans="1:51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</row>
    <row r="336" spans="1:51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</row>
    <row r="337" spans="1:51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</row>
    <row r="338" spans="1:51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</row>
    <row r="339" spans="1:51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</row>
    <row r="340" spans="1:51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</row>
    <row r="341" spans="1:51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</row>
    <row r="342" spans="1:51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</row>
    <row r="343" spans="1:51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</row>
    <row r="344" spans="1:51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</row>
    <row r="345" spans="1:51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</row>
    <row r="346" spans="1:51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</row>
    <row r="347" spans="1:51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</row>
    <row r="348" spans="1:51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</row>
    <row r="349" spans="1:51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</row>
    <row r="350" spans="1:51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</row>
    <row r="351" spans="1:51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</row>
    <row r="352" spans="1:51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</row>
    <row r="353" spans="1:51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</row>
    <row r="354" spans="1:51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</row>
    <row r="355" spans="1:51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</row>
    <row r="356" spans="1:51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</row>
    <row r="357" spans="1:51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</row>
    <row r="358" spans="1:51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</row>
    <row r="359" spans="1:51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</row>
    <row r="360" spans="1:51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</row>
    <row r="361" spans="1:51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</row>
    <row r="362" spans="1:51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</row>
    <row r="363" spans="1:51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</row>
    <row r="364" spans="1:51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</row>
    <row r="365" spans="1:51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</row>
    <row r="366" spans="1:51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</row>
    <row r="367" spans="1:51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</row>
    <row r="368" spans="1:51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</row>
    <row r="369" spans="1:51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</row>
    <row r="370" spans="1:51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</row>
    <row r="371" spans="1:51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</row>
    <row r="372" spans="1:51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</row>
    <row r="373" spans="1:51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</row>
    <row r="374" spans="1:51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</row>
    <row r="375" spans="1:51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</row>
    <row r="376" spans="1:51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</row>
    <row r="377" spans="1:51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</row>
    <row r="378" spans="1:51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</row>
    <row r="379" spans="1:51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</row>
    <row r="380" spans="1:51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</row>
    <row r="381" spans="1:51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</row>
    <row r="382" spans="1:51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</row>
    <row r="383" spans="1:51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</row>
    <row r="384" spans="1:51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</row>
    <row r="385" spans="1:51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</row>
    <row r="386" spans="1:51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</row>
    <row r="387" spans="1:51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</row>
    <row r="388" spans="1:51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</row>
    <row r="389" spans="1:51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</row>
    <row r="390" spans="1:51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</row>
    <row r="391" spans="1:51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</row>
    <row r="392" spans="1:51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</row>
    <row r="393" spans="1:51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</row>
    <row r="394" spans="1:51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</row>
    <row r="395" spans="1:51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</row>
    <row r="396" spans="1:51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</row>
    <row r="397" spans="1:51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</row>
    <row r="398" spans="1:51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</row>
    <row r="399" spans="1:51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</row>
    <row r="400" spans="1:51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</row>
    <row r="401" spans="1:51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</row>
    <row r="402" spans="1:51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</row>
    <row r="403" spans="1:51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</row>
    <row r="404" spans="1:51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</row>
    <row r="405" spans="1:51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</row>
    <row r="406" spans="1:51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</row>
    <row r="407" spans="1:51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</row>
    <row r="408" spans="1:51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</row>
    <row r="409" spans="1:51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</row>
    <row r="410" spans="1:51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</row>
    <row r="411" spans="1:51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</row>
    <row r="412" spans="1:51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</row>
    <row r="413" spans="1:51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</row>
    <row r="414" spans="1:51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</row>
    <row r="415" spans="1:51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</row>
    <row r="416" spans="1:51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</row>
    <row r="417" spans="1:51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</row>
    <row r="418" spans="1:51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</row>
    <row r="419" spans="1:51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</row>
    <row r="420" spans="1:51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</row>
    <row r="421" spans="1:51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</row>
    <row r="422" spans="1:51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</row>
    <row r="423" spans="1:51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</row>
    <row r="424" spans="1:51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</row>
    <row r="425" spans="1:51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</row>
    <row r="426" spans="1:51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</row>
    <row r="427" spans="1:51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</row>
    <row r="428" spans="1:51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</row>
    <row r="429" spans="1:51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</row>
    <row r="430" spans="1:51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</row>
    <row r="431" spans="1:51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</row>
    <row r="432" spans="1:51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</row>
    <row r="433" spans="1:51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</row>
    <row r="434" spans="1:51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</row>
    <row r="435" spans="1:51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</row>
    <row r="436" spans="1:51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</row>
    <row r="437" spans="1:51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</row>
    <row r="438" spans="1:51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</row>
    <row r="439" spans="1:51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</row>
    <row r="440" spans="1:51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</row>
    <row r="441" spans="1:51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</row>
    <row r="442" spans="1:51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</row>
    <row r="443" spans="1:51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</row>
    <row r="444" spans="1:51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</row>
    <row r="445" spans="1:51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</row>
    <row r="446" spans="1:51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</row>
    <row r="447" spans="1:51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</row>
    <row r="448" spans="1:51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</row>
    <row r="449" spans="1:51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</row>
    <row r="450" spans="1:51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</row>
    <row r="451" spans="1:51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</row>
    <row r="452" spans="1:51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</row>
    <row r="453" spans="1:51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</row>
    <row r="454" spans="1:51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</row>
    <row r="455" spans="1:51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</row>
    <row r="456" spans="1:51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</row>
    <row r="457" spans="1:51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</row>
    <row r="458" spans="1:51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</row>
    <row r="459" spans="1:51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</row>
    <row r="460" spans="1:51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</row>
    <row r="461" spans="1:51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</row>
    <row r="462" spans="1:51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</row>
    <row r="463" spans="1:51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</row>
    <row r="464" spans="1:51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</row>
    <row r="465" spans="1:51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</row>
    <row r="466" spans="1:51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</row>
    <row r="467" spans="1:51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</row>
    <row r="468" spans="1:51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</row>
    <row r="469" spans="1:51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</row>
    <row r="470" spans="1:51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</row>
    <row r="471" spans="1:51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</row>
    <row r="472" spans="1:51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</row>
    <row r="473" spans="1:51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</row>
    <row r="474" spans="1:51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</row>
    <row r="475" spans="1:51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</row>
    <row r="476" spans="1:51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</row>
    <row r="477" spans="1:51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</row>
    <row r="478" spans="1:51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</row>
    <row r="479" spans="1:51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</row>
    <row r="480" spans="1:51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</row>
    <row r="481" spans="1:51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</row>
    <row r="482" spans="1:51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</row>
    <row r="483" spans="1:51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</row>
    <row r="484" spans="1:51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</row>
    <row r="485" spans="1:51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</row>
    <row r="486" spans="1:51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</row>
    <row r="487" spans="1:51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</row>
    <row r="488" spans="1:51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</row>
    <row r="489" spans="1:51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</row>
    <row r="490" spans="1:51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</row>
    <row r="491" spans="1:51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</row>
    <row r="492" spans="1:51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</row>
    <row r="493" spans="1:51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</row>
    <row r="494" spans="1:51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</row>
    <row r="495" spans="1:51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</row>
    <row r="496" spans="1:51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</row>
    <row r="497" spans="1:51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</row>
    <row r="498" spans="1:51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</row>
    <row r="499" spans="1:51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</row>
    <row r="500" spans="1:51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</row>
    <row r="501" spans="1:51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</row>
    <row r="502" spans="1:51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</row>
    <row r="503" spans="1:51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</row>
    <row r="504" spans="1:51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</row>
    <row r="505" spans="1:51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</row>
    <row r="506" spans="1:51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</row>
    <row r="507" spans="1:51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</row>
    <row r="508" spans="1:51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</row>
    <row r="509" spans="1:51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</row>
    <row r="510" spans="1:51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</row>
    <row r="511" spans="1:51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</row>
    <row r="512" spans="1:51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</row>
    <row r="513" spans="1:51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</row>
    <row r="514" spans="1:51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</row>
    <row r="515" spans="1:51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</row>
    <row r="516" spans="1:51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</row>
    <row r="517" spans="1:51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</row>
    <row r="518" spans="1:51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</row>
    <row r="519" spans="1:51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</row>
    <row r="520" spans="1:51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</row>
    <row r="521" spans="1:51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</row>
    <row r="522" spans="1:51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</row>
    <row r="523" spans="1:51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</row>
    <row r="524" spans="1:51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</row>
    <row r="525" spans="1:51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</row>
    <row r="526" spans="1:51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</row>
    <row r="527" spans="1:51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</row>
    <row r="528" spans="1:51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</row>
    <row r="529" spans="1:51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</row>
    <row r="530" spans="1:51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</row>
    <row r="531" spans="1:51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</row>
    <row r="532" spans="1:51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</row>
    <row r="533" spans="1:51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</row>
    <row r="534" spans="1:51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</row>
    <row r="535" spans="1:51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</row>
    <row r="536" spans="1:51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</row>
    <row r="537" spans="1:51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</row>
    <row r="538" spans="1:51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</row>
    <row r="539" spans="1:51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</row>
    <row r="540" spans="1:51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</row>
    <row r="541" spans="1:51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</row>
    <row r="542" spans="1:51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</row>
    <row r="543" spans="1:51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</row>
    <row r="544" spans="1:51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</row>
    <row r="545" spans="1:51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</row>
    <row r="546" spans="1:51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</row>
    <row r="547" spans="1:51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</row>
    <row r="548" spans="1:51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</row>
    <row r="549" spans="1:51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</row>
    <row r="550" spans="1:51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</row>
    <row r="551" spans="1:51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</row>
    <row r="552" spans="1:51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</row>
    <row r="553" spans="1:51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</row>
    <row r="554" spans="1:51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</row>
    <row r="555" spans="1:51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</row>
    <row r="556" spans="1:51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</row>
    <row r="557" spans="1:51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</row>
    <row r="558" spans="1:51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</row>
    <row r="559" spans="1:51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</row>
    <row r="560" spans="1:51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</row>
    <row r="561" spans="1:51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</row>
    <row r="562" spans="1:51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</row>
    <row r="563" spans="1:51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</row>
    <row r="564" spans="1:51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</row>
    <row r="565" spans="1:51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</row>
    <row r="566" spans="1:51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</row>
    <row r="567" spans="1:51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</row>
    <row r="568" spans="1:51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</row>
    <row r="569" spans="1:51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</row>
    <row r="570" spans="1:51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</row>
    <row r="571" spans="1:51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</row>
    <row r="572" spans="1:51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</row>
    <row r="573" spans="1:51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</row>
    <row r="574" spans="1:51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</row>
    <row r="575" spans="1:51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</row>
    <row r="576" spans="1:51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</row>
    <row r="577" spans="1:51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</row>
    <row r="578" spans="1:51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</row>
    <row r="579" spans="1:51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</row>
    <row r="580" spans="1:51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</row>
    <row r="581" spans="1:51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</row>
    <row r="582" spans="1:51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</row>
    <row r="583" spans="1:51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</row>
    <row r="584" spans="1:51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</row>
    <row r="585" spans="1:51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</row>
    <row r="586" spans="1:51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</row>
    <row r="587" spans="1:51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</row>
    <row r="588" spans="1:51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</row>
    <row r="589" spans="1:51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</row>
    <row r="590" spans="1:51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</row>
    <row r="591" spans="1:51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</row>
    <row r="592" spans="1:51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</row>
    <row r="593" spans="1:51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</row>
    <row r="594" spans="1:51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</row>
    <row r="595" spans="1:51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</row>
    <row r="596" spans="1:51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</row>
    <row r="597" spans="1:51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</row>
    <row r="598" spans="1:51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</row>
    <row r="599" spans="1:51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</row>
    <row r="600" spans="1:51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</row>
    <row r="601" spans="1:51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</row>
    <row r="602" spans="1:51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</row>
    <row r="603" spans="1:51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</row>
    <row r="604" spans="1:51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</row>
    <row r="605" spans="1:51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</row>
    <row r="606" spans="1:51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</row>
    <row r="607" spans="1:51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</row>
    <row r="608" spans="1:51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</row>
    <row r="609" spans="1:51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</row>
    <row r="610" spans="1:51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</row>
    <row r="611" spans="1:51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</row>
    <row r="612" spans="1:51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</row>
    <row r="613" spans="1:51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</row>
    <row r="614" spans="1:51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</row>
    <row r="615" spans="1:51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</row>
    <row r="616" spans="1:51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</row>
    <row r="617" spans="1:51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</row>
    <row r="618" spans="1:51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</row>
    <row r="619" spans="1:51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</row>
    <row r="620" spans="1:51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</row>
    <row r="621" spans="1:51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</row>
    <row r="622" spans="1:51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</row>
    <row r="623" spans="1:51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</row>
    <row r="624" spans="1:51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</row>
    <row r="625" spans="1:51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</row>
    <row r="626" spans="1:51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</row>
    <row r="627" spans="1:51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</row>
    <row r="628" spans="1:51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</row>
    <row r="629" spans="1:51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</row>
    <row r="630" spans="1:51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</row>
    <row r="631" spans="1:51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</row>
    <row r="632" spans="1:51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</row>
    <row r="633" spans="1:51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</row>
    <row r="634" spans="1:51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</row>
    <row r="635" spans="1:51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</row>
    <row r="636" spans="1:51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</row>
    <row r="637" spans="1:51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</row>
    <row r="638" spans="1:51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</row>
    <row r="639" spans="1:51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</row>
    <row r="640" spans="1:51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</row>
    <row r="641" spans="1:51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</row>
    <row r="642" spans="1:51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</row>
    <row r="643" spans="1:51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</row>
    <row r="644" spans="1:51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</row>
    <row r="645" spans="1:51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</row>
    <row r="646" spans="1:51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</row>
    <row r="647" spans="1:51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</row>
    <row r="648" spans="1:51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</row>
    <row r="649" spans="1:51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</row>
    <row r="650" spans="1:51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</row>
    <row r="651" spans="1:51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</row>
    <row r="652" spans="1:51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</row>
    <row r="653" spans="1:51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</row>
    <row r="654" spans="1:51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</row>
    <row r="655" spans="1:51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</row>
    <row r="656" spans="1:51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</row>
    <row r="657" spans="1:51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</row>
    <row r="658" spans="1:51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</row>
    <row r="659" spans="1:51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</row>
    <row r="660" spans="1:51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</row>
    <row r="661" spans="1:51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</row>
    <row r="662" spans="1:51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</row>
    <row r="663" spans="1:51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</row>
    <row r="664" spans="1:51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</row>
    <row r="665" spans="1:51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</row>
    <row r="666" spans="1:51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</row>
    <row r="667" spans="1:51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</row>
    <row r="668" spans="1:51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</row>
    <row r="669" spans="1:51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</row>
    <row r="670" spans="1:51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</row>
    <row r="671" spans="1:51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</row>
    <row r="672" spans="1:51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</row>
    <row r="673" spans="1:51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</row>
    <row r="674" spans="1:51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</row>
    <row r="675" spans="1:51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</row>
    <row r="676" spans="1:51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</row>
    <row r="677" spans="1:51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</row>
    <row r="678" spans="1:51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</row>
    <row r="679" spans="1:51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</row>
    <row r="680" spans="1:51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</row>
    <row r="681" spans="1:51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</row>
    <row r="682" spans="1:51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</row>
    <row r="683" spans="1:51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</row>
    <row r="684" spans="1:51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</row>
    <row r="685" spans="1:51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</row>
    <row r="686" spans="1:51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</row>
    <row r="687" spans="1:51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</row>
    <row r="688" spans="1:51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</row>
    <row r="689" spans="1:51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</row>
    <row r="690" spans="1:51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</row>
    <row r="691" spans="1:51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</row>
    <row r="692" spans="1:51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</row>
    <row r="693" spans="1:51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</row>
    <row r="694" spans="1:51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</row>
    <row r="695" spans="1:51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</row>
    <row r="696" spans="1:51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</row>
    <row r="697" spans="1:51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</row>
    <row r="698" spans="1:51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</row>
    <row r="699" spans="1:51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</row>
    <row r="700" spans="1:51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</row>
    <row r="701" spans="1:51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</row>
    <row r="702" spans="1:51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</row>
    <row r="703" spans="1:51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</row>
    <row r="704" spans="1:51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</row>
    <row r="705" spans="1:51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</row>
    <row r="706" spans="1:51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</row>
    <row r="707" spans="1:51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</row>
    <row r="708" spans="1:51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</row>
    <row r="709" spans="1:51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</row>
    <row r="710" spans="1:51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</row>
    <row r="711" spans="1:51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</row>
    <row r="712" spans="1:51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</row>
    <row r="713" spans="1:51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</row>
    <row r="714" spans="1:51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</row>
    <row r="715" spans="1:51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</row>
    <row r="716" spans="1:51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</row>
    <row r="717" spans="1:51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</row>
    <row r="718" spans="1:51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</row>
    <row r="719" spans="1:51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</row>
    <row r="720" spans="1:51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</row>
    <row r="721" spans="1:51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</row>
    <row r="722" spans="1:51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</row>
    <row r="723" spans="1:51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</row>
    <row r="724" spans="1:51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</row>
    <row r="725" spans="1:51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</row>
    <row r="726" spans="1:51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</row>
    <row r="727" spans="1:51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</row>
    <row r="728" spans="1:51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</row>
    <row r="729" spans="1:51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</row>
    <row r="730" spans="1:51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</row>
    <row r="731" spans="1:51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</row>
    <row r="732" spans="1:51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</row>
    <row r="733" spans="1:51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</row>
    <row r="734" spans="1:51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</row>
    <row r="735" spans="1:51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</row>
    <row r="736" spans="1:51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</row>
    <row r="737" spans="1:51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</row>
    <row r="738" spans="1:51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</row>
    <row r="739" spans="1:51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</row>
    <row r="740" spans="1:51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</row>
    <row r="741" spans="1:51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</row>
    <row r="742" spans="1:51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</row>
    <row r="743" spans="1:51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</row>
    <row r="744" spans="1:51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</row>
    <row r="745" spans="1:51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</row>
    <row r="746" spans="1:51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</row>
    <row r="747" spans="1:51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</row>
    <row r="748" spans="1:51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</row>
    <row r="749" spans="1:51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</row>
    <row r="750" spans="1:51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</row>
    <row r="751" spans="1:51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</row>
    <row r="752" spans="1:51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</row>
    <row r="753" spans="1:51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</row>
    <row r="754" spans="1:51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</row>
    <row r="755" spans="1:51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</row>
    <row r="756" spans="1:51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</row>
    <row r="757" spans="1:51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</row>
    <row r="758" spans="1:51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</row>
    <row r="759" spans="1:51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</row>
    <row r="760" spans="1:51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</row>
    <row r="761" spans="1:51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</row>
    <row r="762" spans="1:51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</row>
    <row r="763" spans="1:51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</row>
    <row r="764" spans="1:51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</row>
    <row r="765" spans="1:51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</row>
    <row r="766" spans="1:51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</row>
    <row r="767" spans="1:51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</row>
    <row r="768" spans="1:51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</row>
    <row r="769" spans="1:51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</row>
    <row r="770" spans="1:51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</row>
    <row r="771" spans="1:51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</row>
    <row r="772" spans="1:51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</row>
    <row r="773" spans="1:51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</row>
    <row r="774" spans="1:51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</row>
    <row r="775" spans="1:51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</row>
    <row r="776" spans="1:51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</row>
    <row r="777" spans="1:51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</row>
    <row r="778" spans="1:51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</row>
    <row r="779" spans="1:51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</row>
    <row r="780" spans="1:51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</row>
    <row r="781" spans="1:51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</row>
    <row r="782" spans="1:51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</row>
    <row r="783" spans="1:51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</row>
    <row r="784" spans="1:51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</row>
    <row r="785" spans="1:51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</row>
    <row r="786" spans="1:51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</row>
    <row r="787" spans="1:51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</row>
    <row r="788" spans="1:51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</row>
    <row r="789" spans="1:51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</row>
    <row r="790" spans="1:51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</row>
    <row r="791" spans="1:51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</row>
    <row r="792" spans="1:51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</row>
    <row r="793" spans="1:51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</row>
    <row r="794" spans="1:51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</row>
    <row r="795" spans="1:51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</row>
    <row r="796" spans="1:51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</row>
    <row r="797" spans="1:51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</row>
    <row r="798" spans="1:51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</row>
    <row r="799" spans="1:51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</row>
    <row r="800" spans="1:51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</row>
    <row r="801" spans="1:51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</row>
    <row r="802" spans="1:51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</row>
    <row r="803" spans="1:51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</row>
    <row r="804" spans="1:51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</row>
    <row r="805" spans="1:51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</row>
    <row r="806" spans="1:51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</row>
    <row r="807" spans="1:51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</row>
    <row r="808" spans="1:51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</row>
    <row r="809" spans="1:51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</row>
    <row r="810" spans="1:51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</row>
    <row r="811" spans="1:51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</row>
    <row r="812" spans="1:51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</row>
    <row r="813" spans="1:51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</row>
    <row r="814" spans="1:51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</row>
    <row r="815" spans="1:51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</row>
    <row r="816" spans="1:51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</row>
    <row r="817" spans="1:51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</row>
    <row r="818" spans="1:51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</row>
    <row r="819" spans="1:51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</row>
    <row r="820" spans="1:51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</row>
    <row r="821" spans="1:51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</row>
    <row r="822" spans="1:51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</row>
    <row r="823" spans="1:51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</row>
    <row r="824" spans="1:51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</row>
    <row r="825" spans="1:51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</row>
    <row r="826" spans="1:51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</row>
    <row r="827" spans="1:51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</row>
    <row r="828" spans="1:51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</row>
    <row r="829" spans="1:51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</row>
    <row r="830" spans="1:51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</row>
    <row r="831" spans="1:51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</row>
    <row r="832" spans="1:51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</row>
    <row r="833" spans="1:51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</row>
    <row r="834" spans="1:51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</row>
    <row r="835" spans="1:51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</row>
    <row r="836" spans="1:51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</row>
    <row r="837" spans="1:51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</row>
    <row r="838" spans="1:51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</row>
    <row r="839" spans="1:51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</row>
    <row r="840" spans="1:51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</row>
    <row r="841" spans="1:51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</row>
    <row r="842" spans="1:51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</row>
    <row r="843" spans="1:51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</row>
    <row r="844" spans="1:51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</row>
    <row r="845" spans="1:51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</row>
    <row r="846" spans="1:51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</row>
    <row r="847" spans="1:51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</row>
    <row r="848" spans="1:51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</row>
    <row r="849" spans="1:51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</row>
    <row r="850" spans="1:51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</row>
    <row r="851" spans="1:51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</row>
    <row r="852" spans="1:51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</row>
    <row r="853" spans="1:51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</row>
    <row r="854" spans="1:51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</row>
    <row r="855" spans="1:51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</row>
    <row r="856" spans="1:51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</row>
    <row r="857" spans="1:51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</row>
    <row r="858" spans="1:51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</row>
    <row r="859" spans="1:51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</row>
    <row r="860" spans="1:51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</row>
    <row r="861" spans="1:51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</row>
    <row r="862" spans="1:51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</row>
    <row r="863" spans="1:51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</row>
    <row r="864" spans="1:51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</row>
    <row r="865" spans="1:51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</row>
    <row r="866" spans="1:51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</row>
    <row r="867" spans="1:51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</row>
    <row r="868" spans="1:51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</row>
    <row r="869" spans="1:51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</row>
    <row r="870" spans="1:51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</row>
    <row r="871" spans="1:51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</row>
    <row r="872" spans="1:51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</row>
    <row r="873" spans="1:51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</row>
    <row r="874" spans="1:51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</row>
    <row r="875" spans="1:51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</row>
    <row r="876" spans="1:51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</row>
    <row r="877" spans="1:51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</row>
    <row r="878" spans="1:51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</row>
    <row r="879" spans="1:51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</row>
    <row r="880" spans="1:51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</row>
    <row r="881" spans="1:51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</row>
    <row r="882" spans="1:51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</row>
    <row r="883" spans="1:51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</row>
    <row r="884" spans="1:51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</row>
    <row r="885" spans="1:51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</row>
    <row r="886" spans="1:51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</row>
    <row r="887" spans="1:51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</row>
    <row r="888" spans="1:51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</row>
    <row r="889" spans="1:51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</row>
    <row r="890" spans="1:51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</row>
    <row r="891" spans="1:51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</row>
    <row r="892" spans="1:51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</row>
    <row r="893" spans="1:51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</row>
    <row r="894" spans="1:51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</row>
    <row r="895" spans="1:51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</row>
    <row r="896" spans="1:51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</row>
    <row r="897" spans="1:51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</row>
    <row r="898" spans="1:51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</row>
    <row r="899" spans="1:51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</row>
    <row r="900" spans="1:51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</row>
    <row r="901" spans="1:51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</row>
    <row r="902" spans="1:51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</row>
    <row r="903" spans="1:51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</row>
    <row r="904" spans="1:51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</row>
    <row r="905" spans="1:51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</row>
    <row r="906" spans="1:51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</row>
    <row r="907" spans="1:51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</row>
    <row r="908" spans="1:51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</row>
    <row r="909" spans="1:51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</row>
    <row r="910" spans="1:51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</row>
    <row r="911" spans="1:51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</row>
    <row r="912" spans="1:51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</row>
    <row r="913" spans="1:51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</row>
    <row r="914" spans="1:51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</row>
    <row r="915" spans="1:51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</row>
    <row r="916" spans="1:51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</row>
    <row r="917" spans="1:51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</row>
    <row r="918" spans="1:51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</row>
    <row r="919" spans="1:51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</row>
    <row r="920" spans="1:51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</row>
    <row r="921" spans="1:51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</row>
    <row r="922" spans="1:51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</row>
    <row r="923" spans="1:51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</row>
    <row r="924" spans="1:51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</row>
    <row r="925" spans="1:51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</row>
    <row r="926" spans="1:51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</row>
    <row r="927" spans="1:51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</row>
    <row r="928" spans="1:51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</row>
    <row r="929" spans="1:51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</row>
    <row r="930" spans="1:51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</row>
    <row r="931" spans="1:51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</row>
    <row r="932" spans="1:51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</row>
    <row r="933" spans="1:51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</row>
    <row r="934" spans="1:51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</row>
    <row r="935" spans="1:51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</row>
    <row r="936" spans="1:51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</row>
    <row r="937" spans="1:51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</row>
    <row r="938" spans="1:51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</row>
    <row r="939" spans="1:51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</row>
    <row r="940" spans="1:51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</row>
    <row r="941" spans="1:51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</row>
    <row r="942" spans="1:51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</row>
    <row r="943" spans="1:51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</row>
    <row r="944" spans="1:51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</row>
    <row r="945" spans="1:51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</row>
    <row r="946" spans="1:51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</row>
    <row r="947" spans="1:51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</row>
    <row r="948" spans="1:51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</row>
    <row r="949" spans="1:51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</row>
    <row r="950" spans="1:51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</row>
    <row r="951" spans="1:51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</row>
    <row r="952" spans="1:51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</row>
    <row r="953" spans="1:51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</row>
    <row r="954" spans="1:51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</row>
    <row r="955" spans="1:51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</row>
    <row r="956" spans="1:51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</row>
    <row r="957" spans="1:51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</row>
    <row r="958" spans="1:51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</row>
    <row r="959" spans="1:51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</row>
    <row r="960" spans="1:51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</row>
    <row r="961" spans="1:51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</row>
    <row r="962" spans="1:51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</row>
    <row r="963" spans="1:51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</row>
    <row r="964" spans="1:51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</row>
    <row r="965" spans="1:51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</row>
    <row r="966" spans="1:51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</row>
    <row r="967" spans="1:51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</row>
    <row r="968" spans="1:51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</row>
    <row r="969" spans="1:51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</row>
    <row r="970" spans="1:51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</row>
    <row r="971" spans="1:51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</row>
    <row r="972" spans="1:51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</row>
    <row r="973" spans="1:51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</row>
    <row r="974" spans="1:51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</row>
    <row r="975" spans="1:51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</row>
    <row r="976" spans="1:51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</row>
    <row r="977" spans="1:51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</row>
    <row r="978" spans="1:51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</row>
    <row r="979" spans="1:51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</row>
    <row r="980" spans="1:51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</row>
    <row r="981" spans="1:51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</row>
    <row r="982" spans="1:51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</row>
    <row r="983" spans="1:51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</row>
    <row r="984" spans="1:51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</row>
    <row r="985" spans="1:51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</row>
    <row r="986" spans="1:51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</row>
    <row r="987" spans="1:51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</row>
    <row r="988" spans="1:51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</row>
    <row r="989" spans="1:51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</row>
    <row r="990" spans="1:51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</row>
    <row r="991" spans="1:51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</row>
    <row r="992" spans="1:51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</row>
    <row r="993" spans="1:51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</row>
    <row r="994" spans="1:51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</row>
    <row r="995" spans="1:51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</row>
    <row r="996" spans="1:51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</row>
    <row r="997" spans="1:51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</row>
    <row r="998" spans="1:51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</row>
    <row r="999" spans="1:51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</row>
    <row r="1000" spans="1:51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</row>
    <row r="1001" spans="1:51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</row>
    <row r="1002" spans="1:51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</row>
    <row r="1003" spans="1:51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</row>
    <row r="1004" spans="1:51" x14ac:dyDescent="0.25">
      <c r="A1004" t="str">
        <f>H1</f>
        <v>FS HMin Mode1</v>
      </c>
    </row>
    <row r="1005" spans="1:51" x14ac:dyDescent="0.25">
      <c r="A1005" t="s">
        <v>9</v>
      </c>
    </row>
    <row r="1006" spans="1:51" x14ac:dyDescent="0.25">
      <c r="A1006" t="s">
        <v>6</v>
      </c>
    </row>
    <row r="1007" spans="1:51" x14ac:dyDescent="0.25">
      <c r="A1007" t="s">
        <v>7</v>
      </c>
    </row>
    <row r="1008" spans="1:51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tr">
        <f>V1</f>
        <v>FS HMin Mode2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tr">
        <f>AJ1</f>
        <v>FS HMax Mode1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tr">
        <f>AX1</f>
        <v>FS HMax Mode2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22" x14ac:dyDescent="0.25">
      <c r="A1057" t="s">
        <v>12</v>
      </c>
      <c r="H1057" s="1"/>
      <c r="I1057" s="1"/>
      <c r="J1057" s="1"/>
      <c r="K1057" s="1"/>
    </row>
    <row r="1058" spans="1:22" x14ac:dyDescent="0.25">
      <c r="A1058" t="s">
        <v>4</v>
      </c>
      <c r="J1058" s="1"/>
      <c r="K1058" s="1"/>
    </row>
    <row r="1059" spans="1:22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1" spans="1:22" x14ac:dyDescent="0.25">
      <c r="A1061" t="s">
        <v>30</v>
      </c>
    </row>
    <row r="1062" spans="1:22" x14ac:dyDescent="0.25">
      <c r="A1062" t="str">
        <f>A1005</f>
        <v>Half-length</v>
      </c>
      <c r="B1062">
        <f>MAX(B1005,B1019)</f>
        <v>0</v>
      </c>
      <c r="C1062">
        <f t="shared" ref="C1062:V1062" si="0">MAX(C1005,C1019)</f>
        <v>0</v>
      </c>
      <c r="D1062">
        <f t="shared" si="0"/>
        <v>0</v>
      </c>
      <c r="E1062">
        <f t="shared" si="0"/>
        <v>0</v>
      </c>
      <c r="F1062">
        <f t="shared" si="0"/>
        <v>0</v>
      </c>
      <c r="G1062">
        <f t="shared" si="0"/>
        <v>0</v>
      </c>
      <c r="H1062">
        <f t="shared" si="0"/>
        <v>0</v>
      </c>
      <c r="I1062">
        <f t="shared" si="0"/>
        <v>0</v>
      </c>
      <c r="J1062">
        <f t="shared" si="0"/>
        <v>0</v>
      </c>
      <c r="K1062">
        <f t="shared" si="0"/>
        <v>0</v>
      </c>
      <c r="L1062">
        <f t="shared" si="0"/>
        <v>0</v>
      </c>
      <c r="M1062">
        <f t="shared" si="0"/>
        <v>0</v>
      </c>
      <c r="N1062">
        <f t="shared" si="0"/>
        <v>0</v>
      </c>
      <c r="O1062">
        <f t="shared" si="0"/>
        <v>0</v>
      </c>
      <c r="P1062">
        <f t="shared" si="0"/>
        <v>0</v>
      </c>
      <c r="Q1062">
        <f t="shared" si="0"/>
        <v>0</v>
      </c>
      <c r="R1062">
        <f t="shared" si="0"/>
        <v>0</v>
      </c>
      <c r="S1062">
        <f t="shared" si="0"/>
        <v>0</v>
      </c>
      <c r="T1062">
        <f t="shared" si="0"/>
        <v>0</v>
      </c>
      <c r="U1062">
        <f t="shared" si="0"/>
        <v>0</v>
      </c>
      <c r="V1062">
        <f t="shared" si="0"/>
        <v>0</v>
      </c>
    </row>
    <row r="1063" spans="1:22" x14ac:dyDescent="0.25">
      <c r="A1063" t="s">
        <v>59</v>
      </c>
      <c r="B1063">
        <f>SUM(B1006,B1020)</f>
        <v>0</v>
      </c>
      <c r="C1063">
        <f t="shared" ref="C1063:V1063" si="1">SUM(C1006,C1020)</f>
        <v>0</v>
      </c>
      <c r="D1063">
        <f t="shared" si="1"/>
        <v>0</v>
      </c>
      <c r="E1063">
        <f t="shared" si="1"/>
        <v>0</v>
      </c>
      <c r="F1063">
        <f t="shared" si="1"/>
        <v>0</v>
      </c>
      <c r="G1063">
        <f t="shared" si="1"/>
        <v>0</v>
      </c>
      <c r="H1063">
        <f t="shared" si="1"/>
        <v>0</v>
      </c>
      <c r="I1063">
        <f t="shared" si="1"/>
        <v>0</v>
      </c>
      <c r="J1063">
        <f t="shared" si="1"/>
        <v>0</v>
      </c>
      <c r="K1063">
        <f t="shared" si="1"/>
        <v>0</v>
      </c>
      <c r="L1063">
        <f t="shared" si="1"/>
        <v>0</v>
      </c>
      <c r="M1063">
        <f t="shared" si="1"/>
        <v>0</v>
      </c>
      <c r="N1063">
        <f t="shared" si="1"/>
        <v>0</v>
      </c>
      <c r="O1063">
        <f t="shared" si="1"/>
        <v>0</v>
      </c>
      <c r="P1063">
        <f t="shared" si="1"/>
        <v>0</v>
      </c>
      <c r="Q1063">
        <f t="shared" si="1"/>
        <v>0</v>
      </c>
      <c r="R1063">
        <f t="shared" si="1"/>
        <v>0</v>
      </c>
      <c r="S1063">
        <f t="shared" si="1"/>
        <v>0</v>
      </c>
      <c r="T1063">
        <f t="shared" si="1"/>
        <v>0</v>
      </c>
      <c r="U1063">
        <f t="shared" si="1"/>
        <v>0</v>
      </c>
      <c r="V1063">
        <f t="shared" si="1"/>
        <v>0</v>
      </c>
    </row>
    <row r="1064" spans="1:22" x14ac:dyDescent="0.25">
      <c r="A1064" t="s">
        <v>58</v>
      </c>
      <c r="B1064">
        <f>SUM(B1006:B1008,B1020:B1022)</f>
        <v>0</v>
      </c>
      <c r="C1064">
        <f t="shared" ref="C1064:V1064" si="2">SUM(C1006:C1008,C1020:C1022)</f>
        <v>0</v>
      </c>
      <c r="D1064">
        <f t="shared" si="2"/>
        <v>0</v>
      </c>
      <c r="E1064">
        <f t="shared" si="2"/>
        <v>0</v>
      </c>
      <c r="F1064">
        <f t="shared" si="2"/>
        <v>0</v>
      </c>
      <c r="G1064">
        <f t="shared" si="2"/>
        <v>0</v>
      </c>
      <c r="H1064">
        <f t="shared" si="2"/>
        <v>0</v>
      </c>
      <c r="I1064">
        <f t="shared" si="2"/>
        <v>0</v>
      </c>
      <c r="J1064">
        <f t="shared" si="2"/>
        <v>0</v>
      </c>
      <c r="K1064">
        <f t="shared" si="2"/>
        <v>0</v>
      </c>
      <c r="L1064">
        <f t="shared" si="2"/>
        <v>0</v>
      </c>
      <c r="M1064">
        <f t="shared" si="2"/>
        <v>0</v>
      </c>
      <c r="N1064">
        <f t="shared" si="2"/>
        <v>0</v>
      </c>
      <c r="O1064">
        <f t="shared" si="2"/>
        <v>0</v>
      </c>
      <c r="P1064">
        <f t="shared" si="2"/>
        <v>0</v>
      </c>
      <c r="Q1064">
        <f t="shared" si="2"/>
        <v>0</v>
      </c>
      <c r="R1064">
        <f t="shared" si="2"/>
        <v>0</v>
      </c>
      <c r="S1064">
        <f t="shared" si="2"/>
        <v>0</v>
      </c>
      <c r="T1064">
        <f t="shared" si="2"/>
        <v>0</v>
      </c>
      <c r="U1064">
        <f t="shared" si="2"/>
        <v>0</v>
      </c>
      <c r="V1064">
        <f t="shared" si="2"/>
        <v>0</v>
      </c>
    </row>
    <row r="1065" spans="1:22" x14ac:dyDescent="0.25">
      <c r="A1065" t="s">
        <v>60</v>
      </c>
      <c r="B1065">
        <f>SUM(B1009,B1023)</f>
        <v>0</v>
      </c>
      <c r="C1065">
        <f t="shared" ref="C1065:V1065" si="3">SUM(C1009,C1023)</f>
        <v>0</v>
      </c>
      <c r="D1065">
        <f t="shared" si="3"/>
        <v>0</v>
      </c>
      <c r="E1065">
        <f t="shared" si="3"/>
        <v>0</v>
      </c>
      <c r="F1065">
        <f t="shared" si="3"/>
        <v>0</v>
      </c>
      <c r="G1065">
        <f t="shared" si="3"/>
        <v>0</v>
      </c>
      <c r="H1065">
        <f t="shared" si="3"/>
        <v>0</v>
      </c>
      <c r="I1065">
        <f t="shared" si="3"/>
        <v>0</v>
      </c>
      <c r="J1065">
        <f t="shared" si="3"/>
        <v>0</v>
      </c>
      <c r="K1065">
        <f t="shared" si="3"/>
        <v>0</v>
      </c>
      <c r="L1065">
        <f t="shared" si="3"/>
        <v>0</v>
      </c>
      <c r="M1065">
        <f t="shared" si="3"/>
        <v>0</v>
      </c>
      <c r="N1065">
        <f t="shared" si="3"/>
        <v>0</v>
      </c>
      <c r="O1065">
        <f t="shared" si="3"/>
        <v>0</v>
      </c>
      <c r="P1065">
        <f t="shared" si="3"/>
        <v>0</v>
      </c>
      <c r="Q1065">
        <f t="shared" si="3"/>
        <v>0</v>
      </c>
      <c r="R1065">
        <f t="shared" si="3"/>
        <v>0</v>
      </c>
      <c r="S1065">
        <f t="shared" si="3"/>
        <v>0</v>
      </c>
      <c r="T1065">
        <f t="shared" si="3"/>
        <v>0</v>
      </c>
      <c r="U1065">
        <f t="shared" si="3"/>
        <v>0</v>
      </c>
      <c r="V1065">
        <f t="shared" si="3"/>
        <v>0</v>
      </c>
    </row>
    <row r="1066" spans="1:22" x14ac:dyDescent="0.25">
      <c r="A1066" t="s">
        <v>61</v>
      </c>
      <c r="B1066">
        <f>SUM(B1009:B1010,B1023:B1024)</f>
        <v>0</v>
      </c>
      <c r="C1066">
        <f t="shared" ref="C1066:V1066" si="4">SUM(C1009:C1010,C1023:C1024)</f>
        <v>0</v>
      </c>
      <c r="D1066">
        <f t="shared" si="4"/>
        <v>0</v>
      </c>
      <c r="E1066">
        <f t="shared" si="4"/>
        <v>0</v>
      </c>
      <c r="F1066">
        <f t="shared" si="4"/>
        <v>0</v>
      </c>
      <c r="G1066">
        <f t="shared" si="4"/>
        <v>0</v>
      </c>
      <c r="H1066">
        <f t="shared" si="4"/>
        <v>0</v>
      </c>
      <c r="I1066">
        <f t="shared" si="4"/>
        <v>0</v>
      </c>
      <c r="J1066">
        <f t="shared" si="4"/>
        <v>0</v>
      </c>
      <c r="K1066">
        <f t="shared" si="4"/>
        <v>0</v>
      </c>
      <c r="L1066">
        <f t="shared" si="4"/>
        <v>0</v>
      </c>
      <c r="M1066">
        <f t="shared" si="4"/>
        <v>0</v>
      </c>
      <c r="N1066">
        <f t="shared" si="4"/>
        <v>0</v>
      </c>
      <c r="O1066">
        <f t="shared" si="4"/>
        <v>0</v>
      </c>
      <c r="P1066">
        <f t="shared" si="4"/>
        <v>0</v>
      </c>
      <c r="Q1066">
        <f t="shared" si="4"/>
        <v>0</v>
      </c>
      <c r="R1066">
        <f t="shared" si="4"/>
        <v>0</v>
      </c>
      <c r="S1066">
        <f t="shared" si="4"/>
        <v>0</v>
      </c>
      <c r="T1066">
        <f t="shared" si="4"/>
        <v>0</v>
      </c>
      <c r="U1066">
        <f t="shared" si="4"/>
        <v>0</v>
      </c>
      <c r="V1066">
        <f t="shared" si="4"/>
        <v>0</v>
      </c>
    </row>
    <row r="1067" spans="1:22" x14ac:dyDescent="0.25">
      <c r="A1067" t="s">
        <v>38</v>
      </c>
      <c r="B1067" t="e">
        <f>SUM(B1006,B1020)/B1064</f>
        <v>#DIV/0!</v>
      </c>
      <c r="C1067" t="e">
        <f t="shared" ref="C1067:V1067" si="5">SUM(C1006,C1020)/C1064</f>
        <v>#DIV/0!</v>
      </c>
      <c r="D1067" t="e">
        <f t="shared" si="5"/>
        <v>#DIV/0!</v>
      </c>
      <c r="E1067" t="e">
        <f t="shared" si="5"/>
        <v>#DIV/0!</v>
      </c>
      <c r="F1067" t="e">
        <f t="shared" si="5"/>
        <v>#DIV/0!</v>
      </c>
      <c r="G1067" t="e">
        <f t="shared" si="5"/>
        <v>#DIV/0!</v>
      </c>
      <c r="H1067" t="e">
        <f t="shared" si="5"/>
        <v>#DIV/0!</v>
      </c>
      <c r="I1067" t="e">
        <f t="shared" si="5"/>
        <v>#DIV/0!</v>
      </c>
      <c r="J1067" t="e">
        <f t="shared" si="5"/>
        <v>#DIV/0!</v>
      </c>
      <c r="K1067" t="e">
        <f t="shared" si="5"/>
        <v>#DIV/0!</v>
      </c>
      <c r="L1067" t="e">
        <f t="shared" si="5"/>
        <v>#DIV/0!</v>
      </c>
      <c r="M1067" t="e">
        <f t="shared" si="5"/>
        <v>#DIV/0!</v>
      </c>
      <c r="N1067" t="e">
        <f t="shared" si="5"/>
        <v>#DIV/0!</v>
      </c>
      <c r="O1067" t="e">
        <f t="shared" si="5"/>
        <v>#DIV/0!</v>
      </c>
      <c r="P1067" t="e">
        <f t="shared" si="5"/>
        <v>#DIV/0!</v>
      </c>
      <c r="Q1067" t="e">
        <f t="shared" si="5"/>
        <v>#DIV/0!</v>
      </c>
      <c r="R1067" t="e">
        <f t="shared" si="5"/>
        <v>#DIV/0!</v>
      </c>
      <c r="S1067" t="e">
        <f t="shared" si="5"/>
        <v>#DIV/0!</v>
      </c>
      <c r="T1067" t="e">
        <f t="shared" si="5"/>
        <v>#DIV/0!</v>
      </c>
      <c r="U1067" t="e">
        <f t="shared" si="5"/>
        <v>#DIV/0!</v>
      </c>
      <c r="V1067" t="e">
        <f t="shared" si="5"/>
        <v>#DIV/0!</v>
      </c>
    </row>
    <row r="1068" spans="1:22" x14ac:dyDescent="0.25">
      <c r="A1068" t="s">
        <v>41</v>
      </c>
      <c r="B1068" t="e">
        <f>SUM(B1006:B1007,B1020:B1021)/B1064</f>
        <v>#DIV/0!</v>
      </c>
      <c r="C1068" t="e">
        <f t="shared" ref="C1068:V1068" si="6">SUM(C1006:C1007,C1020:C1021)/C1064</f>
        <v>#DIV/0!</v>
      </c>
      <c r="D1068" t="e">
        <f t="shared" si="6"/>
        <v>#DIV/0!</v>
      </c>
      <c r="E1068" t="e">
        <f t="shared" si="6"/>
        <v>#DIV/0!</v>
      </c>
      <c r="F1068" t="e">
        <f t="shared" si="6"/>
        <v>#DIV/0!</v>
      </c>
      <c r="G1068" t="e">
        <f t="shared" si="6"/>
        <v>#DIV/0!</v>
      </c>
      <c r="H1068" t="e">
        <f t="shared" si="6"/>
        <v>#DIV/0!</v>
      </c>
      <c r="I1068" t="e">
        <f t="shared" si="6"/>
        <v>#DIV/0!</v>
      </c>
      <c r="J1068" t="e">
        <f t="shared" si="6"/>
        <v>#DIV/0!</v>
      </c>
      <c r="K1068" t="e">
        <f t="shared" si="6"/>
        <v>#DIV/0!</v>
      </c>
      <c r="L1068" t="e">
        <f t="shared" si="6"/>
        <v>#DIV/0!</v>
      </c>
      <c r="M1068" t="e">
        <f t="shared" si="6"/>
        <v>#DIV/0!</v>
      </c>
      <c r="N1068" t="e">
        <f t="shared" si="6"/>
        <v>#DIV/0!</v>
      </c>
      <c r="O1068" t="e">
        <f t="shared" si="6"/>
        <v>#DIV/0!</v>
      </c>
      <c r="P1068" t="e">
        <f t="shared" si="6"/>
        <v>#DIV/0!</v>
      </c>
      <c r="Q1068" t="e">
        <f t="shared" si="6"/>
        <v>#DIV/0!</v>
      </c>
      <c r="R1068" t="e">
        <f t="shared" si="6"/>
        <v>#DIV/0!</v>
      </c>
      <c r="S1068" t="e">
        <f t="shared" si="6"/>
        <v>#DIV/0!</v>
      </c>
      <c r="T1068" t="e">
        <f t="shared" si="6"/>
        <v>#DIV/0!</v>
      </c>
      <c r="U1068" t="e">
        <f t="shared" si="6"/>
        <v>#DIV/0!</v>
      </c>
      <c r="V1068" t="e">
        <f t="shared" si="6"/>
        <v>#DIV/0!</v>
      </c>
    </row>
    <row r="1069" spans="1:22" x14ac:dyDescent="0.25">
      <c r="A1069" t="s">
        <v>39</v>
      </c>
      <c r="B1069" t="e">
        <f>SUM(B1007,B1021)/B1064</f>
        <v>#DIV/0!</v>
      </c>
      <c r="C1069" t="e">
        <f t="shared" ref="C1069:V1069" si="7">SUM(C1007,C1021)/C1064</f>
        <v>#DIV/0!</v>
      </c>
      <c r="D1069" t="e">
        <f t="shared" si="7"/>
        <v>#DIV/0!</v>
      </c>
      <c r="E1069" t="e">
        <f t="shared" si="7"/>
        <v>#DIV/0!</v>
      </c>
      <c r="F1069" t="e">
        <f t="shared" si="7"/>
        <v>#DIV/0!</v>
      </c>
      <c r="G1069" t="e">
        <f t="shared" si="7"/>
        <v>#DIV/0!</v>
      </c>
      <c r="H1069" t="e">
        <f t="shared" si="7"/>
        <v>#DIV/0!</v>
      </c>
      <c r="I1069" t="e">
        <f t="shared" si="7"/>
        <v>#DIV/0!</v>
      </c>
      <c r="J1069" t="e">
        <f t="shared" si="7"/>
        <v>#DIV/0!</v>
      </c>
      <c r="K1069" t="e">
        <f t="shared" si="7"/>
        <v>#DIV/0!</v>
      </c>
      <c r="L1069" t="e">
        <f t="shared" si="7"/>
        <v>#DIV/0!</v>
      </c>
      <c r="M1069" t="e">
        <f t="shared" si="7"/>
        <v>#DIV/0!</v>
      </c>
      <c r="N1069" t="e">
        <f t="shared" si="7"/>
        <v>#DIV/0!</v>
      </c>
      <c r="O1069" t="e">
        <f t="shared" si="7"/>
        <v>#DIV/0!</v>
      </c>
      <c r="P1069" t="e">
        <f t="shared" si="7"/>
        <v>#DIV/0!</v>
      </c>
      <c r="Q1069" t="e">
        <f t="shared" si="7"/>
        <v>#DIV/0!</v>
      </c>
      <c r="R1069" t="e">
        <f t="shared" si="7"/>
        <v>#DIV/0!</v>
      </c>
      <c r="S1069" t="e">
        <f t="shared" si="7"/>
        <v>#DIV/0!</v>
      </c>
      <c r="T1069" t="e">
        <f t="shared" si="7"/>
        <v>#DIV/0!</v>
      </c>
      <c r="U1069" t="e">
        <f t="shared" si="7"/>
        <v>#DIV/0!</v>
      </c>
      <c r="V1069" t="e">
        <f t="shared" si="7"/>
        <v>#DIV/0!</v>
      </c>
    </row>
    <row r="1070" spans="1:22" x14ac:dyDescent="0.25">
      <c r="A1070" t="s">
        <v>40</v>
      </c>
      <c r="B1070" t="e">
        <f>SUM(B1008,B1022)/B1064</f>
        <v>#DIV/0!</v>
      </c>
      <c r="C1070" t="e">
        <f t="shared" ref="C1070:V1070" si="8">SUM(C1008,C1022)/C1064</f>
        <v>#DIV/0!</v>
      </c>
      <c r="D1070" t="e">
        <f t="shared" si="8"/>
        <v>#DIV/0!</v>
      </c>
      <c r="E1070" t="e">
        <f t="shared" si="8"/>
        <v>#DIV/0!</v>
      </c>
      <c r="F1070" t="e">
        <f t="shared" si="8"/>
        <v>#DIV/0!</v>
      </c>
      <c r="G1070" t="e">
        <f t="shared" si="8"/>
        <v>#DIV/0!</v>
      </c>
      <c r="H1070" t="e">
        <f t="shared" si="8"/>
        <v>#DIV/0!</v>
      </c>
      <c r="I1070" t="e">
        <f t="shared" si="8"/>
        <v>#DIV/0!</v>
      </c>
      <c r="J1070" t="e">
        <f t="shared" si="8"/>
        <v>#DIV/0!</v>
      </c>
      <c r="K1070" t="e">
        <f t="shared" si="8"/>
        <v>#DIV/0!</v>
      </c>
      <c r="L1070" t="e">
        <f t="shared" si="8"/>
        <v>#DIV/0!</v>
      </c>
      <c r="M1070" t="e">
        <f t="shared" si="8"/>
        <v>#DIV/0!</v>
      </c>
      <c r="N1070" t="e">
        <f t="shared" si="8"/>
        <v>#DIV/0!</v>
      </c>
      <c r="O1070" t="e">
        <f t="shared" si="8"/>
        <v>#DIV/0!</v>
      </c>
      <c r="P1070" t="e">
        <f t="shared" si="8"/>
        <v>#DIV/0!</v>
      </c>
      <c r="Q1070" t="e">
        <f t="shared" si="8"/>
        <v>#DIV/0!</v>
      </c>
      <c r="R1070" t="e">
        <f t="shared" si="8"/>
        <v>#DIV/0!</v>
      </c>
      <c r="S1070" t="e">
        <f t="shared" si="8"/>
        <v>#DIV/0!</v>
      </c>
      <c r="T1070" t="e">
        <f t="shared" si="8"/>
        <v>#DIV/0!</v>
      </c>
      <c r="U1070" t="e">
        <f t="shared" si="8"/>
        <v>#DIV/0!</v>
      </c>
      <c r="V1070" t="e">
        <f t="shared" si="8"/>
        <v>#DIV/0!</v>
      </c>
    </row>
    <row r="1072" spans="1:22" x14ac:dyDescent="0.25">
      <c r="A1072" t="s">
        <v>31</v>
      </c>
    </row>
    <row r="1073" spans="1:22" x14ac:dyDescent="0.25">
      <c r="A1073" t="str">
        <f>A1033</f>
        <v>Half-length</v>
      </c>
      <c r="B1073">
        <f>MAX(B1033,B1047)</f>
        <v>0</v>
      </c>
      <c r="C1073">
        <f t="shared" ref="C1073:V1073" si="9">MAX(C1033,C1047)</f>
        <v>0</v>
      </c>
      <c r="D1073">
        <f t="shared" si="9"/>
        <v>0</v>
      </c>
      <c r="E1073">
        <f t="shared" si="9"/>
        <v>0</v>
      </c>
      <c r="F1073">
        <f t="shared" si="9"/>
        <v>0</v>
      </c>
      <c r="G1073">
        <f t="shared" si="9"/>
        <v>0</v>
      </c>
      <c r="H1073">
        <f t="shared" si="9"/>
        <v>0</v>
      </c>
      <c r="I1073">
        <f t="shared" si="9"/>
        <v>0</v>
      </c>
      <c r="J1073">
        <f t="shared" si="9"/>
        <v>0</v>
      </c>
      <c r="K1073">
        <f t="shared" si="9"/>
        <v>0</v>
      </c>
      <c r="L1073">
        <f t="shared" si="9"/>
        <v>0</v>
      </c>
      <c r="M1073">
        <f t="shared" si="9"/>
        <v>0</v>
      </c>
      <c r="N1073">
        <f t="shared" si="9"/>
        <v>0</v>
      </c>
      <c r="O1073">
        <f t="shared" si="9"/>
        <v>0</v>
      </c>
      <c r="P1073">
        <f t="shared" si="9"/>
        <v>0</v>
      </c>
      <c r="Q1073">
        <f t="shared" si="9"/>
        <v>0</v>
      </c>
      <c r="R1073">
        <f t="shared" si="9"/>
        <v>0</v>
      </c>
      <c r="S1073">
        <f t="shared" si="9"/>
        <v>0</v>
      </c>
      <c r="T1073">
        <f t="shared" si="9"/>
        <v>0</v>
      </c>
      <c r="U1073">
        <f t="shared" si="9"/>
        <v>0</v>
      </c>
      <c r="V1073">
        <f t="shared" si="9"/>
        <v>0</v>
      </c>
    </row>
    <row r="1074" spans="1:22" x14ac:dyDescent="0.25">
      <c r="A1074" t="s">
        <v>59</v>
      </c>
      <c r="B1074">
        <f>SUM(B1034,B1048)</f>
        <v>0</v>
      </c>
      <c r="C1074">
        <f t="shared" ref="C1074:V1074" si="10">SUM(C1034,C1048)</f>
        <v>0</v>
      </c>
      <c r="D1074">
        <f t="shared" si="10"/>
        <v>0</v>
      </c>
      <c r="E1074">
        <f t="shared" si="10"/>
        <v>0</v>
      </c>
      <c r="F1074">
        <f t="shared" si="10"/>
        <v>0</v>
      </c>
      <c r="G1074">
        <f t="shared" si="10"/>
        <v>0</v>
      </c>
      <c r="H1074">
        <f t="shared" si="10"/>
        <v>0</v>
      </c>
      <c r="I1074">
        <f t="shared" si="10"/>
        <v>0</v>
      </c>
      <c r="J1074">
        <f t="shared" si="10"/>
        <v>0</v>
      </c>
      <c r="K1074">
        <f t="shared" si="10"/>
        <v>0</v>
      </c>
      <c r="L1074">
        <f t="shared" si="10"/>
        <v>0</v>
      </c>
      <c r="M1074">
        <f t="shared" si="10"/>
        <v>0</v>
      </c>
      <c r="N1074">
        <f t="shared" si="10"/>
        <v>0</v>
      </c>
      <c r="O1074">
        <f t="shared" si="10"/>
        <v>0</v>
      </c>
      <c r="P1074">
        <f t="shared" si="10"/>
        <v>0</v>
      </c>
      <c r="Q1074">
        <f t="shared" si="10"/>
        <v>0</v>
      </c>
      <c r="R1074">
        <f t="shared" si="10"/>
        <v>0</v>
      </c>
      <c r="S1074">
        <f t="shared" si="10"/>
        <v>0</v>
      </c>
      <c r="T1074">
        <f t="shared" si="10"/>
        <v>0</v>
      </c>
      <c r="U1074">
        <f t="shared" si="10"/>
        <v>0</v>
      </c>
      <c r="V1074">
        <f t="shared" si="10"/>
        <v>0</v>
      </c>
    </row>
    <row r="1075" spans="1:22" x14ac:dyDescent="0.25">
      <c r="A1075" t="s">
        <v>58</v>
      </c>
      <c r="B1075">
        <f>SUM(B1034:B1036,B1048:B1050)</f>
        <v>0</v>
      </c>
      <c r="C1075">
        <f t="shared" ref="C1075:V1075" si="11">SUM(C1034:C1036,C1048:C1050)</f>
        <v>0</v>
      </c>
      <c r="D1075">
        <f t="shared" si="11"/>
        <v>0</v>
      </c>
      <c r="E1075">
        <f t="shared" si="11"/>
        <v>0</v>
      </c>
      <c r="F1075">
        <f t="shared" si="11"/>
        <v>0</v>
      </c>
      <c r="G1075">
        <f t="shared" si="11"/>
        <v>0</v>
      </c>
      <c r="H1075">
        <f t="shared" si="11"/>
        <v>0</v>
      </c>
      <c r="I1075">
        <f t="shared" si="11"/>
        <v>0</v>
      </c>
      <c r="J1075">
        <f t="shared" si="11"/>
        <v>0</v>
      </c>
      <c r="K1075">
        <f t="shared" si="11"/>
        <v>0</v>
      </c>
      <c r="L1075">
        <f t="shared" si="11"/>
        <v>0</v>
      </c>
      <c r="M1075">
        <f t="shared" si="11"/>
        <v>0</v>
      </c>
      <c r="N1075">
        <f t="shared" si="11"/>
        <v>0</v>
      </c>
      <c r="O1075">
        <f t="shared" si="11"/>
        <v>0</v>
      </c>
      <c r="P1075">
        <f t="shared" si="11"/>
        <v>0</v>
      </c>
      <c r="Q1075">
        <f t="shared" si="11"/>
        <v>0</v>
      </c>
      <c r="R1075">
        <f t="shared" si="11"/>
        <v>0</v>
      </c>
      <c r="S1075">
        <f t="shared" si="11"/>
        <v>0</v>
      </c>
      <c r="T1075">
        <f t="shared" si="11"/>
        <v>0</v>
      </c>
      <c r="U1075">
        <f t="shared" si="11"/>
        <v>0</v>
      </c>
      <c r="V1075">
        <f t="shared" si="11"/>
        <v>0</v>
      </c>
    </row>
    <row r="1076" spans="1:22" x14ac:dyDescent="0.25">
      <c r="A1076" t="s">
        <v>60</v>
      </c>
      <c r="B1076">
        <f>SUM(B1037,B1051)</f>
        <v>0</v>
      </c>
      <c r="C1076">
        <f t="shared" ref="C1076:V1076" si="12">SUM(C1037,C1051)</f>
        <v>0</v>
      </c>
      <c r="D1076">
        <f t="shared" si="12"/>
        <v>0</v>
      </c>
      <c r="E1076">
        <f t="shared" si="12"/>
        <v>0</v>
      </c>
      <c r="F1076">
        <f t="shared" si="12"/>
        <v>0</v>
      </c>
      <c r="G1076">
        <f t="shared" si="12"/>
        <v>0</v>
      </c>
      <c r="H1076">
        <f t="shared" si="12"/>
        <v>0</v>
      </c>
      <c r="I1076">
        <f t="shared" si="12"/>
        <v>0</v>
      </c>
      <c r="J1076">
        <f t="shared" si="12"/>
        <v>0</v>
      </c>
      <c r="K1076">
        <f t="shared" si="12"/>
        <v>0</v>
      </c>
      <c r="L1076">
        <f t="shared" si="12"/>
        <v>0</v>
      </c>
      <c r="M1076">
        <f t="shared" si="12"/>
        <v>0</v>
      </c>
      <c r="N1076">
        <f t="shared" si="12"/>
        <v>0</v>
      </c>
      <c r="O1076">
        <f t="shared" si="12"/>
        <v>0</v>
      </c>
      <c r="P1076">
        <f t="shared" si="12"/>
        <v>0</v>
      </c>
      <c r="Q1076">
        <f t="shared" si="12"/>
        <v>0</v>
      </c>
      <c r="R1076">
        <f t="shared" si="12"/>
        <v>0</v>
      </c>
      <c r="S1076">
        <f t="shared" si="12"/>
        <v>0</v>
      </c>
      <c r="T1076">
        <f t="shared" si="12"/>
        <v>0</v>
      </c>
      <c r="U1076">
        <f t="shared" si="12"/>
        <v>0</v>
      </c>
      <c r="V1076">
        <f t="shared" si="12"/>
        <v>0</v>
      </c>
    </row>
    <row r="1077" spans="1:22" x14ac:dyDescent="0.25">
      <c r="A1077" t="s">
        <v>61</v>
      </c>
      <c r="B1077">
        <f>SUM(B1037:B1038,B1051:B1052)</f>
        <v>0</v>
      </c>
      <c r="C1077">
        <f t="shared" ref="C1077:V1077" si="13">SUM(C1037:C1038,C1051:C1052)</f>
        <v>0</v>
      </c>
      <c r="D1077">
        <f t="shared" si="13"/>
        <v>0</v>
      </c>
      <c r="E1077">
        <f t="shared" si="13"/>
        <v>0</v>
      </c>
      <c r="F1077">
        <f t="shared" si="13"/>
        <v>0</v>
      </c>
      <c r="G1077">
        <f t="shared" si="13"/>
        <v>0</v>
      </c>
      <c r="H1077">
        <f t="shared" si="13"/>
        <v>0</v>
      </c>
      <c r="I1077">
        <f t="shared" si="13"/>
        <v>0</v>
      </c>
      <c r="J1077">
        <f t="shared" si="13"/>
        <v>0</v>
      </c>
      <c r="K1077">
        <f t="shared" si="13"/>
        <v>0</v>
      </c>
      <c r="L1077">
        <f t="shared" si="13"/>
        <v>0</v>
      </c>
      <c r="M1077">
        <f t="shared" si="13"/>
        <v>0</v>
      </c>
      <c r="N1077">
        <f t="shared" si="13"/>
        <v>0</v>
      </c>
      <c r="O1077">
        <f t="shared" si="13"/>
        <v>0</v>
      </c>
      <c r="P1077">
        <f t="shared" si="13"/>
        <v>0</v>
      </c>
      <c r="Q1077">
        <f t="shared" si="13"/>
        <v>0</v>
      </c>
      <c r="R1077">
        <f t="shared" si="13"/>
        <v>0</v>
      </c>
      <c r="S1077">
        <f t="shared" si="13"/>
        <v>0</v>
      </c>
      <c r="T1077">
        <f t="shared" si="13"/>
        <v>0</v>
      </c>
      <c r="U1077">
        <f t="shared" si="13"/>
        <v>0</v>
      </c>
      <c r="V1077">
        <f t="shared" si="13"/>
        <v>0</v>
      </c>
    </row>
    <row r="1078" spans="1:22" x14ac:dyDescent="0.25">
      <c r="A1078" t="s">
        <v>38</v>
      </c>
      <c r="B1078" t="e">
        <f>SUM(B1034,B1048)/B1075</f>
        <v>#DIV/0!</v>
      </c>
      <c r="C1078" t="e">
        <f t="shared" ref="C1078:V1078" si="14">SUM(C1034,C1048)/C1075</f>
        <v>#DIV/0!</v>
      </c>
      <c r="D1078" t="e">
        <f t="shared" si="14"/>
        <v>#DIV/0!</v>
      </c>
      <c r="E1078" t="e">
        <f t="shared" si="14"/>
        <v>#DIV/0!</v>
      </c>
      <c r="F1078" t="e">
        <f t="shared" si="14"/>
        <v>#DIV/0!</v>
      </c>
      <c r="G1078" t="e">
        <f t="shared" si="14"/>
        <v>#DIV/0!</v>
      </c>
      <c r="H1078" t="e">
        <f t="shared" si="14"/>
        <v>#DIV/0!</v>
      </c>
      <c r="I1078" t="e">
        <f t="shared" si="14"/>
        <v>#DIV/0!</v>
      </c>
      <c r="J1078" t="e">
        <f t="shared" si="14"/>
        <v>#DIV/0!</v>
      </c>
      <c r="K1078" t="e">
        <f t="shared" si="14"/>
        <v>#DIV/0!</v>
      </c>
      <c r="L1078" t="e">
        <f t="shared" si="14"/>
        <v>#DIV/0!</v>
      </c>
      <c r="M1078" t="e">
        <f t="shared" si="14"/>
        <v>#DIV/0!</v>
      </c>
      <c r="N1078" t="e">
        <f t="shared" si="14"/>
        <v>#DIV/0!</v>
      </c>
      <c r="O1078" t="e">
        <f t="shared" si="14"/>
        <v>#DIV/0!</v>
      </c>
      <c r="P1078" t="e">
        <f t="shared" si="14"/>
        <v>#DIV/0!</v>
      </c>
      <c r="Q1078" t="e">
        <f t="shared" si="14"/>
        <v>#DIV/0!</v>
      </c>
      <c r="R1078" t="e">
        <f t="shared" si="14"/>
        <v>#DIV/0!</v>
      </c>
      <c r="S1078" t="e">
        <f t="shared" si="14"/>
        <v>#DIV/0!</v>
      </c>
      <c r="T1078" t="e">
        <f t="shared" si="14"/>
        <v>#DIV/0!</v>
      </c>
      <c r="U1078" t="e">
        <f t="shared" si="14"/>
        <v>#DIV/0!</v>
      </c>
      <c r="V1078" t="e">
        <f t="shared" si="14"/>
        <v>#DIV/0!</v>
      </c>
    </row>
    <row r="1079" spans="1:22" x14ac:dyDescent="0.25">
      <c r="A1079" t="s">
        <v>41</v>
      </c>
      <c r="B1079" t="e">
        <f>SUM(B1034:B1035,B1048:B1049)/B1075</f>
        <v>#DIV/0!</v>
      </c>
      <c r="C1079" t="e">
        <f t="shared" ref="C1079:V1079" si="15">SUM(C1034:C1035,C1048:C1049)/C1075</f>
        <v>#DIV/0!</v>
      </c>
      <c r="D1079" t="e">
        <f t="shared" si="15"/>
        <v>#DIV/0!</v>
      </c>
      <c r="E1079" t="e">
        <f t="shared" si="15"/>
        <v>#DIV/0!</v>
      </c>
      <c r="F1079" t="e">
        <f t="shared" si="15"/>
        <v>#DIV/0!</v>
      </c>
      <c r="G1079" t="e">
        <f t="shared" si="15"/>
        <v>#DIV/0!</v>
      </c>
      <c r="H1079" t="e">
        <f t="shared" si="15"/>
        <v>#DIV/0!</v>
      </c>
      <c r="I1079" t="e">
        <f t="shared" si="15"/>
        <v>#DIV/0!</v>
      </c>
      <c r="J1079" t="e">
        <f t="shared" si="15"/>
        <v>#DIV/0!</v>
      </c>
      <c r="K1079" t="e">
        <f t="shared" si="15"/>
        <v>#DIV/0!</v>
      </c>
      <c r="L1079" t="e">
        <f t="shared" si="15"/>
        <v>#DIV/0!</v>
      </c>
      <c r="M1079" t="e">
        <f t="shared" si="15"/>
        <v>#DIV/0!</v>
      </c>
      <c r="N1079" t="e">
        <f t="shared" si="15"/>
        <v>#DIV/0!</v>
      </c>
      <c r="O1079" t="e">
        <f t="shared" si="15"/>
        <v>#DIV/0!</v>
      </c>
      <c r="P1079" t="e">
        <f t="shared" si="15"/>
        <v>#DIV/0!</v>
      </c>
      <c r="Q1079" t="e">
        <f t="shared" si="15"/>
        <v>#DIV/0!</v>
      </c>
      <c r="R1079" t="e">
        <f t="shared" si="15"/>
        <v>#DIV/0!</v>
      </c>
      <c r="S1079" t="e">
        <f t="shared" si="15"/>
        <v>#DIV/0!</v>
      </c>
      <c r="T1079" t="e">
        <f t="shared" si="15"/>
        <v>#DIV/0!</v>
      </c>
      <c r="U1079" t="e">
        <f t="shared" si="15"/>
        <v>#DIV/0!</v>
      </c>
      <c r="V1079" t="e">
        <f t="shared" si="15"/>
        <v>#DIV/0!</v>
      </c>
    </row>
    <row r="1080" spans="1:22" x14ac:dyDescent="0.25">
      <c r="A1080" t="s">
        <v>39</v>
      </c>
      <c r="B1080" t="e">
        <f>SUM(B1035,B1049)/B1075</f>
        <v>#DIV/0!</v>
      </c>
      <c r="C1080" t="e">
        <f t="shared" ref="C1080:V1080" si="16">SUM(C1035,C1049)/C1075</f>
        <v>#DIV/0!</v>
      </c>
      <c r="D1080" t="e">
        <f t="shared" si="16"/>
        <v>#DIV/0!</v>
      </c>
      <c r="E1080" t="e">
        <f t="shared" si="16"/>
        <v>#DIV/0!</v>
      </c>
      <c r="F1080" t="e">
        <f t="shared" si="16"/>
        <v>#DIV/0!</v>
      </c>
      <c r="G1080" t="e">
        <f t="shared" si="16"/>
        <v>#DIV/0!</v>
      </c>
      <c r="H1080" t="e">
        <f t="shared" si="16"/>
        <v>#DIV/0!</v>
      </c>
      <c r="I1080" t="e">
        <f t="shared" si="16"/>
        <v>#DIV/0!</v>
      </c>
      <c r="J1080" t="e">
        <f t="shared" si="16"/>
        <v>#DIV/0!</v>
      </c>
      <c r="K1080" t="e">
        <f t="shared" si="16"/>
        <v>#DIV/0!</v>
      </c>
      <c r="L1080" t="e">
        <f t="shared" si="16"/>
        <v>#DIV/0!</v>
      </c>
      <c r="M1080" t="e">
        <f t="shared" si="16"/>
        <v>#DIV/0!</v>
      </c>
      <c r="N1080" t="e">
        <f t="shared" si="16"/>
        <v>#DIV/0!</v>
      </c>
      <c r="O1080" t="e">
        <f t="shared" si="16"/>
        <v>#DIV/0!</v>
      </c>
      <c r="P1080" t="e">
        <f t="shared" si="16"/>
        <v>#DIV/0!</v>
      </c>
      <c r="Q1080" t="e">
        <f t="shared" si="16"/>
        <v>#DIV/0!</v>
      </c>
      <c r="R1080" t="e">
        <f t="shared" si="16"/>
        <v>#DIV/0!</v>
      </c>
      <c r="S1080" t="e">
        <f t="shared" si="16"/>
        <v>#DIV/0!</v>
      </c>
      <c r="T1080" t="e">
        <f t="shared" si="16"/>
        <v>#DIV/0!</v>
      </c>
      <c r="U1080" t="e">
        <f t="shared" si="16"/>
        <v>#DIV/0!</v>
      </c>
      <c r="V1080" t="e">
        <f t="shared" si="16"/>
        <v>#DIV/0!</v>
      </c>
    </row>
    <row r="1081" spans="1:22" x14ac:dyDescent="0.25">
      <c r="A1081" t="s">
        <v>40</v>
      </c>
      <c r="B1081" t="e">
        <f>SUM(B1036,B1050)/B1075</f>
        <v>#DIV/0!</v>
      </c>
      <c r="C1081" t="e">
        <f t="shared" ref="C1081:V1081" si="17">SUM(C1036,C1050)/C1075</f>
        <v>#DIV/0!</v>
      </c>
      <c r="D1081" t="e">
        <f t="shared" si="17"/>
        <v>#DIV/0!</v>
      </c>
      <c r="E1081" t="e">
        <f t="shared" si="17"/>
        <v>#DIV/0!</v>
      </c>
      <c r="F1081" t="e">
        <f t="shared" si="17"/>
        <v>#DIV/0!</v>
      </c>
      <c r="G1081" t="e">
        <f t="shared" si="17"/>
        <v>#DIV/0!</v>
      </c>
      <c r="H1081" t="e">
        <f t="shared" si="17"/>
        <v>#DIV/0!</v>
      </c>
      <c r="I1081" t="e">
        <f t="shared" si="17"/>
        <v>#DIV/0!</v>
      </c>
      <c r="J1081" t="e">
        <f t="shared" si="17"/>
        <v>#DIV/0!</v>
      </c>
      <c r="K1081" t="e">
        <f t="shared" si="17"/>
        <v>#DIV/0!</v>
      </c>
      <c r="L1081" t="e">
        <f t="shared" si="17"/>
        <v>#DIV/0!</v>
      </c>
      <c r="M1081" t="e">
        <f t="shared" si="17"/>
        <v>#DIV/0!</v>
      </c>
      <c r="N1081" t="e">
        <f t="shared" si="17"/>
        <v>#DIV/0!</v>
      </c>
      <c r="O1081" t="e">
        <f t="shared" si="17"/>
        <v>#DIV/0!</v>
      </c>
      <c r="P1081" t="e">
        <f t="shared" si="17"/>
        <v>#DIV/0!</v>
      </c>
      <c r="Q1081" t="e">
        <f t="shared" si="17"/>
        <v>#DIV/0!</v>
      </c>
      <c r="R1081" t="e">
        <f t="shared" si="17"/>
        <v>#DIV/0!</v>
      </c>
      <c r="S1081" t="e">
        <f t="shared" si="17"/>
        <v>#DIV/0!</v>
      </c>
      <c r="T1081" t="e">
        <f t="shared" si="17"/>
        <v>#DIV/0!</v>
      </c>
      <c r="U1081" t="e">
        <f t="shared" si="17"/>
        <v>#DIV/0!</v>
      </c>
      <c r="V1081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9083"/>
  <sheetViews>
    <sheetView tabSelected="1" zoomScaleNormal="100" workbookViewId="0">
      <selection activeCell="A2" sqref="A2"/>
    </sheetView>
  </sheetViews>
  <sheetFormatPr defaultRowHeight="15" x14ac:dyDescent="0.25"/>
  <sheetData>
    <row r="1" spans="1:52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36</v>
      </c>
      <c r="AB1" t="s">
        <v>32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O1" t="s">
        <v>33</v>
      </c>
      <c r="AP1" t="s">
        <v>17</v>
      </c>
      <c r="AQ1" t="s">
        <v>29</v>
      </c>
      <c r="AR1" t="s">
        <v>16</v>
      </c>
      <c r="AS1" t="s">
        <v>15</v>
      </c>
      <c r="AT1" t="s">
        <v>14</v>
      </c>
      <c r="AU1" t="s">
        <v>13</v>
      </c>
      <c r="AV1" t="s">
        <v>24</v>
      </c>
      <c r="AX1" t="s">
        <v>25</v>
      </c>
      <c r="AY1" t="s">
        <v>26</v>
      </c>
      <c r="AZ1" t="s">
        <v>42</v>
      </c>
    </row>
    <row r="2" spans="1:52" x14ac:dyDescent="0.25">
      <c r="Z2" s="2" t="s">
        <v>18</v>
      </c>
      <c r="AA2" s="2">
        <v>0</v>
      </c>
    </row>
    <row r="3" spans="1:52" x14ac:dyDescent="0.25">
      <c r="Z3" s="2" t="s">
        <v>19</v>
      </c>
      <c r="AA3" s="2">
        <v>60</v>
      </c>
    </row>
    <row r="4" spans="1:52" x14ac:dyDescent="0.25">
      <c r="Z4" s="2" t="s">
        <v>20</v>
      </c>
      <c r="AA4" s="2">
        <v>0</v>
      </c>
    </row>
    <row r="5" spans="1:52" x14ac:dyDescent="0.25">
      <c r="Z5" s="2" t="s">
        <v>21</v>
      </c>
      <c r="AA5" s="2">
        <v>60</v>
      </c>
    </row>
    <row r="9" spans="1:52" x14ac:dyDescent="0.25">
      <c r="Z9" t="s">
        <v>35</v>
      </c>
      <c r="AA9">
        <f>COUNTIF(A:A,"Start Points")</f>
        <v>0</v>
      </c>
    </row>
    <row r="11" spans="1:52" x14ac:dyDescent="0.25">
      <c r="Z11" t="s">
        <v>37</v>
      </c>
    </row>
    <row r="12" spans="1:52" x14ac:dyDescent="0.25">
      <c r="Z12" s="2" t="s">
        <v>18</v>
      </c>
      <c r="AA12" s="2">
        <v>22</v>
      </c>
    </row>
    <row r="13" spans="1:52" x14ac:dyDescent="0.25">
      <c r="Z13" s="2" t="s">
        <v>19</v>
      </c>
      <c r="AA13" s="2">
        <v>38</v>
      </c>
    </row>
    <row r="14" spans="1:52" x14ac:dyDescent="0.25">
      <c r="Z14" s="2" t="s">
        <v>20</v>
      </c>
      <c r="AA14" s="2">
        <v>22</v>
      </c>
    </row>
    <row r="15" spans="1:52" x14ac:dyDescent="0.25">
      <c r="Z15" s="2" t="s">
        <v>21</v>
      </c>
      <c r="AA15" s="2">
        <v>38</v>
      </c>
    </row>
    <row r="16" spans="1:52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256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2022-06-30T13:59:04Z</dcterms:modified>
</cp:coreProperties>
</file>