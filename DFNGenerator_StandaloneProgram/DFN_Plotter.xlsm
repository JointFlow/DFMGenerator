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Dropbox\DFN\DFN_Git\DFNGenerator_Code\DFNGenerator_StandaloneProgram\"/>
    </mc:Choice>
  </mc:AlternateContent>
  <xr:revisionPtr revIDLastSave="0" documentId="13_ncr:1_{E8B4BF6A-EEA1-4B95-8EAA-250887F4272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73" i="90" l="1"/>
  <c r="A1062" i="90"/>
  <c r="C1062" i="90" l="1"/>
  <c r="D1062" i="90"/>
  <c r="E1062" i="90"/>
  <c r="F1062" i="90"/>
  <c r="G1062" i="90"/>
  <c r="H1062" i="90"/>
  <c r="I1062" i="90"/>
  <c r="J1062" i="90"/>
  <c r="K1062" i="90"/>
  <c r="L1062" i="90"/>
  <c r="M1062" i="90"/>
  <c r="N1062" i="90"/>
  <c r="O1062" i="90"/>
  <c r="P1062" i="90"/>
  <c r="Q1062" i="90"/>
  <c r="R1062" i="90"/>
  <c r="S1062" i="90"/>
  <c r="T1062" i="90"/>
  <c r="U1062" i="90"/>
  <c r="V1062" i="90"/>
  <c r="C1073" i="90"/>
  <c r="D1073" i="90"/>
  <c r="E1073" i="90"/>
  <c r="F1073" i="90"/>
  <c r="G1073" i="90"/>
  <c r="H1073" i="90"/>
  <c r="I1073" i="90"/>
  <c r="J1073" i="90"/>
  <c r="K1073" i="90"/>
  <c r="L1073" i="90"/>
  <c r="M1073" i="90"/>
  <c r="N1073" i="90"/>
  <c r="O1073" i="90"/>
  <c r="P1073" i="90"/>
  <c r="Q1073" i="90"/>
  <c r="R1073" i="90"/>
  <c r="S1073" i="90"/>
  <c r="T1073" i="90"/>
  <c r="U1073" i="90"/>
  <c r="V1073" i="90"/>
  <c r="B1073" i="90"/>
  <c r="B1062" i="90"/>
  <c r="AA17" i="91" l="1"/>
  <c r="AA9" i="91"/>
  <c r="V1077" i="90"/>
  <c r="U1077" i="90"/>
  <c r="T1077" i="90"/>
  <c r="S1077" i="90"/>
  <c r="R1077" i="90"/>
  <c r="Q1077" i="90"/>
  <c r="P1077" i="90"/>
  <c r="O1077" i="90"/>
  <c r="N1077" i="90"/>
  <c r="M1077" i="90"/>
  <c r="L1077" i="90"/>
  <c r="K1077" i="90"/>
  <c r="J1077" i="90"/>
  <c r="I1077" i="90"/>
  <c r="H1077" i="90"/>
  <c r="G1077" i="90"/>
  <c r="F1077" i="90"/>
  <c r="E1077" i="90"/>
  <c r="D1077" i="90"/>
  <c r="C1077" i="90"/>
  <c r="B1077" i="90"/>
  <c r="V1076" i="90"/>
  <c r="U1076" i="90"/>
  <c r="T1076" i="90"/>
  <c r="S1076" i="90"/>
  <c r="R1076" i="90"/>
  <c r="Q1076" i="90"/>
  <c r="P1076" i="90"/>
  <c r="O1076" i="90"/>
  <c r="N1076" i="90"/>
  <c r="M1076" i="90"/>
  <c r="L1076" i="90"/>
  <c r="K1076" i="90"/>
  <c r="J1076" i="90"/>
  <c r="I1076" i="90"/>
  <c r="H1076" i="90"/>
  <c r="G1076" i="90"/>
  <c r="F1076" i="90"/>
  <c r="E1076" i="90"/>
  <c r="D1076" i="90"/>
  <c r="C1076" i="90"/>
  <c r="B1076" i="90"/>
  <c r="V1075" i="90"/>
  <c r="U1075" i="90"/>
  <c r="T1075" i="90"/>
  <c r="S1075" i="90"/>
  <c r="R1075" i="90"/>
  <c r="Q1075" i="90"/>
  <c r="P1075" i="90"/>
  <c r="O1075" i="90"/>
  <c r="N1075" i="90"/>
  <c r="M1075" i="90"/>
  <c r="L1075" i="90"/>
  <c r="K1075" i="90"/>
  <c r="J1075" i="90"/>
  <c r="I1075" i="90"/>
  <c r="H1075" i="90"/>
  <c r="G1075" i="90"/>
  <c r="F1075" i="90"/>
  <c r="E1075" i="90"/>
  <c r="D1075" i="90"/>
  <c r="C1075" i="90"/>
  <c r="B1075" i="90"/>
  <c r="V1074" i="90"/>
  <c r="U1074" i="90"/>
  <c r="T1074" i="90"/>
  <c r="S1074" i="90"/>
  <c r="R1074" i="90"/>
  <c r="Q1074" i="90"/>
  <c r="P1074" i="90"/>
  <c r="O1074" i="90"/>
  <c r="N1074" i="90"/>
  <c r="M1074" i="90"/>
  <c r="L1074" i="90"/>
  <c r="K1074" i="90"/>
  <c r="J1074" i="90"/>
  <c r="I1074" i="90"/>
  <c r="H1074" i="90"/>
  <c r="G1074" i="90"/>
  <c r="F1074" i="90"/>
  <c r="E1074" i="90"/>
  <c r="D1074" i="90"/>
  <c r="C1074" i="90"/>
  <c r="B1074" i="90"/>
  <c r="V1066" i="90"/>
  <c r="U1066" i="90"/>
  <c r="T1066" i="90"/>
  <c r="S1066" i="90"/>
  <c r="R1066" i="90"/>
  <c r="Q1066" i="90"/>
  <c r="P1066" i="90"/>
  <c r="O1066" i="90"/>
  <c r="N1066" i="90"/>
  <c r="M1066" i="90"/>
  <c r="L1066" i="90"/>
  <c r="K1066" i="90"/>
  <c r="J1066" i="90"/>
  <c r="I1066" i="90"/>
  <c r="H1066" i="90"/>
  <c r="G1066" i="90"/>
  <c r="F1066" i="90"/>
  <c r="E1066" i="90"/>
  <c r="D1066" i="90"/>
  <c r="C1066" i="90"/>
  <c r="B1066" i="90"/>
  <c r="V1065" i="90"/>
  <c r="U1065" i="90"/>
  <c r="T1065" i="90"/>
  <c r="S1065" i="90"/>
  <c r="R1065" i="90"/>
  <c r="Q1065" i="90"/>
  <c r="P1065" i="90"/>
  <c r="O1065" i="90"/>
  <c r="N1065" i="90"/>
  <c r="M1065" i="90"/>
  <c r="L1065" i="90"/>
  <c r="K1065" i="90"/>
  <c r="J1065" i="90"/>
  <c r="I1065" i="90"/>
  <c r="H1065" i="90"/>
  <c r="G1065" i="90"/>
  <c r="F1065" i="90"/>
  <c r="E1065" i="90"/>
  <c r="D1065" i="90"/>
  <c r="C1065" i="90"/>
  <c r="B1065" i="90"/>
  <c r="V1064" i="90"/>
  <c r="U1064" i="90"/>
  <c r="T1064" i="90"/>
  <c r="S1064" i="90"/>
  <c r="R1064" i="90"/>
  <c r="Q1064" i="90"/>
  <c r="P1064" i="90"/>
  <c r="O1064" i="90"/>
  <c r="N1064" i="90"/>
  <c r="M1064" i="90"/>
  <c r="L1064" i="90"/>
  <c r="K1064" i="90"/>
  <c r="J1064" i="90"/>
  <c r="I1064" i="90"/>
  <c r="H1064" i="90"/>
  <c r="G1064" i="90"/>
  <c r="F1064" i="90"/>
  <c r="E1064" i="90"/>
  <c r="D1064" i="90"/>
  <c r="C1064" i="90"/>
  <c r="B1064" i="90"/>
  <c r="V1063" i="90"/>
  <c r="U1063" i="90"/>
  <c r="T1063" i="90"/>
  <c r="S1063" i="90"/>
  <c r="R1063" i="90"/>
  <c r="Q1063" i="90"/>
  <c r="P1063" i="90"/>
  <c r="O1063" i="90"/>
  <c r="N1063" i="90"/>
  <c r="M1063" i="90"/>
  <c r="L1063" i="90"/>
  <c r="K1063" i="90"/>
  <c r="J1063" i="90"/>
  <c r="I1063" i="90"/>
  <c r="H1063" i="90"/>
  <c r="G1063" i="90"/>
  <c r="F1063" i="90"/>
  <c r="E1063" i="90"/>
  <c r="D1063" i="90"/>
  <c r="C1063" i="90"/>
  <c r="B1063" i="90"/>
  <c r="A1046" i="90"/>
  <c r="A1032" i="90"/>
  <c r="A1018" i="90"/>
  <c r="A1004" i="90"/>
  <c r="E1067" i="90" l="1"/>
  <c r="E1068" i="90"/>
  <c r="E1069" i="90"/>
  <c r="E1070" i="90"/>
  <c r="I1067" i="90"/>
  <c r="I1069" i="90"/>
  <c r="I1070" i="90"/>
  <c r="I1068" i="90"/>
  <c r="M1068" i="90"/>
  <c r="M1069" i="90"/>
  <c r="M1070" i="90"/>
  <c r="M1067" i="90"/>
  <c r="Q1067" i="90"/>
  <c r="Q1068" i="90"/>
  <c r="Q1070" i="90"/>
  <c r="Q1069" i="90"/>
  <c r="U1067" i="90"/>
  <c r="U1068" i="90"/>
  <c r="U1069" i="90"/>
  <c r="U1070" i="90"/>
  <c r="C1078" i="90"/>
  <c r="C1079" i="90"/>
  <c r="C1080" i="90"/>
  <c r="C1081" i="90"/>
  <c r="G1078" i="90"/>
  <c r="G1079" i="90"/>
  <c r="G1080" i="90"/>
  <c r="G1081" i="90"/>
  <c r="K1078" i="90"/>
  <c r="K1079" i="90"/>
  <c r="K1080" i="90"/>
  <c r="K1081" i="90"/>
  <c r="O1078" i="90"/>
  <c r="O1079" i="90"/>
  <c r="O1080" i="90"/>
  <c r="O1081" i="90"/>
  <c r="S1078" i="90"/>
  <c r="S1079" i="90"/>
  <c r="S1080" i="90"/>
  <c r="S1081" i="90"/>
  <c r="B1070" i="90"/>
  <c r="B1068" i="90"/>
  <c r="B1069" i="90"/>
  <c r="B1067" i="90"/>
  <c r="F1067" i="90"/>
  <c r="F1068" i="90"/>
  <c r="F1069" i="90"/>
  <c r="F1070" i="90"/>
  <c r="J1067" i="90"/>
  <c r="J1068" i="90"/>
  <c r="J1069" i="90"/>
  <c r="J1070" i="90"/>
  <c r="N1070" i="90"/>
  <c r="N1068" i="90"/>
  <c r="N1069" i="90"/>
  <c r="N1067" i="90"/>
  <c r="R1069" i="90"/>
  <c r="R1070" i="90"/>
  <c r="R1067" i="90"/>
  <c r="R1068" i="90"/>
  <c r="V1068" i="90"/>
  <c r="V1069" i="90"/>
  <c r="V1067" i="90"/>
  <c r="V1070" i="90"/>
  <c r="D1078" i="90"/>
  <c r="D1079" i="90"/>
  <c r="D1080" i="90"/>
  <c r="D1081" i="90"/>
  <c r="H1078" i="90"/>
  <c r="H1079" i="90"/>
  <c r="H1080" i="90"/>
  <c r="H1081" i="90"/>
  <c r="L1078" i="90"/>
  <c r="L1079" i="90"/>
  <c r="L1080" i="90"/>
  <c r="L1081" i="90"/>
  <c r="P1078" i="90"/>
  <c r="P1079" i="90"/>
  <c r="P1080" i="90"/>
  <c r="P1081" i="90"/>
  <c r="T1078" i="90"/>
  <c r="T1079" i="90"/>
  <c r="T1080" i="90"/>
  <c r="T1081" i="90"/>
  <c r="C1067" i="90"/>
  <c r="C1068" i="90"/>
  <c r="C1069" i="90"/>
  <c r="C1070" i="90"/>
  <c r="G1067" i="90"/>
  <c r="G1068" i="90"/>
  <c r="G1069" i="90"/>
  <c r="G1070" i="90"/>
  <c r="K1067" i="90"/>
  <c r="K1068" i="90"/>
  <c r="K1069" i="90"/>
  <c r="K1070" i="90"/>
  <c r="O1067" i="90"/>
  <c r="O1068" i="90"/>
  <c r="O1069" i="90"/>
  <c r="O1070" i="90"/>
  <c r="S1067" i="90"/>
  <c r="S1068" i="90"/>
  <c r="S1069" i="90"/>
  <c r="S1070" i="90"/>
  <c r="E1078" i="90"/>
  <c r="E1079" i="90"/>
  <c r="E1080" i="90"/>
  <c r="E1081" i="90"/>
  <c r="I1079" i="90"/>
  <c r="I1080" i="90"/>
  <c r="I1081" i="90"/>
  <c r="I1078" i="90"/>
  <c r="M1078" i="90"/>
  <c r="M1079" i="90"/>
  <c r="M1080" i="90"/>
  <c r="M1081" i="90"/>
  <c r="Q1079" i="90"/>
  <c r="Q1080" i="90"/>
  <c r="Q1081" i="90"/>
  <c r="Q1078" i="90"/>
  <c r="U1079" i="90"/>
  <c r="U1080" i="90"/>
  <c r="U1081" i="90"/>
  <c r="U1078" i="90"/>
  <c r="D1070" i="90"/>
  <c r="D1067" i="90"/>
  <c r="D1068" i="90"/>
  <c r="D1069" i="90"/>
  <c r="H1069" i="90"/>
  <c r="H1070" i="90"/>
  <c r="H1067" i="90"/>
  <c r="H1068" i="90"/>
  <c r="L1067" i="90"/>
  <c r="L1068" i="90"/>
  <c r="L1069" i="90"/>
  <c r="L1070" i="90"/>
  <c r="P1069" i="90"/>
  <c r="P1070" i="90"/>
  <c r="P1067" i="90"/>
  <c r="P1068" i="90"/>
  <c r="T1070" i="90"/>
  <c r="T1067" i="90"/>
  <c r="T1068" i="90"/>
  <c r="T1069" i="90"/>
  <c r="B1081" i="90"/>
  <c r="B1080" i="90"/>
  <c r="B1079" i="90"/>
  <c r="B1078" i="90"/>
  <c r="F1078" i="90"/>
  <c r="F1079" i="90"/>
  <c r="F1080" i="90"/>
  <c r="F1081" i="90"/>
  <c r="J1080" i="90"/>
  <c r="J1081" i="90"/>
  <c r="J1078" i="90"/>
  <c r="J1079" i="90"/>
  <c r="N1079" i="90"/>
  <c r="N1078" i="90"/>
  <c r="N1080" i="90"/>
  <c r="N1081" i="90"/>
  <c r="R1079" i="90"/>
  <c r="R1080" i="90"/>
  <c r="R1081" i="90"/>
  <c r="R1078" i="90"/>
  <c r="V1081" i="90"/>
  <c r="V1078" i="90"/>
  <c r="V1079" i="90"/>
  <c r="V1080" i="90"/>
</calcChain>
</file>

<file path=xl/sharedStrings.xml><?xml version="1.0" encoding="utf-8"?>
<sst xmlns="http://schemas.openxmlformats.org/spreadsheetml/2006/main" count="191" uniqueCount="76">
  <si>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</si>
  <si>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</si>
  <si>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</si>
  <si>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</si>
  <si>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</si>
  <si>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</si>
  <si>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</si>
  <si>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</si>
  <si>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</si>
  <si>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</si>
  <si>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</si>
  <si>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</si>
  <si>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</si>
  <si>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IMinusActive</t>
  </si>
  <si>
    <t>IPlusActive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</si>
  <si>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</si>
  <si>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</si>
  <si>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</si>
  <si>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</si>
  <si>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</si>
  <si>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</si>
  <si>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</si>
  <si>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</si>
  <si>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</si>
  <si>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</si>
  <si>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</si>
  <si>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</si>
  <si>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</si>
  <si>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</si>
  <si>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</si>
  <si>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</si>
  <si>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</si>
  <si>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</si>
  <si>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</si>
  <si>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</si>
  <si>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</si>
  <si>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</si>
  <si>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</si>
  <si>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</si>
  <si>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</si>
  <si>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</si>
  <si>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</si>
  <si>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</si>
  <si>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</si>
  <si>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</si>
  <si>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</si>
  <si>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</si>
  <si>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</si>
  <si>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</si>
  <si>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</si>
  <si>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</si>
  <si>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</si>
  <si>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</si>
  <si>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</si>
  <si>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</si>
  <si>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</si>
  <si>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</si>
  <si>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</si>
  <si>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</si>
  <si>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</si>
  <si>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</si>
  <si>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</si>
  <si>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FS HMin Mode1</t>
  </si>
  <si>
    <t>FS HMin Mode2</t>
  </si>
  <si>
    <t>FS HMax Mode1</t>
  </si>
  <si>
    <t>FS HMax Mode2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</si>
  <si>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</si>
  <si>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</si>
  <si>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</si>
  <si>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</si>
  <si>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</si>
  <si>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</si>
  <si>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</si>
  <si>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Mode</t>
  </si>
  <si>
    <t>Slip pitch</t>
  </si>
  <si>
    <t>Theta_dashed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</si>
</sst>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Implicit_Fracs!$AG$4:$AG$1003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Implicit_Fracs!$AH$4:$AH$1003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1840"/>
        <c:axId val="4125722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Implicit_Fracs!$AD$4:$AD$1003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Implicit_Fracs!$AE$4:$AE$1003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Implicit_Fracs!$AF$4:$AF$1003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192"/>
        <c:axId val="412570664"/>
      </c:scatterChart>
      <c:valAx>
        <c:axId val="41257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2232"/>
        <c:crosses val="autoZero"/>
        <c:crossBetween val="midCat"/>
      </c:valAx>
      <c:valAx>
        <c:axId val="41257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840"/>
        <c:crosses val="autoZero"/>
        <c:crossBetween val="midCat"/>
      </c:valAx>
      <c:valAx>
        <c:axId val="41257066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4192"/>
        <c:crosses val="max"/>
        <c:crossBetween val="midCat"/>
      </c:valAx>
      <c:valAx>
        <c:axId val="41257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0272"/>
        <c:axId val="412571056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2432"/>
        <c:axId val="412564392"/>
      </c:scatterChart>
      <c:valAx>
        <c:axId val="41257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056"/>
        <c:crosses val="autoZero"/>
        <c:crossBetween val="midCat"/>
      </c:valAx>
      <c:valAx>
        <c:axId val="41257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0272"/>
        <c:crosses val="autoZero"/>
        <c:crossBetween val="midCat"/>
      </c:valAx>
      <c:valAx>
        <c:axId val="4125643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2432"/>
        <c:crosses val="max"/>
        <c:crossBetween val="midCat"/>
      </c:valAx>
      <c:valAx>
        <c:axId val="41256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Implicit_Fracs!$AU$4:$AU$1003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Implicit_Fracs!$AV$4:$AV$1003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6352"/>
        <c:axId val="41256674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Implicit_Fracs!$AR$4:$AR$1003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Implicit_Fracs!$AT$4:$AT$1003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136"/>
        <c:axId val="412562824"/>
      </c:scatterChart>
      <c:valAx>
        <c:axId val="4125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744"/>
        <c:crosses val="autoZero"/>
        <c:crossBetween val="midCat"/>
      </c:valAx>
      <c:valAx>
        <c:axId val="41256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352"/>
        <c:crosses val="autoZero"/>
        <c:crossBetween val="midCat"/>
      </c:valAx>
      <c:valAx>
        <c:axId val="412562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136"/>
        <c:crosses val="max"/>
        <c:crossBetween val="midCat"/>
      </c:valAx>
      <c:valAx>
        <c:axId val="41256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Implicit_Fracs!$BI$4:$BI$1003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Implicit_Fracs!$BJ$4:$BJ$1003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920"/>
        <c:axId val="412568312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Implicit_Fracs!$BG$4:$BG$1003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Implicit_Fracs!$BH$4:$BH$1003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5368"/>
        <c:axId val="412569096"/>
      </c:scatterChart>
      <c:valAx>
        <c:axId val="4125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8312"/>
        <c:crosses val="autoZero"/>
        <c:crossBetween val="midCat"/>
      </c:valAx>
      <c:valAx>
        <c:axId val="412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920"/>
        <c:crosses val="autoZero"/>
        <c:crossBetween val="midCat"/>
      </c:valAx>
      <c:valAx>
        <c:axId val="41256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5368"/>
        <c:crosses val="max"/>
        <c:crossBetween val="midCat"/>
      </c:valAx>
      <c:valAx>
        <c:axId val="41257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Implicit_Fracs!$A$1066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Implicit_Fracs!$B$1066:$V$1066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080"/>
        <c:axId val="736554784"/>
      </c:scatterChart>
      <c:scatterChart>
        <c:scatterStyle val="lineMarker"/>
        <c:varyColors val="0"/>
        <c:ser>
          <c:idx val="0"/>
          <c:order val="0"/>
          <c:tx>
            <c:strRef>
              <c:f>Implicit_Fracs!$A$1064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Implicit_Fracs!$B$1064:$V$1064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608"/>
        <c:axId val="736551256"/>
      </c:scatterChart>
      <c:valAx>
        <c:axId val="73655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4784"/>
        <c:crosses val="autoZero"/>
        <c:crossBetween val="midCat"/>
      </c:valAx>
      <c:valAx>
        <c:axId val="7365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080"/>
        <c:crosses val="autoZero"/>
        <c:crossBetween val="midCat"/>
      </c:valAx>
      <c:valAx>
        <c:axId val="736551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608"/>
        <c:crosses val="max"/>
        <c:crossBetween val="midCat"/>
      </c:valAx>
      <c:valAx>
        <c:axId val="73655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Implicit_Fracs!$A$1077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Implicit_Fracs!$B$1077:$V$1077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5568"/>
        <c:axId val="736546552"/>
      </c:scatterChart>
      <c:scatterChart>
        <c:scatterStyle val="lineMarker"/>
        <c:varyColors val="0"/>
        <c:ser>
          <c:idx val="0"/>
          <c:order val="0"/>
          <c:tx>
            <c:strRef>
              <c:f>Implicit_Fracs!$A$1075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Implicit_Fracs!$B$1075:$V$1075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216"/>
        <c:axId val="736551648"/>
      </c:scatterChart>
      <c:valAx>
        <c:axId val="73655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552"/>
        <c:crosses val="autoZero"/>
        <c:crossBetween val="midCat"/>
      </c:valAx>
      <c:valAx>
        <c:axId val="7365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5568"/>
        <c:crosses val="autoZero"/>
        <c:crossBetween val="midCat"/>
      </c:valAx>
      <c:valAx>
        <c:axId val="7365516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216"/>
        <c:crosses val="max"/>
        <c:crossBetween val="midCat"/>
      </c:valAx>
      <c:valAx>
        <c:axId val="73655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Implicit_Fracs!$A$1067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Implicit_Fracs!$B$1067:$V$1067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Implicit_Fracs!$A$1068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Implicit_Fracs!$B$1068:$V$1068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160"/>
        <c:axId val="736557528"/>
      </c:scatterChart>
      <c:valAx>
        <c:axId val="7365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7528"/>
        <c:crosses val="autoZero"/>
        <c:crossBetween val="midCat"/>
      </c:valAx>
      <c:valAx>
        <c:axId val="7365575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Implicit_Fracs!$A$1078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Implicit_Fracs!$B$1078:$V$1078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Implicit_Fracs!$A$1079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Implicit_Fracs!$B$1079:$V$1079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944"/>
        <c:axId val="736547336"/>
      </c:scatterChart>
      <c:valAx>
        <c:axId val="7365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7336"/>
        <c:crosses val="autoZero"/>
        <c:crossBetween val="midCat"/>
      </c:valAx>
      <c:valAx>
        <c:axId val="736547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F17-4E86-8435-030297F544E3}"/>
            </c:ext>
          </c:extLst>
        </c:ser>
        <c:ser>
          <c:idx val="5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6"/>
          <c:order val="2"/>
          <c:tx>
            <c:strRef>
              <c:f>Implicit_Fracs!$H$1</c:f>
              <c:strCache>
                <c:ptCount val="1"/>
                <c:pt idx="0">
                  <c:v>FS HMin Mode1</c:v>
                </c:pt>
              </c:strCache>
            </c:strRef>
          </c:tx>
          <c:spPr>
            <a:ln>
              <a:solidFill>
                <a:schemeClr val="accent1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Implicit_Fracs!$I$3:$I$1003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F17-4E86-8435-030297F544E3}"/>
            </c:ext>
          </c:extLst>
        </c:ser>
        <c:ser>
          <c:idx val="7"/>
          <c:order val="3"/>
          <c:tx>
            <c:strRef>
              <c:f>Implicit_Fracs!$AJ$1</c:f>
              <c:strCache>
                <c:ptCount val="1"/>
                <c:pt idx="0">
                  <c:v>FS HMax Mode1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Implicit_Fracs!$AK$3:$AK$1003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F17-4E86-8435-030297F544E3}"/>
            </c:ext>
          </c:extLst>
        </c:ser>
        <c:ser>
          <c:idx val="2"/>
          <c:order val="4"/>
          <c:tx>
            <c:strRef>
              <c:f>Implicit_Fracs!$V$1</c:f>
              <c:strCache>
                <c:ptCount val="1"/>
                <c:pt idx="0">
                  <c:v>FS HMin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17-4E86-8435-030297F544E3}"/>
            </c:ext>
          </c:extLst>
        </c:ser>
        <c:ser>
          <c:idx val="3"/>
          <c:order val="5"/>
          <c:tx>
            <c:strRef>
              <c:f>Implicit_Fracs!$AX$1</c:f>
              <c:strCache>
                <c:ptCount val="1"/>
                <c:pt idx="0">
                  <c:v>FS HMax Mode2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Implicit_Fracs!$AY$3:$AY$1003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Implicit_Fracs!$BL$5:$BL$1003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Implicit_Fracs!$BM$5:$BM$1003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Implicit_Fracs!$BN$5:$BN$1003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Implicit_Fracs!$BO$5:$BO$1003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Implicit_Fracs!$BP$5:$BP$1003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Implicit_Fracs!$BQ$5:$BQ$1003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Implicit_Fracs!$BR$5:$BR$1003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Implicit_Fracs!$BS$5:$BS$1003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7720"/>
        <c:axId val="737792696"/>
      </c:scatterChart>
      <c:valAx>
        <c:axId val="4125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792696"/>
        <c:crosses val="autoZero"/>
        <c:crossBetween val="midCat"/>
      </c:valAx>
      <c:valAx>
        <c:axId val="737792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98576"/>
        <c:axId val="737793088"/>
      </c:scatterChart>
      <c:valAx>
        <c:axId val="737798576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3088"/>
        <c:crossesAt val="0"/>
        <c:crossBetween val="midCat"/>
      </c:valAx>
      <c:valAx>
        <c:axId val="737793088"/>
        <c:scaling>
          <c:orientation val="minMax"/>
          <c:max val="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85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297686-5CEC-4052-8F98-AF651A8F0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1081"/>
  <sheetViews>
    <sheetView workbookViewId="0">
      <pane xSplit="1" ySplit="2" topLeftCell="BD3" activePane="bottomRight" state="frozen"/>
      <selection pane="topRight" activeCell="B1" sqref="B1"/>
      <selection pane="bottomLeft" activeCell="A3" sqref="A3"/>
      <selection pane="bottomRight" activeCell="BS34" sqref="BS34"/>
    </sheetView>
  </sheetViews>
  <sheetFormatPr defaultRowHeight="15" x14ac:dyDescent="0.25"/>
  <sheetData>
    <row r="1" spans="1:149" x14ac:dyDescent="0.25">
      <c r="A1" t="s">
        <v>0</v>
      </c>
      <c r="B1" t="s">
        <v>71</v>
      </c>
      <c r="C1" t="s">
        <v>72</v>
      </c>
      <c r="D1" t="s">
        <v>46</v>
      </c>
      <c r="E1" t="s">
        <v>47</v>
      </c>
      <c r="F1" t="s">
        <v>48</v>
      </c>
      <c r="G1" t="s">
        <v>49</v>
      </c>
      <c r="H1" t="s">
        <v>62</v>
      </c>
      <c r="V1" t="s">
        <v>63</v>
      </c>
      <c r="AJ1" t="s">
        <v>64</v>
      </c>
      <c r="AX1" t="s">
        <v>65</v>
      </c>
      <c r="BL1" t="s">
        <v>50</v>
      </c>
      <c r="BM1" t="s">
        <v>51</v>
      </c>
      <c r="BN1" t="s">
        <v>52</v>
      </c>
      <c r="BO1" t="s">
        <v>53</v>
      </c>
      <c r="BP1" t="s">
        <v>54</v>
      </c>
      <c r="BQ1" t="s">
        <v>55</v>
      </c>
      <c r="BR1" t="s">
        <v>56</v>
      </c>
      <c r="BS1" t="s">
        <v>57</v>
      </c>
    </row>
    <row r="2" spans="1:149" x14ac:dyDescent="0.25">
      <c r="H2" t="s">
        <v>45</v>
      </c>
      <c r="I2" t="s">
        <v>1</v>
      </c>
      <c r="J2" t="s">
        <v>73</v>
      </c>
      <c r="K2" t="s">
        <v>74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43</v>
      </c>
      <c r="T2" t="s">
        <v>44</v>
      </c>
      <c r="U2" t="s">
        <v>75</v>
      </c>
      <c r="V2" t="s">
        <v>45</v>
      </c>
      <c r="W2" t="s">
        <v>1</v>
      </c>
      <c r="X2" t="s">
        <v>73</v>
      </c>
      <c r="Y2" t="s">
        <v>74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43</v>
      </c>
      <c r="AH2" t="s">
        <v>44</v>
      </c>
      <c r="AI2" t="s">
        <v>75</v>
      </c>
      <c r="AJ2" t="s">
        <v>45</v>
      </c>
      <c r="AK2" t="s">
        <v>1</v>
      </c>
      <c r="AL2" t="s">
        <v>73</v>
      </c>
      <c r="AM2" t="s">
        <v>74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43</v>
      </c>
      <c r="AV2" t="s">
        <v>44</v>
      </c>
      <c r="AW2" t="s">
        <v>75</v>
      </c>
      <c r="AX2" t="s">
        <v>45</v>
      </c>
      <c r="AY2" t="s">
        <v>1</v>
      </c>
      <c r="AZ2" t="s">
        <v>73</v>
      </c>
      <c r="BA2" t="s">
        <v>74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43</v>
      </c>
      <c r="BJ2" t="s">
        <v>44</v>
      </c>
      <c r="BK2" t="s">
        <v>75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</row>
    <row r="4" spans="1:149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1</v>
      </c>
      <c r="AK4">
        <v>0.5</v>
      </c>
      <c r="AY4">
        <v>0.5</v>
      </c>
    </row>
    <row r="5" spans="1:149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2</v>
      </c>
      <c r="AE5" s="1"/>
      <c r="AF5" s="1"/>
      <c r="AH5" s="1"/>
      <c r="AK5">
        <v>1</v>
      </c>
      <c r="AY5">
        <v>1</v>
      </c>
      <c r="BG5" s="1"/>
      <c r="BH5" s="1"/>
      <c r="BJ5" s="1"/>
    </row>
    <row r="6" spans="1:149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3</v>
      </c>
      <c r="AF6" s="1"/>
      <c r="AH6" s="1"/>
      <c r="AK6">
        <v>1.5</v>
      </c>
      <c r="AY6">
        <v>1.5</v>
      </c>
      <c r="BG6" s="1"/>
      <c r="BH6" s="1"/>
      <c r="BJ6" s="1"/>
    </row>
    <row r="7" spans="1:149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4</v>
      </c>
      <c r="AF7" s="1"/>
      <c r="AH7" s="1"/>
      <c r="AK7">
        <v>2</v>
      </c>
      <c r="AY7">
        <v>2</v>
      </c>
      <c r="BG7" s="1"/>
      <c r="BH7" s="1"/>
      <c r="BJ7" s="1"/>
    </row>
    <row r="8" spans="1:149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5</v>
      </c>
      <c r="AF8" s="1"/>
      <c r="AH8" s="1"/>
      <c r="AK8">
        <v>2.5</v>
      </c>
      <c r="AY8">
        <v>2.5</v>
      </c>
      <c r="BG8" s="1"/>
      <c r="BH8" s="1"/>
      <c r="BJ8" s="1"/>
    </row>
    <row r="9" spans="1:149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6</v>
      </c>
      <c r="AF9" s="1"/>
      <c r="AK9">
        <v>3</v>
      </c>
      <c r="AY9">
        <v>3</v>
      </c>
      <c r="BG9" s="1"/>
      <c r="BH9" s="1"/>
      <c r="BJ9" s="1"/>
    </row>
    <row r="10" spans="1:149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7</v>
      </c>
      <c r="AF10" s="1"/>
      <c r="AK10">
        <v>3.5</v>
      </c>
      <c r="AY10">
        <v>3.5</v>
      </c>
      <c r="BG10" s="1"/>
      <c r="BH10" s="1"/>
      <c r="BJ10" s="1"/>
      <c r="ES10" s="1"/>
    </row>
    <row r="11" spans="1:149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8</v>
      </c>
      <c r="AF11" s="1"/>
      <c r="AK11">
        <v>4</v>
      </c>
      <c r="AY11">
        <v>4</v>
      </c>
      <c r="BG11" s="1"/>
      <c r="BH11" s="1"/>
      <c r="BJ11" s="1"/>
    </row>
    <row r="12" spans="1:149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9</v>
      </c>
      <c r="AF12" s="1"/>
      <c r="AK12">
        <v>4.5</v>
      </c>
      <c r="AY12">
        <v>4.5</v>
      </c>
      <c r="BG12" s="1"/>
      <c r="BH12" s="1"/>
      <c r="BJ12" s="1"/>
    </row>
    <row r="13" spans="1:149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10</v>
      </c>
      <c r="AF13" s="1"/>
      <c r="AK13">
        <v>5</v>
      </c>
      <c r="AY13">
        <v>5</v>
      </c>
      <c r="BG13" s="1"/>
      <c r="BH13" s="1"/>
      <c r="BJ13" s="1"/>
    </row>
    <row r="14" spans="1:149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11</v>
      </c>
      <c r="AF14" s="1"/>
      <c r="AK14">
        <v>5.5</v>
      </c>
      <c r="AY14">
        <v>5.5</v>
      </c>
      <c r="BG14" s="1"/>
      <c r="BH14" s="1"/>
      <c r="BJ14" s="1"/>
    </row>
    <row r="15" spans="1:149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12</v>
      </c>
      <c r="AF15" s="1"/>
      <c r="AK15">
        <v>6</v>
      </c>
      <c r="AY15">
        <v>6</v>
      </c>
      <c r="BG15" s="1"/>
      <c r="BH15" s="1"/>
      <c r="BJ15" s="1"/>
    </row>
    <row r="16" spans="1:149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13</v>
      </c>
      <c r="AF16" s="1"/>
      <c r="AK16">
        <v>6.5</v>
      </c>
      <c r="AY16">
        <v>6.5</v>
      </c>
      <c r="BG16" s="1"/>
      <c r="BH16" s="1"/>
      <c r="BJ16" s="1"/>
    </row>
    <row r="17" spans="1:62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14</v>
      </c>
      <c r="AF17" s="1"/>
      <c r="AK17">
        <v>7</v>
      </c>
      <c r="AY17">
        <v>7</v>
      </c>
      <c r="BG17" s="1"/>
      <c r="BH17" s="1"/>
      <c r="BJ17" s="1"/>
    </row>
    <row r="18" spans="1:62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15</v>
      </c>
      <c r="AF18" s="1"/>
      <c r="AK18">
        <v>7.5</v>
      </c>
      <c r="AY18">
        <v>7.5</v>
      </c>
      <c r="BG18" s="1"/>
      <c r="BH18" s="1"/>
      <c r="BJ18" s="1"/>
    </row>
    <row r="19" spans="1:62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16</v>
      </c>
      <c r="AF19" s="1"/>
      <c r="AK19">
        <v>8</v>
      </c>
      <c r="AY19">
        <v>8</v>
      </c>
      <c r="BG19" s="1"/>
      <c r="BH19" s="1"/>
      <c r="BJ19" s="1"/>
    </row>
    <row r="20" spans="1:62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17</v>
      </c>
      <c r="AF20" s="1"/>
      <c r="AK20">
        <v>8.5</v>
      </c>
      <c r="AY20">
        <v>8.5</v>
      </c>
      <c r="BG20" s="1"/>
      <c r="BH20" s="1"/>
      <c r="BJ20" s="1"/>
    </row>
    <row r="21" spans="1:62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18</v>
      </c>
      <c r="AF21" s="1"/>
      <c r="AK21">
        <v>9</v>
      </c>
      <c r="AY21">
        <v>9</v>
      </c>
      <c r="BG21" s="1"/>
      <c r="BH21" s="1"/>
      <c r="BJ21" s="1"/>
    </row>
    <row r="22" spans="1:62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19</v>
      </c>
      <c r="AF22" s="1"/>
      <c r="AK22">
        <v>9.5</v>
      </c>
      <c r="AY22">
        <v>9.5</v>
      </c>
      <c r="BG22" s="1"/>
      <c r="BH22" s="1"/>
      <c r="BJ22" s="1"/>
    </row>
    <row r="23" spans="1:62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20</v>
      </c>
      <c r="AF23" s="1"/>
      <c r="AK23">
        <v>10</v>
      </c>
      <c r="AY23">
        <v>10</v>
      </c>
      <c r="BG23" s="1"/>
      <c r="BH23" s="1"/>
      <c r="BJ23" s="1"/>
    </row>
    <row r="24" spans="1:62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21</v>
      </c>
      <c r="AF24" s="1"/>
      <c r="AK24">
        <v>10.5</v>
      </c>
      <c r="AY24">
        <v>10.5</v>
      </c>
      <c r="BG24" s="1"/>
      <c r="BH24" s="1"/>
      <c r="BJ24" s="1"/>
    </row>
    <row r="25" spans="1:62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22</v>
      </c>
      <c r="AF25" s="1"/>
      <c r="AK25">
        <v>11</v>
      </c>
      <c r="AY25">
        <v>11</v>
      </c>
      <c r="BG25" s="1"/>
      <c r="BH25" s="1"/>
      <c r="BJ25" s="1"/>
    </row>
    <row r="26" spans="1:62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23</v>
      </c>
      <c r="AF26" s="1"/>
      <c r="AK26">
        <v>11.5</v>
      </c>
      <c r="AY26">
        <v>11.5</v>
      </c>
      <c r="BG26" s="1"/>
      <c r="BH26" s="1"/>
      <c r="BJ26" s="1"/>
    </row>
    <row r="27" spans="1:62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24</v>
      </c>
      <c r="AF27" s="1"/>
      <c r="AK27">
        <v>12</v>
      </c>
      <c r="AY27">
        <v>12</v>
      </c>
      <c r="BG27" s="1"/>
      <c r="BH27" s="1"/>
      <c r="BJ27" s="1"/>
    </row>
    <row r="28" spans="1:62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25</v>
      </c>
      <c r="AK28">
        <v>12.5</v>
      </c>
      <c r="AY28">
        <v>12.5</v>
      </c>
      <c r="BG28" s="1"/>
      <c r="BH28" s="1"/>
      <c r="BJ28" s="1"/>
    </row>
    <row r="29" spans="1:62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26</v>
      </c>
      <c r="AK29">
        <v>13</v>
      </c>
      <c r="AY29">
        <v>13</v>
      </c>
      <c r="BG29" s="1"/>
      <c r="BH29" s="1"/>
      <c r="BJ29" s="1"/>
    </row>
    <row r="30" spans="1:62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27</v>
      </c>
      <c r="AK30">
        <v>13.5</v>
      </c>
      <c r="AY30">
        <v>13.5</v>
      </c>
      <c r="BG30" s="1"/>
      <c r="BJ30" s="1"/>
    </row>
    <row r="31" spans="1:62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28</v>
      </c>
      <c r="AK31">
        <v>14</v>
      </c>
      <c r="AY31">
        <v>14</v>
      </c>
      <c r="BG31" s="1"/>
      <c r="BJ31" s="1"/>
    </row>
    <row r="32" spans="1:62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29</v>
      </c>
      <c r="AK32">
        <v>14.5</v>
      </c>
      <c r="AY32">
        <v>14.5</v>
      </c>
      <c r="BG32" s="1"/>
      <c r="BJ32" s="1"/>
    </row>
    <row r="33" spans="1:62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30</v>
      </c>
      <c r="AK33">
        <v>15</v>
      </c>
      <c r="AY33">
        <v>15</v>
      </c>
      <c r="BG33" s="1"/>
      <c r="BJ33" s="1"/>
    </row>
    <row r="34" spans="1:62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31</v>
      </c>
      <c r="AK34">
        <v>15.5</v>
      </c>
      <c r="AY34">
        <v>15.5</v>
      </c>
      <c r="BG34" s="1"/>
      <c r="BJ34" s="1"/>
    </row>
    <row r="35" spans="1:62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32</v>
      </c>
      <c r="AK35">
        <v>16</v>
      </c>
      <c r="AY35">
        <v>16</v>
      </c>
      <c r="BG35" s="1"/>
      <c r="BJ35" s="1"/>
    </row>
    <row r="36" spans="1:62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33</v>
      </c>
      <c r="AK36">
        <v>16.5</v>
      </c>
      <c r="AY36">
        <v>16.5</v>
      </c>
      <c r="BG36" s="1"/>
      <c r="BJ36" s="1"/>
    </row>
    <row r="37" spans="1:62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34</v>
      </c>
      <c r="AK37">
        <v>17</v>
      </c>
      <c r="AY37">
        <v>17</v>
      </c>
      <c r="BG37" s="1"/>
      <c r="BJ37" s="1"/>
    </row>
    <row r="38" spans="1:62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35</v>
      </c>
      <c r="AK38">
        <v>17.5</v>
      </c>
      <c r="AY38">
        <v>17.5</v>
      </c>
      <c r="BG38" s="1"/>
      <c r="BJ38" s="1"/>
    </row>
    <row r="39" spans="1:62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36</v>
      </c>
      <c r="AK39">
        <v>18</v>
      </c>
      <c r="AY39">
        <v>18</v>
      </c>
      <c r="BG39" s="1"/>
      <c r="BJ39" s="1"/>
    </row>
    <row r="40" spans="1:62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37</v>
      </c>
      <c r="AK40">
        <v>18.5</v>
      </c>
      <c r="AY40">
        <v>18.5</v>
      </c>
      <c r="BG40" s="1"/>
      <c r="BJ40" s="1"/>
    </row>
    <row r="41" spans="1:62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38</v>
      </c>
      <c r="AK41">
        <v>19</v>
      </c>
      <c r="AY41">
        <v>19</v>
      </c>
      <c r="BG41" s="1"/>
      <c r="BJ41" s="1"/>
    </row>
    <row r="42" spans="1:62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39</v>
      </c>
      <c r="AK42">
        <v>19.5</v>
      </c>
      <c r="AY42">
        <v>19.5</v>
      </c>
      <c r="BG42" s="1"/>
      <c r="BJ42" s="1"/>
    </row>
    <row r="43" spans="1:62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40</v>
      </c>
      <c r="AK43">
        <v>20</v>
      </c>
      <c r="AY43">
        <v>20</v>
      </c>
      <c r="BG43" s="1"/>
      <c r="BJ43" s="1"/>
    </row>
    <row r="44" spans="1:62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41</v>
      </c>
      <c r="AK44">
        <v>20.5</v>
      </c>
      <c r="AY44">
        <v>20.5</v>
      </c>
      <c r="BG44" s="1"/>
      <c r="BJ44" s="1"/>
    </row>
    <row r="45" spans="1:62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42</v>
      </c>
      <c r="AK45">
        <v>21</v>
      </c>
      <c r="AY45">
        <v>21</v>
      </c>
      <c r="BG45" s="1"/>
      <c r="BJ45" s="1"/>
    </row>
    <row r="46" spans="1:62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43</v>
      </c>
      <c r="AK46">
        <v>21.5</v>
      </c>
      <c r="AY46">
        <v>21.5</v>
      </c>
      <c r="BG46" s="1"/>
      <c r="BJ46" s="1"/>
    </row>
    <row r="47" spans="1:62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44</v>
      </c>
      <c r="AK47">
        <v>22</v>
      </c>
      <c r="AY47">
        <v>22</v>
      </c>
      <c r="BJ47" s="1"/>
    </row>
    <row r="48" spans="1:62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45</v>
      </c>
      <c r="AK48">
        <v>22.5</v>
      </c>
      <c r="AY48">
        <v>22.5</v>
      </c>
      <c r="BJ48" s="1"/>
    </row>
    <row r="49" spans="1:62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46</v>
      </c>
      <c r="AK49">
        <v>23</v>
      </c>
      <c r="AY49">
        <v>23</v>
      </c>
      <c r="BJ49" s="1"/>
    </row>
    <row r="50" spans="1:62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47</v>
      </c>
      <c r="AK50">
        <v>23.5</v>
      </c>
      <c r="AY50">
        <v>23.5</v>
      </c>
      <c r="BJ50" s="1"/>
    </row>
    <row r="51" spans="1:62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48</v>
      </c>
      <c r="AK51">
        <v>24</v>
      </c>
      <c r="AY51">
        <v>24</v>
      </c>
      <c r="BJ51" s="1"/>
    </row>
    <row r="52" spans="1:62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49</v>
      </c>
      <c r="AK52">
        <v>24.5</v>
      </c>
      <c r="AY52">
        <v>24.5</v>
      </c>
      <c r="BJ52" s="1"/>
    </row>
    <row r="53" spans="1:62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50</v>
      </c>
      <c r="AK53">
        <v>25</v>
      </c>
      <c r="AY53">
        <v>25</v>
      </c>
      <c r="BJ53" s="1"/>
    </row>
    <row r="54" spans="1:62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51</v>
      </c>
      <c r="AK54">
        <v>25.5</v>
      </c>
      <c r="AY54">
        <v>25.5</v>
      </c>
      <c r="BJ54" s="1"/>
    </row>
    <row r="55" spans="1:62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52</v>
      </c>
      <c r="AK55">
        <v>26</v>
      </c>
      <c r="AY55">
        <v>26</v>
      </c>
    </row>
    <row r="56" spans="1:62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53</v>
      </c>
      <c r="AK56">
        <v>26.5</v>
      </c>
      <c r="AY56">
        <v>26.5</v>
      </c>
    </row>
    <row r="57" spans="1:62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54</v>
      </c>
      <c r="AK57">
        <v>27</v>
      </c>
      <c r="AY57">
        <v>27</v>
      </c>
    </row>
    <row r="58" spans="1:62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55</v>
      </c>
      <c r="AK58">
        <v>27.5</v>
      </c>
      <c r="AY58">
        <v>27.5</v>
      </c>
    </row>
    <row r="59" spans="1:62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56</v>
      </c>
      <c r="AK59">
        <v>28</v>
      </c>
      <c r="AY59">
        <v>28</v>
      </c>
    </row>
    <row r="60" spans="1:62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57</v>
      </c>
      <c r="AK60">
        <v>28.5</v>
      </c>
      <c r="AY60">
        <v>28.5</v>
      </c>
    </row>
    <row r="61" spans="1:62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58</v>
      </c>
      <c r="AK61">
        <v>29</v>
      </c>
      <c r="AY61">
        <v>29</v>
      </c>
    </row>
    <row r="62" spans="1:62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59</v>
      </c>
      <c r="AK62">
        <v>29.5</v>
      </c>
      <c r="AY62">
        <v>29.5</v>
      </c>
    </row>
    <row r="63" spans="1:62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60</v>
      </c>
      <c r="AK63">
        <v>30</v>
      </c>
      <c r="AY63">
        <v>30</v>
      </c>
    </row>
    <row r="64" spans="1:62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61</v>
      </c>
      <c r="AK64">
        <v>30.5</v>
      </c>
      <c r="AY64">
        <v>30.5</v>
      </c>
    </row>
    <row r="65" spans="1:51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62</v>
      </c>
      <c r="AK65">
        <v>31</v>
      </c>
      <c r="AY65">
        <v>31</v>
      </c>
    </row>
    <row r="66" spans="1:51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63</v>
      </c>
      <c r="AK66">
        <v>31.5</v>
      </c>
      <c r="AY66">
        <v>31.5</v>
      </c>
    </row>
    <row r="67" spans="1:51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64</v>
      </c>
      <c r="AK67">
        <v>32</v>
      </c>
      <c r="AY67">
        <v>32</v>
      </c>
    </row>
    <row r="68" spans="1:51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65</v>
      </c>
      <c r="AK68">
        <v>32.5</v>
      </c>
      <c r="AY68">
        <v>32.5</v>
      </c>
    </row>
    <row r="69" spans="1:51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66</v>
      </c>
      <c r="AK69">
        <v>33</v>
      </c>
      <c r="AY69">
        <v>33</v>
      </c>
    </row>
    <row r="70" spans="1:51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67</v>
      </c>
      <c r="AK70">
        <v>33.5</v>
      </c>
      <c r="AY70">
        <v>33.5</v>
      </c>
    </row>
    <row r="71" spans="1:51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68</v>
      </c>
      <c r="AK71">
        <v>34</v>
      </c>
      <c r="AY71">
        <v>34</v>
      </c>
    </row>
    <row r="72" spans="1:51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69</v>
      </c>
      <c r="AK72">
        <v>34.5</v>
      </c>
      <c r="AY72">
        <v>34.5</v>
      </c>
    </row>
    <row r="73" spans="1:51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70</v>
      </c>
      <c r="AK73">
        <v>35</v>
      </c>
      <c r="AY73">
        <v>35</v>
      </c>
    </row>
    <row r="74" spans="1:51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71</v>
      </c>
      <c r="AK74">
        <v>35.5</v>
      </c>
      <c r="AY74">
        <v>35.5</v>
      </c>
    </row>
    <row r="75" spans="1:51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72</v>
      </c>
      <c r="AK75">
        <v>36</v>
      </c>
      <c r="AY75">
        <v>36</v>
      </c>
    </row>
    <row r="76" spans="1:51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73</v>
      </c>
      <c r="AK76">
        <v>36.5</v>
      </c>
      <c r="AY76">
        <v>36.5</v>
      </c>
    </row>
    <row r="77" spans="1:51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74</v>
      </c>
      <c r="AK77">
        <v>37</v>
      </c>
      <c r="AY77">
        <v>37</v>
      </c>
    </row>
    <row r="78" spans="1:51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75</v>
      </c>
      <c r="AK78">
        <v>37.5</v>
      </c>
      <c r="AY78">
        <v>37.5</v>
      </c>
    </row>
    <row r="79" spans="1:51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76</v>
      </c>
      <c r="AK79">
        <v>38</v>
      </c>
      <c r="AY79">
        <v>38</v>
      </c>
    </row>
    <row r="80" spans="1:51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77</v>
      </c>
      <c r="AK80">
        <v>38.5</v>
      </c>
      <c r="AY80">
        <v>38.5</v>
      </c>
    </row>
    <row r="81" spans="1:51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78</v>
      </c>
      <c r="AK81">
        <v>39</v>
      </c>
      <c r="AY81">
        <v>39</v>
      </c>
    </row>
    <row r="82" spans="1:51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79</v>
      </c>
      <c r="AK82">
        <v>39.5</v>
      </c>
      <c r="AY82">
        <v>39.5</v>
      </c>
    </row>
    <row r="83" spans="1:51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80</v>
      </c>
      <c r="AK83">
        <v>40</v>
      </c>
      <c r="AY83">
        <v>40</v>
      </c>
    </row>
    <row r="84" spans="1:51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81</v>
      </c>
      <c r="AK84">
        <v>40.5</v>
      </c>
      <c r="AY84">
        <v>40.5</v>
      </c>
    </row>
    <row r="85" spans="1:51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82</v>
      </c>
      <c r="AK85">
        <v>41</v>
      </c>
      <c r="AY85">
        <v>41</v>
      </c>
    </row>
    <row r="86" spans="1:51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83</v>
      </c>
      <c r="AK86">
        <v>41.5</v>
      </c>
      <c r="AY86">
        <v>41.5</v>
      </c>
    </row>
    <row r="87" spans="1:51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84</v>
      </c>
      <c r="AK87">
        <v>42</v>
      </c>
      <c r="AY87">
        <v>42</v>
      </c>
    </row>
    <row r="88" spans="1:51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85</v>
      </c>
      <c r="AK88">
        <v>42.5</v>
      </c>
      <c r="AY88">
        <v>42.5</v>
      </c>
    </row>
    <row r="89" spans="1:51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86</v>
      </c>
      <c r="AK89">
        <v>43</v>
      </c>
      <c r="AY89">
        <v>43</v>
      </c>
    </row>
    <row r="90" spans="1:51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87</v>
      </c>
      <c r="AK90">
        <v>43.5</v>
      </c>
      <c r="AY90">
        <v>43.5</v>
      </c>
    </row>
    <row r="91" spans="1:51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88</v>
      </c>
      <c r="AK91">
        <v>44</v>
      </c>
      <c r="AY91">
        <v>44</v>
      </c>
    </row>
    <row r="92" spans="1:51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89</v>
      </c>
      <c r="AK92">
        <v>44.5</v>
      </c>
      <c r="AY92">
        <v>44.5</v>
      </c>
    </row>
    <row r="93" spans="1:51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90</v>
      </c>
      <c r="AK93">
        <v>45</v>
      </c>
      <c r="AY93">
        <v>45</v>
      </c>
    </row>
    <row r="94" spans="1:51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91</v>
      </c>
      <c r="AK94">
        <v>45.5</v>
      </c>
      <c r="AY94">
        <v>45.5</v>
      </c>
    </row>
    <row r="95" spans="1:51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92</v>
      </c>
      <c r="AK95">
        <v>46</v>
      </c>
      <c r="AY95">
        <v>46</v>
      </c>
    </row>
    <row r="96" spans="1:51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93</v>
      </c>
      <c r="AK96">
        <v>46.5</v>
      </c>
      <c r="AY96">
        <v>46.5</v>
      </c>
    </row>
    <row r="97" spans="1:51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94</v>
      </c>
      <c r="AK97">
        <v>47</v>
      </c>
      <c r="AY97">
        <v>47</v>
      </c>
    </row>
    <row r="98" spans="1:51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95</v>
      </c>
      <c r="AK98">
        <v>47.5</v>
      </c>
      <c r="AY98">
        <v>47.5</v>
      </c>
    </row>
    <row r="99" spans="1:51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96</v>
      </c>
      <c r="AK99">
        <v>48</v>
      </c>
      <c r="AY99">
        <v>48</v>
      </c>
    </row>
    <row r="100" spans="1:51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97</v>
      </c>
      <c r="AK100">
        <v>48.5</v>
      </c>
      <c r="AY100">
        <v>48.5</v>
      </c>
    </row>
    <row r="101" spans="1:51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98</v>
      </c>
      <c r="AK101">
        <v>49</v>
      </c>
      <c r="AY101">
        <v>49</v>
      </c>
    </row>
    <row r="102" spans="1:51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99</v>
      </c>
      <c r="AK102">
        <v>49.5</v>
      </c>
      <c r="AY102">
        <v>49.5</v>
      </c>
    </row>
    <row r="103" spans="1:51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100</v>
      </c>
      <c r="AK103">
        <v>50</v>
      </c>
      <c r="AY103">
        <v>50</v>
      </c>
    </row>
    <row r="104" spans="1:51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101</v>
      </c>
      <c r="AK104">
        <v>50.5</v>
      </c>
      <c r="AY104">
        <v>50.5</v>
      </c>
    </row>
    <row r="105" spans="1:51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102</v>
      </c>
      <c r="AK105">
        <v>51</v>
      </c>
      <c r="AY105">
        <v>51</v>
      </c>
    </row>
    <row r="106" spans="1:51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103</v>
      </c>
      <c r="AK106">
        <v>51.5</v>
      </c>
      <c r="AY106">
        <v>51.5</v>
      </c>
    </row>
    <row r="107" spans="1:51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104</v>
      </c>
      <c r="AK107">
        <v>52</v>
      </c>
      <c r="AY107">
        <v>52</v>
      </c>
    </row>
    <row r="108" spans="1:51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105</v>
      </c>
      <c r="AK108">
        <v>52.5</v>
      </c>
      <c r="AY108">
        <v>52.5</v>
      </c>
    </row>
    <row r="109" spans="1:51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106</v>
      </c>
      <c r="AK109">
        <v>53</v>
      </c>
      <c r="AY109">
        <v>53</v>
      </c>
    </row>
    <row r="110" spans="1:51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107</v>
      </c>
      <c r="AK110">
        <v>53.5</v>
      </c>
      <c r="AY110">
        <v>53.5</v>
      </c>
    </row>
    <row r="111" spans="1:51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108</v>
      </c>
      <c r="AK111">
        <v>54</v>
      </c>
      <c r="AY111">
        <v>54</v>
      </c>
    </row>
    <row r="112" spans="1:51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109</v>
      </c>
      <c r="AK112">
        <v>54.5</v>
      </c>
      <c r="AY112">
        <v>54.5</v>
      </c>
    </row>
    <row r="113" spans="1:51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110</v>
      </c>
      <c r="AK113">
        <v>55</v>
      </c>
      <c r="AY113">
        <v>55</v>
      </c>
    </row>
    <row r="114" spans="1:51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111</v>
      </c>
      <c r="AK114">
        <v>55.5</v>
      </c>
      <c r="AY114">
        <v>55.5</v>
      </c>
    </row>
    <row r="115" spans="1:51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112</v>
      </c>
      <c r="AK115">
        <v>56</v>
      </c>
      <c r="AY115">
        <v>56</v>
      </c>
    </row>
    <row r="116" spans="1:51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113</v>
      </c>
      <c r="AK116">
        <v>56.5</v>
      </c>
      <c r="AY116">
        <v>56.5</v>
      </c>
    </row>
    <row r="117" spans="1:51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114</v>
      </c>
      <c r="AK117">
        <v>57</v>
      </c>
      <c r="AY117">
        <v>57</v>
      </c>
    </row>
    <row r="118" spans="1:51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115</v>
      </c>
      <c r="AK118">
        <v>57.5</v>
      </c>
      <c r="AY118">
        <v>57.5</v>
      </c>
    </row>
    <row r="119" spans="1:51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116</v>
      </c>
      <c r="AK119">
        <v>58</v>
      </c>
      <c r="AY119">
        <v>58</v>
      </c>
    </row>
    <row r="120" spans="1:51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117</v>
      </c>
      <c r="AK120">
        <v>58.5</v>
      </c>
      <c r="AY120">
        <v>58.5</v>
      </c>
    </row>
    <row r="121" spans="1:51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118</v>
      </c>
      <c r="AK121">
        <v>59</v>
      </c>
      <c r="AY121">
        <v>59</v>
      </c>
    </row>
    <row r="122" spans="1:51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119</v>
      </c>
      <c r="AK122">
        <v>59.5</v>
      </c>
      <c r="AY122">
        <v>59.5</v>
      </c>
    </row>
    <row r="123" spans="1:51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120</v>
      </c>
      <c r="AK123">
        <v>60</v>
      </c>
      <c r="AY123">
        <v>60</v>
      </c>
    </row>
    <row r="124" spans="1:51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121</v>
      </c>
      <c r="AK124">
        <v>60.5</v>
      </c>
      <c r="AY124">
        <v>60.5</v>
      </c>
    </row>
    <row r="125" spans="1:51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122</v>
      </c>
      <c r="AK125">
        <v>61</v>
      </c>
      <c r="AY125">
        <v>61</v>
      </c>
    </row>
    <row r="126" spans="1:51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123</v>
      </c>
      <c r="AK126">
        <v>61.5</v>
      </c>
      <c r="AY126">
        <v>61.5</v>
      </c>
    </row>
    <row r="127" spans="1:51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124</v>
      </c>
      <c r="AK127">
        <v>62</v>
      </c>
      <c r="AY127">
        <v>62</v>
      </c>
    </row>
    <row r="128" spans="1:51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125</v>
      </c>
      <c r="AK128">
        <v>62.5</v>
      </c>
      <c r="AY128">
        <v>62.5</v>
      </c>
    </row>
    <row r="129" spans="1:51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126</v>
      </c>
      <c r="AK129">
        <v>63</v>
      </c>
      <c r="AY129">
        <v>63</v>
      </c>
    </row>
    <row r="130" spans="1:51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127</v>
      </c>
      <c r="AK130">
        <v>63.5</v>
      </c>
      <c r="AY130">
        <v>63.5</v>
      </c>
    </row>
    <row r="131" spans="1:51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128</v>
      </c>
      <c r="AK131">
        <v>64</v>
      </c>
      <c r="AY131">
        <v>64</v>
      </c>
    </row>
    <row r="132" spans="1:51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129</v>
      </c>
      <c r="AK132">
        <v>64.5</v>
      </c>
      <c r="AY132">
        <v>64.5</v>
      </c>
    </row>
    <row r="133" spans="1:51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130</v>
      </c>
      <c r="AK133">
        <v>65</v>
      </c>
      <c r="AY133">
        <v>65</v>
      </c>
    </row>
    <row r="134" spans="1:51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131</v>
      </c>
      <c r="AK134">
        <v>65.5</v>
      </c>
      <c r="AY134">
        <v>65.5</v>
      </c>
    </row>
    <row r="135" spans="1:51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132</v>
      </c>
      <c r="AK135">
        <v>66</v>
      </c>
      <c r="AY135">
        <v>66</v>
      </c>
    </row>
    <row r="136" spans="1:51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133</v>
      </c>
      <c r="AK136">
        <v>66.5</v>
      </c>
      <c r="AY136">
        <v>66.5</v>
      </c>
    </row>
    <row r="137" spans="1:51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134</v>
      </c>
      <c r="AK137">
        <v>67</v>
      </c>
      <c r="AY137">
        <v>67</v>
      </c>
    </row>
    <row r="138" spans="1:51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135</v>
      </c>
      <c r="AK138">
        <v>67.5</v>
      </c>
      <c r="AY138">
        <v>67.5</v>
      </c>
    </row>
    <row r="139" spans="1:51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136</v>
      </c>
      <c r="AK139">
        <v>68</v>
      </c>
      <c r="AY139">
        <v>68</v>
      </c>
    </row>
    <row r="140" spans="1:51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137</v>
      </c>
      <c r="AK140">
        <v>68.5</v>
      </c>
      <c r="AY140">
        <v>68.5</v>
      </c>
    </row>
    <row r="141" spans="1:51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138</v>
      </c>
      <c r="AK141">
        <v>69</v>
      </c>
      <c r="AY141">
        <v>69</v>
      </c>
    </row>
    <row r="142" spans="1:51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139</v>
      </c>
      <c r="AK142">
        <v>69.5</v>
      </c>
      <c r="AY142">
        <v>69.5</v>
      </c>
    </row>
    <row r="143" spans="1:51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140</v>
      </c>
      <c r="AK143">
        <v>70</v>
      </c>
      <c r="AY143">
        <v>70</v>
      </c>
    </row>
    <row r="144" spans="1:51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141</v>
      </c>
      <c r="AK144">
        <v>70.5</v>
      </c>
      <c r="AY144">
        <v>70.5</v>
      </c>
    </row>
    <row r="145" spans="1:51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142</v>
      </c>
      <c r="AK145">
        <v>71</v>
      </c>
      <c r="AY145">
        <v>71</v>
      </c>
    </row>
    <row r="146" spans="1:51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143</v>
      </c>
      <c r="AK146">
        <v>71.5</v>
      </c>
      <c r="AY146">
        <v>71.5</v>
      </c>
    </row>
    <row r="147" spans="1:51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144</v>
      </c>
      <c r="AK147">
        <v>72</v>
      </c>
      <c r="AY147">
        <v>72</v>
      </c>
    </row>
    <row r="148" spans="1:51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145</v>
      </c>
      <c r="AK148">
        <v>72.5</v>
      </c>
      <c r="AY148">
        <v>72.5</v>
      </c>
    </row>
    <row r="149" spans="1:51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146</v>
      </c>
      <c r="AK149">
        <v>73</v>
      </c>
      <c r="AY149">
        <v>73</v>
      </c>
    </row>
    <row r="150" spans="1:51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147</v>
      </c>
      <c r="AK150">
        <v>73.5</v>
      </c>
      <c r="AY150">
        <v>73.5</v>
      </c>
    </row>
    <row r="151" spans="1:51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148</v>
      </c>
      <c r="AK151">
        <v>74</v>
      </c>
      <c r="AY151">
        <v>74</v>
      </c>
    </row>
    <row r="152" spans="1:51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149</v>
      </c>
      <c r="AK152">
        <v>74.5</v>
      </c>
      <c r="AY152">
        <v>74.5</v>
      </c>
    </row>
    <row r="153" spans="1:51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150</v>
      </c>
      <c r="AK153">
        <v>75</v>
      </c>
      <c r="AY153">
        <v>75</v>
      </c>
    </row>
    <row r="154" spans="1:51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151</v>
      </c>
      <c r="AK154">
        <v>75.5</v>
      </c>
      <c r="AY154">
        <v>75.5</v>
      </c>
    </row>
    <row r="155" spans="1:51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152</v>
      </c>
      <c r="AK155">
        <v>76</v>
      </c>
      <c r="AY155">
        <v>76</v>
      </c>
    </row>
    <row r="156" spans="1:51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153</v>
      </c>
      <c r="AK156">
        <v>76.5</v>
      </c>
      <c r="AY156">
        <v>76.5</v>
      </c>
    </row>
    <row r="157" spans="1:51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154</v>
      </c>
      <c r="AK157">
        <v>77</v>
      </c>
      <c r="AY157">
        <v>77</v>
      </c>
    </row>
    <row r="158" spans="1:51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155</v>
      </c>
      <c r="AK158">
        <v>77.5</v>
      </c>
      <c r="AY158">
        <v>77.5</v>
      </c>
    </row>
    <row r="159" spans="1:51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156</v>
      </c>
      <c r="AK159">
        <v>78</v>
      </c>
      <c r="AY159">
        <v>78</v>
      </c>
    </row>
    <row r="160" spans="1:51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157</v>
      </c>
      <c r="AK160">
        <v>78.5</v>
      </c>
      <c r="AY160">
        <v>78.5</v>
      </c>
    </row>
    <row r="161" spans="1:51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158</v>
      </c>
      <c r="AK161">
        <v>79</v>
      </c>
      <c r="AY161">
        <v>79</v>
      </c>
    </row>
    <row r="162" spans="1:51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159</v>
      </c>
      <c r="AK162">
        <v>79.5</v>
      </c>
      <c r="AY162">
        <v>79.5</v>
      </c>
    </row>
    <row r="163" spans="1:51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160</v>
      </c>
      <c r="AK163">
        <v>80</v>
      </c>
      <c r="AY163">
        <v>80</v>
      </c>
    </row>
    <row r="164" spans="1:51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161</v>
      </c>
      <c r="AK164">
        <v>80.5</v>
      </c>
      <c r="AY164">
        <v>80.5</v>
      </c>
    </row>
    <row r="165" spans="1:51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162</v>
      </c>
      <c r="AK165">
        <v>81</v>
      </c>
      <c r="AY165">
        <v>81</v>
      </c>
    </row>
    <row r="166" spans="1:51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163</v>
      </c>
      <c r="AK166">
        <v>81.5</v>
      </c>
      <c r="AY166">
        <v>81.5</v>
      </c>
    </row>
    <row r="167" spans="1:51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164</v>
      </c>
      <c r="AK167">
        <v>82</v>
      </c>
      <c r="AY167">
        <v>82</v>
      </c>
    </row>
    <row r="168" spans="1:51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165</v>
      </c>
      <c r="AK168">
        <v>82.5</v>
      </c>
      <c r="AY168">
        <v>82.5</v>
      </c>
    </row>
    <row r="169" spans="1:51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166</v>
      </c>
      <c r="AK169">
        <v>83</v>
      </c>
      <c r="AY169">
        <v>83</v>
      </c>
    </row>
    <row r="170" spans="1:51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167</v>
      </c>
      <c r="AK170">
        <v>83.5</v>
      </c>
      <c r="AY170">
        <v>83.5</v>
      </c>
    </row>
    <row r="171" spans="1:51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168</v>
      </c>
      <c r="AK171">
        <v>84</v>
      </c>
      <c r="AY171">
        <v>84</v>
      </c>
    </row>
    <row r="172" spans="1:51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169</v>
      </c>
      <c r="AK172">
        <v>84.5</v>
      </c>
      <c r="AY172">
        <v>84.5</v>
      </c>
    </row>
    <row r="173" spans="1:51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170</v>
      </c>
      <c r="AK173">
        <v>85</v>
      </c>
      <c r="AY173">
        <v>85</v>
      </c>
    </row>
    <row r="174" spans="1:51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171</v>
      </c>
      <c r="AK174">
        <v>85.5</v>
      </c>
      <c r="AY174">
        <v>85.5</v>
      </c>
    </row>
    <row r="175" spans="1:51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172</v>
      </c>
      <c r="AK175">
        <v>86</v>
      </c>
      <c r="AY175">
        <v>86</v>
      </c>
    </row>
    <row r="176" spans="1:51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173</v>
      </c>
      <c r="AK176">
        <v>86.5</v>
      </c>
      <c r="AY176">
        <v>86.5</v>
      </c>
    </row>
    <row r="177" spans="1:51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174</v>
      </c>
      <c r="AK177">
        <v>87</v>
      </c>
      <c r="AY177">
        <v>87</v>
      </c>
    </row>
    <row r="178" spans="1:51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175</v>
      </c>
      <c r="AK178">
        <v>87.5</v>
      </c>
      <c r="AY178">
        <v>87.5</v>
      </c>
    </row>
    <row r="179" spans="1:51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176</v>
      </c>
      <c r="AK179">
        <v>88</v>
      </c>
      <c r="AY179">
        <v>88</v>
      </c>
    </row>
    <row r="180" spans="1:51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177</v>
      </c>
      <c r="AK180">
        <v>88.5</v>
      </c>
      <c r="AY180">
        <v>88.5</v>
      </c>
    </row>
    <row r="181" spans="1:51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178</v>
      </c>
      <c r="AK181">
        <v>89</v>
      </c>
      <c r="AY181">
        <v>89</v>
      </c>
    </row>
    <row r="182" spans="1:51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179</v>
      </c>
      <c r="AK182">
        <v>89.5</v>
      </c>
      <c r="AY182">
        <v>89.5</v>
      </c>
    </row>
    <row r="183" spans="1:51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180</v>
      </c>
      <c r="AK183">
        <v>90</v>
      </c>
      <c r="AY183">
        <v>90</v>
      </c>
    </row>
    <row r="184" spans="1:51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181</v>
      </c>
      <c r="AK184">
        <v>90.5</v>
      </c>
      <c r="AY184">
        <v>90.5</v>
      </c>
    </row>
    <row r="185" spans="1:51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182</v>
      </c>
      <c r="AK185">
        <v>91</v>
      </c>
      <c r="AY185">
        <v>91</v>
      </c>
    </row>
    <row r="186" spans="1:51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183</v>
      </c>
      <c r="AK186">
        <v>91.5</v>
      </c>
      <c r="AY186">
        <v>91.5</v>
      </c>
    </row>
    <row r="187" spans="1:51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184</v>
      </c>
      <c r="AK187">
        <v>92</v>
      </c>
      <c r="AY187">
        <v>92</v>
      </c>
    </row>
    <row r="188" spans="1:51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185</v>
      </c>
      <c r="AK188">
        <v>92.5</v>
      </c>
      <c r="AY188">
        <v>92.5</v>
      </c>
    </row>
    <row r="189" spans="1:51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186</v>
      </c>
      <c r="AK189">
        <v>93</v>
      </c>
      <c r="AY189">
        <v>93</v>
      </c>
    </row>
    <row r="190" spans="1:51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187</v>
      </c>
      <c r="AK190">
        <v>93.5</v>
      </c>
      <c r="AY190">
        <v>93.5</v>
      </c>
    </row>
    <row r="191" spans="1:51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188</v>
      </c>
      <c r="AK191">
        <v>94</v>
      </c>
      <c r="AY191">
        <v>94</v>
      </c>
    </row>
    <row r="192" spans="1:51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189</v>
      </c>
      <c r="AK192">
        <v>94.5</v>
      </c>
      <c r="AY192">
        <v>94.5</v>
      </c>
    </row>
    <row r="193" spans="1:51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190</v>
      </c>
      <c r="AK193">
        <v>95</v>
      </c>
      <c r="AY193">
        <v>95</v>
      </c>
    </row>
    <row r="194" spans="1:51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191</v>
      </c>
      <c r="AK194">
        <v>95.5</v>
      </c>
      <c r="AY194">
        <v>95.5</v>
      </c>
    </row>
    <row r="195" spans="1:51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192</v>
      </c>
      <c r="AK195">
        <v>96</v>
      </c>
      <c r="AY195">
        <v>96</v>
      </c>
    </row>
    <row r="196" spans="1:51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193</v>
      </c>
      <c r="AK196">
        <v>96.5</v>
      </c>
      <c r="AY196">
        <v>96.5</v>
      </c>
    </row>
    <row r="197" spans="1:51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194</v>
      </c>
      <c r="AK197">
        <v>97</v>
      </c>
      <c r="AY197">
        <v>97</v>
      </c>
    </row>
    <row r="198" spans="1:51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195</v>
      </c>
      <c r="AK198">
        <v>97.5</v>
      </c>
      <c r="AY198">
        <v>97.5</v>
      </c>
    </row>
    <row r="199" spans="1:51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196</v>
      </c>
      <c r="AK199">
        <v>98</v>
      </c>
      <c r="AY199">
        <v>98</v>
      </c>
    </row>
    <row r="200" spans="1:51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197</v>
      </c>
      <c r="AK200">
        <v>98.5</v>
      </c>
      <c r="AY200">
        <v>98.5</v>
      </c>
    </row>
    <row r="201" spans="1:51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198</v>
      </c>
      <c r="AK201">
        <v>99</v>
      </c>
      <c r="AY201">
        <v>99</v>
      </c>
    </row>
    <row r="202" spans="1:51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199</v>
      </c>
      <c r="AK202">
        <v>99.5</v>
      </c>
      <c r="AY202">
        <v>99.5</v>
      </c>
    </row>
    <row r="203" spans="1:51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200</v>
      </c>
      <c r="AK203">
        <v>100</v>
      </c>
      <c r="AY203">
        <v>100</v>
      </c>
    </row>
    <row r="204" spans="1:51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201</v>
      </c>
      <c r="AK204">
        <v>100.5</v>
      </c>
      <c r="AY204">
        <v>100.5</v>
      </c>
    </row>
    <row r="205" spans="1:51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202</v>
      </c>
      <c r="AK205">
        <v>101</v>
      </c>
      <c r="AY205">
        <v>101</v>
      </c>
    </row>
    <row r="206" spans="1:51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203</v>
      </c>
      <c r="AK206">
        <v>101.5</v>
      </c>
      <c r="AY206">
        <v>101.5</v>
      </c>
    </row>
    <row r="207" spans="1:51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204</v>
      </c>
      <c r="AK207">
        <v>102</v>
      </c>
      <c r="AY207">
        <v>102</v>
      </c>
    </row>
    <row r="208" spans="1:51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205</v>
      </c>
      <c r="AK208">
        <v>102.5</v>
      </c>
      <c r="AY208">
        <v>102.5</v>
      </c>
    </row>
    <row r="209" spans="1:51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206</v>
      </c>
      <c r="AK209">
        <v>103</v>
      </c>
      <c r="AY209">
        <v>103</v>
      </c>
    </row>
    <row r="210" spans="1:51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207</v>
      </c>
      <c r="AK210">
        <v>103.5</v>
      </c>
      <c r="AY210">
        <v>103.5</v>
      </c>
    </row>
    <row r="211" spans="1:51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208</v>
      </c>
      <c r="AK211">
        <v>104</v>
      </c>
      <c r="AY211">
        <v>104</v>
      </c>
    </row>
    <row r="212" spans="1:51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209</v>
      </c>
      <c r="AK212">
        <v>104.5</v>
      </c>
      <c r="AY212">
        <v>104.5</v>
      </c>
    </row>
    <row r="213" spans="1:51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210</v>
      </c>
      <c r="AK213">
        <v>105</v>
      </c>
      <c r="AY213">
        <v>105</v>
      </c>
    </row>
    <row r="214" spans="1:51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211</v>
      </c>
      <c r="AK214">
        <v>105.5</v>
      </c>
      <c r="AY214">
        <v>105.5</v>
      </c>
    </row>
    <row r="215" spans="1:51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212</v>
      </c>
      <c r="AK215">
        <v>106</v>
      </c>
      <c r="AY215">
        <v>106</v>
      </c>
    </row>
    <row r="216" spans="1:51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213</v>
      </c>
      <c r="AK216">
        <v>106.5</v>
      </c>
      <c r="AY216">
        <v>106.5</v>
      </c>
    </row>
    <row r="217" spans="1:51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214</v>
      </c>
      <c r="AK217">
        <v>107</v>
      </c>
      <c r="AY217">
        <v>107</v>
      </c>
    </row>
    <row r="218" spans="1:51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215</v>
      </c>
      <c r="AK218">
        <v>107.5</v>
      </c>
      <c r="AY218">
        <v>107.5</v>
      </c>
    </row>
    <row r="219" spans="1:51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216</v>
      </c>
      <c r="AK219">
        <v>108</v>
      </c>
      <c r="AY219">
        <v>108</v>
      </c>
    </row>
    <row r="220" spans="1:51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217</v>
      </c>
      <c r="AK220">
        <v>108.5</v>
      </c>
      <c r="AY220">
        <v>108.5</v>
      </c>
    </row>
    <row r="221" spans="1:51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218</v>
      </c>
      <c r="AK221">
        <v>109</v>
      </c>
      <c r="AY221">
        <v>109</v>
      </c>
    </row>
    <row r="222" spans="1:51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219</v>
      </c>
      <c r="AK222">
        <v>109.5</v>
      </c>
      <c r="AY222">
        <v>109.5</v>
      </c>
    </row>
    <row r="223" spans="1:51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220</v>
      </c>
      <c r="AK223">
        <v>110</v>
      </c>
      <c r="AY223">
        <v>110</v>
      </c>
    </row>
    <row r="224" spans="1:51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221</v>
      </c>
      <c r="AK224">
        <v>110.5</v>
      </c>
      <c r="AY224">
        <v>110.5</v>
      </c>
    </row>
    <row r="225" spans="1:51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222</v>
      </c>
      <c r="AK225">
        <v>111</v>
      </c>
      <c r="AY225">
        <v>111</v>
      </c>
    </row>
    <row r="226" spans="1:51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223</v>
      </c>
      <c r="AK226">
        <v>111.5</v>
      </c>
      <c r="AY226">
        <v>111.5</v>
      </c>
    </row>
    <row r="227" spans="1:51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224</v>
      </c>
      <c r="AK227">
        <v>112</v>
      </c>
      <c r="AY227">
        <v>112</v>
      </c>
    </row>
    <row r="228" spans="1:51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225</v>
      </c>
      <c r="AK228">
        <v>112.5</v>
      </c>
      <c r="AY228">
        <v>112.5</v>
      </c>
    </row>
    <row r="229" spans="1:51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226</v>
      </c>
      <c r="AK229">
        <v>113</v>
      </c>
      <c r="AY229">
        <v>113</v>
      </c>
    </row>
    <row r="230" spans="1:51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227</v>
      </c>
      <c r="AK230">
        <v>113.5</v>
      </c>
      <c r="AY230">
        <v>113.5</v>
      </c>
    </row>
    <row r="231" spans="1:51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228</v>
      </c>
      <c r="AK231">
        <v>114</v>
      </c>
      <c r="AY231">
        <v>114</v>
      </c>
    </row>
    <row r="232" spans="1:51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229</v>
      </c>
      <c r="AK232">
        <v>114.5</v>
      </c>
      <c r="AY232">
        <v>114.5</v>
      </c>
    </row>
    <row r="233" spans="1:51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230</v>
      </c>
      <c r="AK233">
        <v>115</v>
      </c>
      <c r="AY233">
        <v>115</v>
      </c>
    </row>
    <row r="234" spans="1:51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231</v>
      </c>
      <c r="AK234">
        <v>115.5</v>
      </c>
      <c r="AY234">
        <v>115.5</v>
      </c>
    </row>
    <row r="235" spans="1:51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232</v>
      </c>
      <c r="AK235">
        <v>116</v>
      </c>
      <c r="AY235">
        <v>116</v>
      </c>
    </row>
    <row r="236" spans="1:51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233</v>
      </c>
      <c r="AK236">
        <v>116.5</v>
      </c>
      <c r="AY236">
        <v>116.5</v>
      </c>
    </row>
    <row r="237" spans="1:51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234</v>
      </c>
      <c r="AK237">
        <v>117</v>
      </c>
      <c r="AY237">
        <v>117</v>
      </c>
    </row>
    <row r="238" spans="1:51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235</v>
      </c>
      <c r="AK238">
        <v>117.5</v>
      </c>
      <c r="AY238">
        <v>117.5</v>
      </c>
    </row>
    <row r="239" spans="1:51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236</v>
      </c>
      <c r="AK239">
        <v>118</v>
      </c>
      <c r="AY239">
        <v>118</v>
      </c>
    </row>
    <row r="240" spans="1:51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237</v>
      </c>
      <c r="AK240">
        <v>118.5</v>
      </c>
      <c r="AY240">
        <v>118.5</v>
      </c>
    </row>
    <row r="241" spans="1:51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238</v>
      </c>
      <c r="AK241">
        <v>119</v>
      </c>
      <c r="AY241">
        <v>119</v>
      </c>
    </row>
    <row r="242" spans="1:51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239</v>
      </c>
      <c r="AK242">
        <v>119.5</v>
      </c>
      <c r="AY242">
        <v>119.5</v>
      </c>
    </row>
    <row r="243" spans="1:51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240</v>
      </c>
      <c r="AK243">
        <v>120</v>
      </c>
      <c r="AY243">
        <v>120</v>
      </c>
    </row>
    <row r="244" spans="1:51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241</v>
      </c>
      <c r="AK244">
        <v>120.5</v>
      </c>
      <c r="AY244">
        <v>120.5</v>
      </c>
    </row>
    <row r="245" spans="1:51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242</v>
      </c>
      <c r="AK245">
        <v>121</v>
      </c>
      <c r="AY245">
        <v>121</v>
      </c>
    </row>
    <row r="246" spans="1:51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243</v>
      </c>
      <c r="AK246">
        <v>121.5</v>
      </c>
      <c r="AY246">
        <v>121.5</v>
      </c>
    </row>
    <row r="247" spans="1:51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244</v>
      </c>
      <c r="AK247">
        <v>122</v>
      </c>
      <c r="AY247">
        <v>122</v>
      </c>
    </row>
    <row r="248" spans="1:51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245</v>
      </c>
      <c r="AK248">
        <v>122.5</v>
      </c>
      <c r="AY248">
        <v>122.5</v>
      </c>
    </row>
    <row r="249" spans="1:51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246</v>
      </c>
      <c r="AK249">
        <v>123</v>
      </c>
      <c r="AY249">
        <v>123</v>
      </c>
    </row>
    <row r="250" spans="1:51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247</v>
      </c>
      <c r="AK250">
        <v>123.5</v>
      </c>
      <c r="AY250">
        <v>123.5</v>
      </c>
    </row>
    <row r="251" spans="1:51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248</v>
      </c>
      <c r="AK251">
        <v>124</v>
      </c>
      <c r="AY251">
        <v>124</v>
      </c>
    </row>
    <row r="252" spans="1:51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249</v>
      </c>
      <c r="AK252">
        <v>124.5</v>
      </c>
      <c r="AY252">
        <v>124.5</v>
      </c>
    </row>
    <row r="253" spans="1:51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250</v>
      </c>
      <c r="AK253">
        <v>125</v>
      </c>
      <c r="AY253">
        <v>125</v>
      </c>
    </row>
    <row r="254" spans="1:51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251</v>
      </c>
      <c r="AK254">
        <v>125.5</v>
      </c>
      <c r="AY254">
        <v>125.5</v>
      </c>
    </row>
    <row r="255" spans="1:51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252</v>
      </c>
      <c r="AK255">
        <v>126</v>
      </c>
      <c r="AY255">
        <v>126</v>
      </c>
    </row>
    <row r="256" spans="1:51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253</v>
      </c>
      <c r="AK256">
        <v>126.5</v>
      </c>
      <c r="AY256">
        <v>126.5</v>
      </c>
    </row>
    <row r="257" spans="1:51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254</v>
      </c>
      <c r="AK257">
        <v>127</v>
      </c>
      <c r="AY257">
        <v>127</v>
      </c>
    </row>
    <row r="258" spans="1:51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255</v>
      </c>
      <c r="AK258">
        <v>127.5</v>
      </c>
      <c r="AY258">
        <v>127.5</v>
      </c>
    </row>
    <row r="259" spans="1:51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256</v>
      </c>
      <c r="AK259">
        <v>128</v>
      </c>
      <c r="AY259">
        <v>128</v>
      </c>
    </row>
    <row r="260" spans="1:51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257</v>
      </c>
      <c r="AK260">
        <v>128.5</v>
      </c>
      <c r="AY260">
        <v>128.5</v>
      </c>
    </row>
    <row r="261" spans="1:51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258</v>
      </c>
      <c r="AK261">
        <v>129</v>
      </c>
      <c r="AY261">
        <v>129</v>
      </c>
    </row>
    <row r="262" spans="1:51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259</v>
      </c>
      <c r="AK262">
        <v>129.5</v>
      </c>
      <c r="AY262">
        <v>129.5</v>
      </c>
    </row>
    <row r="263" spans="1:51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260</v>
      </c>
      <c r="AK263">
        <v>130</v>
      </c>
      <c r="AY263">
        <v>130</v>
      </c>
    </row>
    <row r="264" spans="1:51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261</v>
      </c>
      <c r="AK264">
        <v>130.5</v>
      </c>
      <c r="AY264">
        <v>130.5</v>
      </c>
    </row>
    <row r="265" spans="1:51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262</v>
      </c>
      <c r="AK265">
        <v>131</v>
      </c>
      <c r="AY265">
        <v>131</v>
      </c>
    </row>
    <row r="266" spans="1:51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263</v>
      </c>
      <c r="AK266">
        <v>131.5</v>
      </c>
      <c r="AY266">
        <v>131.5</v>
      </c>
    </row>
    <row r="267" spans="1:51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264</v>
      </c>
      <c r="AK267">
        <v>132</v>
      </c>
      <c r="AY267">
        <v>132</v>
      </c>
    </row>
    <row r="268" spans="1:51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265</v>
      </c>
      <c r="AK268">
        <v>132.5</v>
      </c>
      <c r="AY268">
        <v>132.5</v>
      </c>
    </row>
    <row r="269" spans="1:51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266</v>
      </c>
      <c r="AK269">
        <v>133</v>
      </c>
      <c r="AY269">
        <v>133</v>
      </c>
    </row>
    <row r="270" spans="1:51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267</v>
      </c>
      <c r="AK270">
        <v>133.5</v>
      </c>
      <c r="AY270">
        <v>133.5</v>
      </c>
    </row>
    <row r="271" spans="1:51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268</v>
      </c>
      <c r="AK271">
        <v>134</v>
      </c>
      <c r="AY271">
        <v>134</v>
      </c>
    </row>
    <row r="272" spans="1:51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269</v>
      </c>
      <c r="AK272">
        <v>134.5</v>
      </c>
      <c r="AY272">
        <v>134.5</v>
      </c>
    </row>
    <row r="273" spans="1:51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270</v>
      </c>
      <c r="AK273">
        <v>135</v>
      </c>
      <c r="AY273">
        <v>135</v>
      </c>
    </row>
    <row r="274" spans="1:51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271</v>
      </c>
      <c r="AK274">
        <v>135.5</v>
      </c>
      <c r="AY274">
        <v>135.5</v>
      </c>
    </row>
    <row r="275" spans="1:51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272</v>
      </c>
      <c r="AK275">
        <v>136</v>
      </c>
      <c r="AY275">
        <v>136</v>
      </c>
    </row>
    <row r="276" spans="1:51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273</v>
      </c>
      <c r="AK276">
        <v>136.5</v>
      </c>
      <c r="AY276">
        <v>136.5</v>
      </c>
    </row>
    <row r="277" spans="1:51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274</v>
      </c>
      <c r="AK277">
        <v>137</v>
      </c>
      <c r="AY277">
        <v>137</v>
      </c>
    </row>
    <row r="278" spans="1:51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275</v>
      </c>
      <c r="AK278">
        <v>137.5</v>
      </c>
      <c r="AY278">
        <v>137.5</v>
      </c>
    </row>
    <row r="279" spans="1:51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276</v>
      </c>
      <c r="AK279">
        <v>138</v>
      </c>
      <c r="AY279">
        <v>138</v>
      </c>
    </row>
    <row r="280" spans="1:51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277</v>
      </c>
      <c r="AK280">
        <v>138.5</v>
      </c>
      <c r="AY280">
        <v>138.5</v>
      </c>
    </row>
    <row r="281" spans="1:51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278</v>
      </c>
      <c r="AK281">
        <v>139</v>
      </c>
      <c r="AY281">
        <v>139</v>
      </c>
    </row>
    <row r="282" spans="1:51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279</v>
      </c>
      <c r="AK282">
        <v>139.5</v>
      </c>
      <c r="AY282">
        <v>139.5</v>
      </c>
    </row>
    <row r="283" spans="1:51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280</v>
      </c>
      <c r="AK283">
        <v>140</v>
      </c>
      <c r="AY283">
        <v>140</v>
      </c>
    </row>
    <row r="284" spans="1:51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281</v>
      </c>
      <c r="AK284">
        <v>140.5</v>
      </c>
      <c r="AY284">
        <v>140.5</v>
      </c>
    </row>
    <row r="285" spans="1:51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282</v>
      </c>
      <c r="AK285">
        <v>141</v>
      </c>
      <c r="AY285">
        <v>141</v>
      </c>
    </row>
    <row r="286" spans="1:51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283</v>
      </c>
      <c r="AK286">
        <v>141.5</v>
      </c>
      <c r="AY286">
        <v>141.5</v>
      </c>
    </row>
    <row r="287" spans="1:51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284</v>
      </c>
      <c r="AK287">
        <v>142</v>
      </c>
      <c r="AY287">
        <v>142</v>
      </c>
    </row>
    <row r="288" spans="1:51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285</v>
      </c>
      <c r="AK288">
        <v>142.5</v>
      </c>
      <c r="AY288">
        <v>142.5</v>
      </c>
    </row>
    <row r="289" spans="1:51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286</v>
      </c>
      <c r="AK289">
        <v>143</v>
      </c>
      <c r="AY289">
        <v>143</v>
      </c>
    </row>
    <row r="290" spans="1:51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287</v>
      </c>
      <c r="AK290">
        <v>143.5</v>
      </c>
      <c r="AY290">
        <v>143.5</v>
      </c>
    </row>
    <row r="291" spans="1:51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288</v>
      </c>
      <c r="AK291">
        <v>144</v>
      </c>
      <c r="AY291">
        <v>144</v>
      </c>
    </row>
    <row r="292" spans="1:51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289</v>
      </c>
      <c r="AK292">
        <v>144.5</v>
      </c>
      <c r="AY292">
        <v>144.5</v>
      </c>
    </row>
    <row r="293" spans="1:51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290</v>
      </c>
      <c r="AK293">
        <v>145</v>
      </c>
      <c r="AY293">
        <v>145</v>
      </c>
    </row>
    <row r="294" spans="1:51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291</v>
      </c>
      <c r="AK294">
        <v>145.5</v>
      </c>
      <c r="AY294">
        <v>145.5</v>
      </c>
    </row>
    <row r="295" spans="1:51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292</v>
      </c>
      <c r="AK295">
        <v>146</v>
      </c>
      <c r="AY295">
        <v>146</v>
      </c>
    </row>
    <row r="296" spans="1:51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293</v>
      </c>
      <c r="AK296">
        <v>146.5</v>
      </c>
      <c r="AY296">
        <v>146.5</v>
      </c>
    </row>
    <row r="297" spans="1:51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294</v>
      </c>
      <c r="AK297">
        <v>147</v>
      </c>
      <c r="AY297">
        <v>147</v>
      </c>
    </row>
    <row r="298" spans="1:51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295</v>
      </c>
      <c r="AK298">
        <v>147.5</v>
      </c>
      <c r="AY298">
        <v>147.5</v>
      </c>
    </row>
    <row r="299" spans="1:51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296</v>
      </c>
      <c r="AK299">
        <v>148</v>
      </c>
      <c r="AY299">
        <v>148</v>
      </c>
    </row>
    <row r="300" spans="1:51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297</v>
      </c>
      <c r="AK300">
        <v>148.5</v>
      </c>
      <c r="AY300">
        <v>148.5</v>
      </c>
    </row>
    <row r="301" spans="1:51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298</v>
      </c>
      <c r="AK301">
        <v>149</v>
      </c>
      <c r="AY301">
        <v>149</v>
      </c>
    </row>
    <row r="302" spans="1:51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299</v>
      </c>
      <c r="AK302">
        <v>149.5</v>
      </c>
      <c r="AY302">
        <v>149.5</v>
      </c>
    </row>
    <row r="303" spans="1:51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300</v>
      </c>
      <c r="AK303">
        <v>150</v>
      </c>
      <c r="AY303">
        <v>150</v>
      </c>
    </row>
    <row r="304" spans="1:51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301</v>
      </c>
      <c r="AK304">
        <v>150.5</v>
      </c>
      <c r="AY304">
        <v>150.5</v>
      </c>
    </row>
    <row r="305" spans="1:51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302</v>
      </c>
      <c r="AK305">
        <v>151</v>
      </c>
      <c r="AY305">
        <v>151</v>
      </c>
    </row>
    <row r="306" spans="1:51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303</v>
      </c>
      <c r="AK306">
        <v>151.5</v>
      </c>
      <c r="AY306">
        <v>151.5</v>
      </c>
    </row>
    <row r="307" spans="1:51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304</v>
      </c>
      <c r="AK307">
        <v>152</v>
      </c>
      <c r="AY307">
        <v>152</v>
      </c>
    </row>
    <row r="308" spans="1:51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305</v>
      </c>
      <c r="AK308">
        <v>152.5</v>
      </c>
      <c r="AY308">
        <v>152.5</v>
      </c>
    </row>
    <row r="309" spans="1:51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306</v>
      </c>
      <c r="AK309">
        <v>153</v>
      </c>
      <c r="AY309">
        <v>153</v>
      </c>
    </row>
    <row r="310" spans="1:51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307</v>
      </c>
      <c r="AK310">
        <v>153.5</v>
      </c>
      <c r="AY310">
        <v>153.5</v>
      </c>
    </row>
    <row r="311" spans="1:51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308</v>
      </c>
      <c r="AK311">
        <v>154</v>
      </c>
      <c r="AY311">
        <v>154</v>
      </c>
    </row>
    <row r="312" spans="1:51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309</v>
      </c>
      <c r="AK312">
        <v>154.5</v>
      </c>
      <c r="AY312">
        <v>154.5</v>
      </c>
    </row>
    <row r="313" spans="1:51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310</v>
      </c>
      <c r="AK313">
        <v>155</v>
      </c>
      <c r="AY313">
        <v>155</v>
      </c>
    </row>
    <row r="314" spans="1:51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311</v>
      </c>
      <c r="AK314">
        <v>155.5</v>
      </c>
      <c r="AY314">
        <v>155.5</v>
      </c>
    </row>
    <row r="315" spans="1:51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312</v>
      </c>
      <c r="AK315">
        <v>156</v>
      </c>
      <c r="AY315">
        <v>156</v>
      </c>
    </row>
    <row r="316" spans="1:51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313</v>
      </c>
      <c r="AK316">
        <v>156.5</v>
      </c>
      <c r="AY316">
        <v>156.5</v>
      </c>
    </row>
    <row r="317" spans="1:51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314</v>
      </c>
      <c r="AK317">
        <v>157</v>
      </c>
      <c r="AY317">
        <v>157</v>
      </c>
    </row>
    <row r="318" spans="1:51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315</v>
      </c>
      <c r="AK318">
        <v>157.5</v>
      </c>
      <c r="AY318">
        <v>157.5</v>
      </c>
    </row>
    <row r="319" spans="1:51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316</v>
      </c>
      <c r="AK319">
        <v>158</v>
      </c>
      <c r="AY319">
        <v>158</v>
      </c>
    </row>
    <row r="320" spans="1:51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317</v>
      </c>
      <c r="AK320">
        <v>158.5</v>
      </c>
      <c r="AY320">
        <v>158.5</v>
      </c>
    </row>
    <row r="321" spans="1:51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318</v>
      </c>
      <c r="AK321">
        <v>159</v>
      </c>
      <c r="AY321">
        <v>159</v>
      </c>
    </row>
    <row r="322" spans="1:51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319</v>
      </c>
      <c r="AK322">
        <v>159.5</v>
      </c>
      <c r="AY322">
        <v>159.5</v>
      </c>
    </row>
    <row r="323" spans="1:51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320</v>
      </c>
      <c r="AK323">
        <v>160</v>
      </c>
      <c r="AY323">
        <v>160</v>
      </c>
    </row>
    <row r="324" spans="1:51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321</v>
      </c>
      <c r="AK324">
        <v>160.5</v>
      </c>
      <c r="AY324">
        <v>160.5</v>
      </c>
    </row>
    <row r="325" spans="1:51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322</v>
      </c>
      <c r="AK325">
        <v>161</v>
      </c>
      <c r="AY325">
        <v>161</v>
      </c>
    </row>
    <row r="326" spans="1:51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323</v>
      </c>
      <c r="AK326">
        <v>161.5</v>
      </c>
      <c r="AY326">
        <v>161.5</v>
      </c>
    </row>
    <row r="327" spans="1:51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324</v>
      </c>
      <c r="AK327">
        <v>162</v>
      </c>
      <c r="AY327">
        <v>162</v>
      </c>
    </row>
    <row r="328" spans="1:51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325</v>
      </c>
      <c r="AK328">
        <v>162.5</v>
      </c>
      <c r="AY328">
        <v>162.5</v>
      </c>
    </row>
    <row r="329" spans="1:51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326</v>
      </c>
      <c r="AK329">
        <v>163</v>
      </c>
      <c r="AY329">
        <v>163</v>
      </c>
    </row>
    <row r="330" spans="1:51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327</v>
      </c>
      <c r="AK330">
        <v>163.5</v>
      </c>
      <c r="AY330">
        <v>163.5</v>
      </c>
    </row>
    <row r="331" spans="1:51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328</v>
      </c>
      <c r="AK331">
        <v>164</v>
      </c>
      <c r="AY331">
        <v>164</v>
      </c>
    </row>
    <row r="332" spans="1:51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329</v>
      </c>
      <c r="AK332">
        <v>164.5</v>
      </c>
      <c r="AY332">
        <v>164.5</v>
      </c>
    </row>
    <row r="333" spans="1:51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330</v>
      </c>
      <c r="AK333">
        <v>165</v>
      </c>
      <c r="AY333">
        <v>165</v>
      </c>
    </row>
    <row r="334" spans="1:51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331</v>
      </c>
      <c r="AK334">
        <v>165.5</v>
      </c>
      <c r="AY334">
        <v>165.5</v>
      </c>
    </row>
    <row r="335" spans="1:51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332</v>
      </c>
      <c r="AK335">
        <v>166</v>
      </c>
      <c r="AY335">
        <v>166</v>
      </c>
    </row>
    <row r="336" spans="1:51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333</v>
      </c>
      <c r="AK336">
        <v>166.5</v>
      </c>
      <c r="AY336">
        <v>166.5</v>
      </c>
    </row>
    <row r="337" spans="1:51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334</v>
      </c>
      <c r="AK337">
        <v>167</v>
      </c>
      <c r="AY337">
        <v>167</v>
      </c>
    </row>
    <row r="338" spans="1:51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335</v>
      </c>
      <c r="AK338">
        <v>167.5</v>
      </c>
      <c r="AY338">
        <v>167.5</v>
      </c>
    </row>
    <row r="339" spans="1:51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336</v>
      </c>
      <c r="AK339">
        <v>168</v>
      </c>
      <c r="AY339">
        <v>168</v>
      </c>
    </row>
    <row r="340" spans="1:51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337</v>
      </c>
      <c r="AK340">
        <v>168.5</v>
      </c>
      <c r="AY340">
        <v>168.5</v>
      </c>
    </row>
    <row r="341" spans="1:51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338</v>
      </c>
      <c r="AK341">
        <v>169</v>
      </c>
      <c r="AY341">
        <v>169</v>
      </c>
    </row>
    <row r="342" spans="1:51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339</v>
      </c>
      <c r="AK342">
        <v>169.5</v>
      </c>
      <c r="AY342">
        <v>169.5</v>
      </c>
    </row>
    <row r="343" spans="1:51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340</v>
      </c>
      <c r="AK343">
        <v>170</v>
      </c>
      <c r="AY343">
        <v>170</v>
      </c>
    </row>
    <row r="344" spans="1:51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341</v>
      </c>
      <c r="AK344">
        <v>170.5</v>
      </c>
      <c r="AY344">
        <v>170.5</v>
      </c>
    </row>
    <row r="345" spans="1:51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342</v>
      </c>
      <c r="AK345">
        <v>171</v>
      </c>
      <c r="AY345">
        <v>171</v>
      </c>
    </row>
    <row r="346" spans="1:51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343</v>
      </c>
      <c r="AK346">
        <v>171.5</v>
      </c>
      <c r="AY346">
        <v>171.5</v>
      </c>
    </row>
    <row r="347" spans="1:51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344</v>
      </c>
      <c r="AK347">
        <v>172</v>
      </c>
      <c r="AY347">
        <v>172</v>
      </c>
    </row>
    <row r="348" spans="1:51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345</v>
      </c>
      <c r="AK348">
        <v>172.5</v>
      </c>
      <c r="AY348">
        <v>172.5</v>
      </c>
    </row>
    <row r="349" spans="1:51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346</v>
      </c>
      <c r="AK349">
        <v>173</v>
      </c>
      <c r="AY349">
        <v>173</v>
      </c>
    </row>
    <row r="350" spans="1:51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347</v>
      </c>
      <c r="AK350">
        <v>173.5</v>
      </c>
      <c r="AY350">
        <v>173.5</v>
      </c>
    </row>
    <row r="351" spans="1:51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348</v>
      </c>
      <c r="AK351">
        <v>174</v>
      </c>
      <c r="AY351">
        <v>174</v>
      </c>
    </row>
    <row r="352" spans="1:51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349</v>
      </c>
      <c r="AK352">
        <v>174.5</v>
      </c>
      <c r="AY352">
        <v>174.5</v>
      </c>
    </row>
    <row r="353" spans="1:51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350</v>
      </c>
      <c r="AK353">
        <v>175</v>
      </c>
      <c r="AY353">
        <v>175</v>
      </c>
    </row>
    <row r="354" spans="1:51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351</v>
      </c>
      <c r="AK354">
        <v>175.5</v>
      </c>
      <c r="AY354">
        <v>175.5</v>
      </c>
    </row>
    <row r="355" spans="1:51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352</v>
      </c>
      <c r="AK355">
        <v>176</v>
      </c>
      <c r="AY355">
        <v>176</v>
      </c>
    </row>
    <row r="356" spans="1:51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353</v>
      </c>
      <c r="AK356">
        <v>176.5</v>
      </c>
      <c r="AY356">
        <v>176.5</v>
      </c>
    </row>
    <row r="357" spans="1:51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354</v>
      </c>
      <c r="AK357">
        <v>177</v>
      </c>
      <c r="AY357">
        <v>177</v>
      </c>
    </row>
    <row r="358" spans="1:51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355</v>
      </c>
      <c r="AK358">
        <v>177.5</v>
      </c>
      <c r="AY358">
        <v>177.5</v>
      </c>
    </row>
    <row r="359" spans="1:51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356</v>
      </c>
      <c r="AK359">
        <v>178</v>
      </c>
      <c r="AY359">
        <v>178</v>
      </c>
    </row>
    <row r="360" spans="1:51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357</v>
      </c>
      <c r="AK360">
        <v>178.5</v>
      </c>
      <c r="AY360">
        <v>178.5</v>
      </c>
    </row>
    <row r="361" spans="1:51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358</v>
      </c>
      <c r="AK361">
        <v>179</v>
      </c>
      <c r="AY361">
        <v>179</v>
      </c>
    </row>
    <row r="362" spans="1:51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359</v>
      </c>
      <c r="AK362">
        <v>179.5</v>
      </c>
      <c r="AY362">
        <v>179.5</v>
      </c>
    </row>
    <row r="363" spans="1:51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360</v>
      </c>
      <c r="AK363">
        <v>180</v>
      </c>
      <c r="AY363">
        <v>180</v>
      </c>
    </row>
    <row r="364" spans="1:51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361</v>
      </c>
      <c r="AK364">
        <v>180.5</v>
      </c>
      <c r="AY364">
        <v>180.5</v>
      </c>
    </row>
    <row r="365" spans="1:51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362</v>
      </c>
      <c r="AK365">
        <v>181</v>
      </c>
      <c r="AY365">
        <v>181</v>
      </c>
    </row>
    <row r="366" spans="1:51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363</v>
      </c>
      <c r="AK366">
        <v>181.5</v>
      </c>
      <c r="AY366">
        <v>181.5</v>
      </c>
    </row>
    <row r="367" spans="1:51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364</v>
      </c>
      <c r="AK367">
        <v>182</v>
      </c>
      <c r="AY367">
        <v>182</v>
      </c>
    </row>
    <row r="368" spans="1:51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365</v>
      </c>
      <c r="AK368">
        <v>182.5</v>
      </c>
      <c r="AY368">
        <v>182.5</v>
      </c>
    </row>
    <row r="369" spans="1:51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366</v>
      </c>
      <c r="AK369">
        <v>183</v>
      </c>
      <c r="AY369">
        <v>183</v>
      </c>
    </row>
    <row r="370" spans="1:51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367</v>
      </c>
      <c r="AK370">
        <v>183.5</v>
      </c>
      <c r="AY370">
        <v>183.5</v>
      </c>
    </row>
    <row r="371" spans="1:51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368</v>
      </c>
      <c r="AK371">
        <v>184</v>
      </c>
      <c r="AY371">
        <v>184</v>
      </c>
    </row>
    <row r="372" spans="1:51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369</v>
      </c>
      <c r="AK372">
        <v>184.5</v>
      </c>
      <c r="AY372">
        <v>184.5</v>
      </c>
    </row>
    <row r="373" spans="1:51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370</v>
      </c>
      <c r="AK373">
        <v>185</v>
      </c>
      <c r="AY373">
        <v>185</v>
      </c>
    </row>
    <row r="374" spans="1:51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371</v>
      </c>
      <c r="AK374">
        <v>185.5</v>
      </c>
      <c r="AY374">
        <v>185.5</v>
      </c>
    </row>
    <row r="375" spans="1:51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372</v>
      </c>
      <c r="AK375">
        <v>186</v>
      </c>
      <c r="AY375">
        <v>186</v>
      </c>
    </row>
    <row r="376" spans="1:51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373</v>
      </c>
      <c r="AK376">
        <v>186.5</v>
      </c>
      <c r="AY376">
        <v>186.5</v>
      </c>
    </row>
    <row r="377" spans="1:51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374</v>
      </c>
      <c r="AK377">
        <v>187</v>
      </c>
      <c r="AY377">
        <v>187</v>
      </c>
    </row>
    <row r="378" spans="1:51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375</v>
      </c>
      <c r="AK378">
        <v>187.5</v>
      </c>
      <c r="AY378">
        <v>187.5</v>
      </c>
    </row>
    <row r="379" spans="1:51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376</v>
      </c>
      <c r="AK379">
        <v>188</v>
      </c>
      <c r="AY379">
        <v>188</v>
      </c>
    </row>
    <row r="380" spans="1:51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377</v>
      </c>
      <c r="AK380">
        <v>188.5</v>
      </c>
      <c r="AY380">
        <v>188.5</v>
      </c>
    </row>
    <row r="381" spans="1:51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378</v>
      </c>
      <c r="AK381">
        <v>189</v>
      </c>
      <c r="AY381">
        <v>189</v>
      </c>
    </row>
    <row r="382" spans="1:51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379</v>
      </c>
      <c r="AK382">
        <v>189.5</v>
      </c>
      <c r="AY382">
        <v>189.5</v>
      </c>
    </row>
    <row r="383" spans="1:51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380</v>
      </c>
      <c r="AK383">
        <v>190</v>
      </c>
      <c r="AY383">
        <v>190</v>
      </c>
    </row>
    <row r="384" spans="1:51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381</v>
      </c>
      <c r="AK384">
        <v>190.5</v>
      </c>
      <c r="AY384">
        <v>190.5</v>
      </c>
    </row>
    <row r="385" spans="1:51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382</v>
      </c>
      <c r="AK385">
        <v>191</v>
      </c>
      <c r="AY385">
        <v>191</v>
      </c>
    </row>
    <row r="386" spans="1:51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383</v>
      </c>
      <c r="AK386">
        <v>191.5</v>
      </c>
      <c r="AY386">
        <v>191.5</v>
      </c>
    </row>
    <row r="387" spans="1:51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384</v>
      </c>
      <c r="AK387">
        <v>192</v>
      </c>
      <c r="AY387">
        <v>192</v>
      </c>
    </row>
    <row r="388" spans="1:51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385</v>
      </c>
      <c r="AK388">
        <v>192.5</v>
      </c>
      <c r="AY388">
        <v>192.5</v>
      </c>
    </row>
    <row r="389" spans="1:51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386</v>
      </c>
      <c r="AK389">
        <v>193</v>
      </c>
      <c r="AY389">
        <v>193</v>
      </c>
    </row>
    <row r="390" spans="1:51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387</v>
      </c>
      <c r="AK390">
        <v>193.5</v>
      </c>
      <c r="AY390">
        <v>193.5</v>
      </c>
    </row>
    <row r="391" spans="1:51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388</v>
      </c>
      <c r="AK391">
        <v>194</v>
      </c>
      <c r="AY391">
        <v>194</v>
      </c>
    </row>
    <row r="392" spans="1:51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389</v>
      </c>
      <c r="AK392">
        <v>194.5</v>
      </c>
      <c r="AY392">
        <v>194.5</v>
      </c>
    </row>
    <row r="393" spans="1:51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390</v>
      </c>
      <c r="AK393">
        <v>195</v>
      </c>
      <c r="AY393">
        <v>195</v>
      </c>
    </row>
    <row r="394" spans="1:51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391</v>
      </c>
      <c r="AK394">
        <v>195.5</v>
      </c>
      <c r="AY394">
        <v>195.5</v>
      </c>
    </row>
    <row r="395" spans="1:51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392</v>
      </c>
      <c r="AK395">
        <v>196</v>
      </c>
      <c r="AY395">
        <v>196</v>
      </c>
    </row>
    <row r="396" spans="1:51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393</v>
      </c>
      <c r="AK396">
        <v>196.5</v>
      </c>
      <c r="AY396">
        <v>196.5</v>
      </c>
    </row>
    <row r="397" spans="1:51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394</v>
      </c>
      <c r="AK397">
        <v>197</v>
      </c>
      <c r="AY397">
        <v>197</v>
      </c>
    </row>
    <row r="398" spans="1:51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395</v>
      </c>
      <c r="AK398">
        <v>197.5</v>
      </c>
      <c r="AY398">
        <v>197.5</v>
      </c>
    </row>
    <row r="399" spans="1:51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396</v>
      </c>
      <c r="AK399">
        <v>198</v>
      </c>
      <c r="AY399">
        <v>198</v>
      </c>
    </row>
    <row r="400" spans="1:51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397</v>
      </c>
      <c r="AK400">
        <v>198.5</v>
      </c>
      <c r="AY400">
        <v>198.5</v>
      </c>
    </row>
    <row r="401" spans="1:51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398</v>
      </c>
      <c r="AK401">
        <v>199</v>
      </c>
      <c r="AY401">
        <v>199</v>
      </c>
    </row>
    <row r="402" spans="1:51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399</v>
      </c>
      <c r="AK402">
        <v>199.5</v>
      </c>
      <c r="AY402">
        <v>199.5</v>
      </c>
    </row>
    <row r="403" spans="1:51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400</v>
      </c>
      <c r="AK403">
        <v>200</v>
      </c>
      <c r="AY403">
        <v>200</v>
      </c>
    </row>
    <row r="404" spans="1:51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401</v>
      </c>
      <c r="AK404">
        <v>200.5</v>
      </c>
      <c r="AY404">
        <v>200.5</v>
      </c>
    </row>
    <row r="405" spans="1:51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402</v>
      </c>
      <c r="AK405">
        <v>201</v>
      </c>
      <c r="AY405">
        <v>201</v>
      </c>
    </row>
    <row r="406" spans="1:51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403</v>
      </c>
      <c r="AK406">
        <v>201.5</v>
      </c>
      <c r="AY406">
        <v>201.5</v>
      </c>
    </row>
    <row r="407" spans="1:51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404</v>
      </c>
      <c r="AK407">
        <v>202</v>
      </c>
      <c r="AY407">
        <v>202</v>
      </c>
    </row>
    <row r="408" spans="1:51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405</v>
      </c>
      <c r="AK408">
        <v>202.5</v>
      </c>
      <c r="AY408">
        <v>202.5</v>
      </c>
    </row>
    <row r="409" spans="1:51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406</v>
      </c>
      <c r="AK409">
        <v>203</v>
      </c>
      <c r="AY409">
        <v>203</v>
      </c>
    </row>
    <row r="410" spans="1:51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407</v>
      </c>
      <c r="AK410">
        <v>203.5</v>
      </c>
      <c r="AY410">
        <v>203.5</v>
      </c>
    </row>
    <row r="411" spans="1:51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408</v>
      </c>
      <c r="AK411">
        <v>204</v>
      </c>
      <c r="AY411">
        <v>204</v>
      </c>
    </row>
    <row r="412" spans="1:51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409</v>
      </c>
      <c r="AK412">
        <v>204.5</v>
      </c>
      <c r="AY412">
        <v>204.5</v>
      </c>
    </row>
    <row r="413" spans="1:51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410</v>
      </c>
      <c r="AK413">
        <v>205</v>
      </c>
      <c r="AY413">
        <v>205</v>
      </c>
    </row>
    <row r="414" spans="1:51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411</v>
      </c>
      <c r="AK414">
        <v>205.5</v>
      </c>
      <c r="AY414">
        <v>205.5</v>
      </c>
    </row>
    <row r="415" spans="1:51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412</v>
      </c>
      <c r="AK415">
        <v>206</v>
      </c>
      <c r="AY415">
        <v>206</v>
      </c>
    </row>
    <row r="416" spans="1:51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413</v>
      </c>
      <c r="AK416">
        <v>206.5</v>
      </c>
      <c r="AY416">
        <v>206.5</v>
      </c>
    </row>
    <row r="417" spans="1:51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414</v>
      </c>
      <c r="AK417">
        <v>207</v>
      </c>
      <c r="AY417">
        <v>207</v>
      </c>
    </row>
    <row r="418" spans="1:51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415</v>
      </c>
      <c r="AK418">
        <v>207.5</v>
      </c>
      <c r="AY418">
        <v>207.5</v>
      </c>
    </row>
    <row r="419" spans="1:51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416</v>
      </c>
      <c r="AK419">
        <v>208</v>
      </c>
      <c r="AY419">
        <v>208</v>
      </c>
    </row>
    <row r="420" spans="1:51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417</v>
      </c>
      <c r="AK420">
        <v>208.5</v>
      </c>
      <c r="AY420">
        <v>208.5</v>
      </c>
    </row>
    <row r="421" spans="1:51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418</v>
      </c>
      <c r="AK421">
        <v>209</v>
      </c>
      <c r="AY421">
        <v>209</v>
      </c>
    </row>
    <row r="422" spans="1:51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419</v>
      </c>
      <c r="AK422">
        <v>209.5</v>
      </c>
      <c r="AY422">
        <v>209.5</v>
      </c>
    </row>
    <row r="423" spans="1:51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420</v>
      </c>
      <c r="AK423">
        <v>210</v>
      </c>
      <c r="AY423">
        <v>210</v>
      </c>
    </row>
    <row r="424" spans="1:51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421</v>
      </c>
      <c r="AK424">
        <v>210.5</v>
      </c>
      <c r="AY424">
        <v>210.5</v>
      </c>
    </row>
    <row r="425" spans="1:51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422</v>
      </c>
      <c r="AK425">
        <v>211</v>
      </c>
      <c r="AY425">
        <v>211</v>
      </c>
    </row>
    <row r="426" spans="1:51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423</v>
      </c>
      <c r="AK426">
        <v>211.5</v>
      </c>
      <c r="AY426">
        <v>211.5</v>
      </c>
    </row>
    <row r="427" spans="1:51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424</v>
      </c>
      <c r="AK427">
        <v>212</v>
      </c>
      <c r="AY427">
        <v>212</v>
      </c>
    </row>
    <row r="428" spans="1:51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425</v>
      </c>
      <c r="AK428">
        <v>212.5</v>
      </c>
      <c r="AY428">
        <v>212.5</v>
      </c>
    </row>
    <row r="429" spans="1:51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426</v>
      </c>
      <c r="AK429">
        <v>213</v>
      </c>
      <c r="AY429">
        <v>213</v>
      </c>
    </row>
    <row r="430" spans="1:51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427</v>
      </c>
      <c r="AK430">
        <v>213.5</v>
      </c>
      <c r="AY430">
        <v>213.5</v>
      </c>
    </row>
    <row r="431" spans="1:51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428</v>
      </c>
      <c r="AK431">
        <v>214</v>
      </c>
      <c r="AY431">
        <v>214</v>
      </c>
    </row>
    <row r="432" spans="1:51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429</v>
      </c>
      <c r="AK432">
        <v>214.5</v>
      </c>
      <c r="AY432">
        <v>214.5</v>
      </c>
    </row>
    <row r="433" spans="1:51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430</v>
      </c>
      <c r="AK433">
        <v>215</v>
      </c>
      <c r="AY433">
        <v>215</v>
      </c>
    </row>
    <row r="434" spans="1:51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431</v>
      </c>
      <c r="AK434">
        <v>215.5</v>
      </c>
      <c r="AY434">
        <v>215.5</v>
      </c>
    </row>
    <row r="435" spans="1:51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432</v>
      </c>
      <c r="AK435">
        <v>216</v>
      </c>
      <c r="AY435">
        <v>216</v>
      </c>
    </row>
    <row r="436" spans="1:51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433</v>
      </c>
      <c r="AK436">
        <v>216.5</v>
      </c>
      <c r="AY436">
        <v>216.5</v>
      </c>
    </row>
    <row r="437" spans="1:51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434</v>
      </c>
      <c r="AK437">
        <v>217</v>
      </c>
      <c r="AY437">
        <v>217</v>
      </c>
    </row>
    <row r="438" spans="1:51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435</v>
      </c>
      <c r="AK438">
        <v>217.5</v>
      </c>
      <c r="AY438">
        <v>217.5</v>
      </c>
    </row>
    <row r="439" spans="1:51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436</v>
      </c>
      <c r="AK439">
        <v>218</v>
      </c>
      <c r="AY439">
        <v>218</v>
      </c>
    </row>
    <row r="440" spans="1:51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437</v>
      </c>
      <c r="AK440">
        <v>218.5</v>
      </c>
      <c r="AY440">
        <v>218.5</v>
      </c>
    </row>
    <row r="441" spans="1:51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438</v>
      </c>
      <c r="AK441">
        <v>219</v>
      </c>
      <c r="AY441">
        <v>219</v>
      </c>
    </row>
    <row r="442" spans="1:51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439</v>
      </c>
      <c r="AK442">
        <v>219.5</v>
      </c>
      <c r="AY442">
        <v>219.5</v>
      </c>
    </row>
    <row r="443" spans="1:51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440</v>
      </c>
      <c r="AK443">
        <v>220</v>
      </c>
      <c r="AY443">
        <v>220</v>
      </c>
    </row>
    <row r="444" spans="1:51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441</v>
      </c>
      <c r="AK444">
        <v>220.5</v>
      </c>
      <c r="AY444">
        <v>220.5</v>
      </c>
    </row>
    <row r="445" spans="1:51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442</v>
      </c>
      <c r="AK445">
        <v>221</v>
      </c>
      <c r="AY445">
        <v>221</v>
      </c>
    </row>
    <row r="446" spans="1:51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443</v>
      </c>
      <c r="AK446">
        <v>221.5</v>
      </c>
      <c r="AY446">
        <v>221.5</v>
      </c>
    </row>
    <row r="447" spans="1:51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444</v>
      </c>
      <c r="AK447">
        <v>222</v>
      </c>
      <c r="AY447">
        <v>222</v>
      </c>
    </row>
    <row r="448" spans="1:51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445</v>
      </c>
      <c r="AK448">
        <v>222.5</v>
      </c>
      <c r="AY448">
        <v>222.5</v>
      </c>
    </row>
    <row r="449" spans="1:51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446</v>
      </c>
      <c r="AK449">
        <v>223</v>
      </c>
      <c r="AY449">
        <v>223</v>
      </c>
    </row>
    <row r="450" spans="1:51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447</v>
      </c>
      <c r="AK450">
        <v>223.5</v>
      </c>
      <c r="AY450">
        <v>223.5</v>
      </c>
    </row>
    <row r="451" spans="1:51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448</v>
      </c>
      <c r="AK451">
        <v>224</v>
      </c>
      <c r="AY451">
        <v>224</v>
      </c>
    </row>
    <row r="452" spans="1:51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449</v>
      </c>
      <c r="AK452">
        <v>224.5</v>
      </c>
      <c r="AY452">
        <v>224.5</v>
      </c>
    </row>
    <row r="453" spans="1:51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450</v>
      </c>
      <c r="AK453">
        <v>225</v>
      </c>
      <c r="AY453">
        <v>225</v>
      </c>
    </row>
    <row r="454" spans="1:51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451</v>
      </c>
      <c r="AK454">
        <v>225.5</v>
      </c>
      <c r="AY454">
        <v>225.5</v>
      </c>
    </row>
    <row r="455" spans="1:51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452</v>
      </c>
      <c r="AK455">
        <v>226</v>
      </c>
      <c r="AY455">
        <v>226</v>
      </c>
    </row>
    <row r="456" spans="1:51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453</v>
      </c>
      <c r="AK456">
        <v>226.5</v>
      </c>
      <c r="AY456">
        <v>226.5</v>
      </c>
    </row>
    <row r="457" spans="1:51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454</v>
      </c>
      <c r="AK457">
        <v>227</v>
      </c>
      <c r="AY457">
        <v>227</v>
      </c>
    </row>
    <row r="458" spans="1:51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455</v>
      </c>
      <c r="AK458">
        <v>227.5</v>
      </c>
      <c r="AY458">
        <v>227.5</v>
      </c>
    </row>
    <row r="459" spans="1:51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456</v>
      </c>
      <c r="AK459">
        <v>228</v>
      </c>
      <c r="AY459">
        <v>228</v>
      </c>
    </row>
    <row r="460" spans="1:51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457</v>
      </c>
      <c r="AK460">
        <v>228.5</v>
      </c>
      <c r="AY460">
        <v>228.5</v>
      </c>
    </row>
    <row r="461" spans="1:51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458</v>
      </c>
      <c r="AK461">
        <v>229</v>
      </c>
      <c r="AY461">
        <v>229</v>
      </c>
    </row>
    <row r="462" spans="1:51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459</v>
      </c>
      <c r="AK462">
        <v>229.5</v>
      </c>
      <c r="AY462">
        <v>229.5</v>
      </c>
    </row>
    <row r="463" spans="1:51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460</v>
      </c>
      <c r="AK463">
        <v>230</v>
      </c>
      <c r="AY463">
        <v>230</v>
      </c>
    </row>
    <row r="464" spans="1:51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461</v>
      </c>
      <c r="AK464">
        <v>230.5</v>
      </c>
      <c r="AY464">
        <v>230.5</v>
      </c>
    </row>
    <row r="465" spans="1:51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462</v>
      </c>
      <c r="AK465">
        <v>231</v>
      </c>
      <c r="AY465">
        <v>231</v>
      </c>
    </row>
    <row r="466" spans="1:51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463</v>
      </c>
      <c r="AK466">
        <v>231.5</v>
      </c>
      <c r="AY466">
        <v>231.5</v>
      </c>
    </row>
    <row r="467" spans="1:51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464</v>
      </c>
      <c r="AK467">
        <v>232</v>
      </c>
      <c r="AY467">
        <v>232</v>
      </c>
    </row>
    <row r="468" spans="1:51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465</v>
      </c>
      <c r="AK468">
        <v>232.5</v>
      </c>
      <c r="AY468">
        <v>232.5</v>
      </c>
    </row>
    <row r="469" spans="1:51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466</v>
      </c>
      <c r="AK469">
        <v>233</v>
      </c>
      <c r="AY469">
        <v>233</v>
      </c>
    </row>
    <row r="470" spans="1:51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467</v>
      </c>
      <c r="AK470">
        <v>233.5</v>
      </c>
      <c r="AY470">
        <v>233.5</v>
      </c>
    </row>
    <row r="471" spans="1:51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468</v>
      </c>
      <c r="AK471">
        <v>234</v>
      </c>
      <c r="AY471">
        <v>234</v>
      </c>
    </row>
    <row r="472" spans="1:51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469</v>
      </c>
      <c r="AK472">
        <v>234.5</v>
      </c>
      <c r="AY472">
        <v>234.5</v>
      </c>
    </row>
    <row r="473" spans="1:51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470</v>
      </c>
      <c r="AK473">
        <v>235</v>
      </c>
      <c r="AY473">
        <v>235</v>
      </c>
    </row>
    <row r="474" spans="1:51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471</v>
      </c>
      <c r="AK474">
        <v>235.5</v>
      </c>
      <c r="AY474">
        <v>235.5</v>
      </c>
    </row>
    <row r="475" spans="1:51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472</v>
      </c>
      <c r="AK475">
        <v>236</v>
      </c>
      <c r="AY475">
        <v>236</v>
      </c>
    </row>
    <row r="476" spans="1:51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473</v>
      </c>
      <c r="AK476">
        <v>236.5</v>
      </c>
      <c r="AY476">
        <v>236.5</v>
      </c>
    </row>
    <row r="477" spans="1:51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474</v>
      </c>
      <c r="AK477">
        <v>237</v>
      </c>
      <c r="AY477">
        <v>237</v>
      </c>
    </row>
    <row r="478" spans="1:51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475</v>
      </c>
      <c r="AK478">
        <v>237.5</v>
      </c>
      <c r="AY478">
        <v>237.5</v>
      </c>
    </row>
    <row r="479" spans="1:51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476</v>
      </c>
      <c r="AK479">
        <v>238</v>
      </c>
      <c r="AY479">
        <v>238</v>
      </c>
    </row>
    <row r="480" spans="1:51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477</v>
      </c>
      <c r="AK480">
        <v>238.5</v>
      </c>
      <c r="AY480">
        <v>238.5</v>
      </c>
    </row>
    <row r="481" spans="1:51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478</v>
      </c>
      <c r="AK481">
        <v>239</v>
      </c>
      <c r="AY481">
        <v>239</v>
      </c>
    </row>
    <row r="482" spans="1:51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479</v>
      </c>
      <c r="AK482">
        <v>239.5</v>
      </c>
      <c r="AY482">
        <v>239.5</v>
      </c>
    </row>
    <row r="483" spans="1:51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480</v>
      </c>
      <c r="AK483">
        <v>240</v>
      </c>
      <c r="AY483">
        <v>240</v>
      </c>
    </row>
    <row r="484" spans="1:51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481</v>
      </c>
      <c r="AK484">
        <v>240.5</v>
      </c>
      <c r="AY484">
        <v>240.5</v>
      </c>
    </row>
    <row r="485" spans="1:51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482</v>
      </c>
      <c r="AK485">
        <v>241</v>
      </c>
      <c r="AY485">
        <v>241</v>
      </c>
    </row>
    <row r="486" spans="1:51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483</v>
      </c>
      <c r="AK486">
        <v>241.5</v>
      </c>
      <c r="AY486">
        <v>241.5</v>
      </c>
    </row>
    <row r="487" spans="1:51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484</v>
      </c>
      <c r="AK487">
        <v>242</v>
      </c>
      <c r="AY487">
        <v>242</v>
      </c>
    </row>
    <row r="488" spans="1:51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485</v>
      </c>
      <c r="AK488">
        <v>242.5</v>
      </c>
      <c r="AY488">
        <v>242.5</v>
      </c>
    </row>
    <row r="489" spans="1:51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486</v>
      </c>
      <c r="AK489">
        <v>243</v>
      </c>
      <c r="AY489">
        <v>243</v>
      </c>
    </row>
    <row r="490" spans="1:51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487</v>
      </c>
      <c r="AK490">
        <v>243.5</v>
      </c>
      <c r="AY490">
        <v>243.5</v>
      </c>
    </row>
    <row r="491" spans="1:51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488</v>
      </c>
      <c r="AK491">
        <v>244</v>
      </c>
      <c r="AY491">
        <v>244</v>
      </c>
    </row>
    <row r="492" spans="1:51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489</v>
      </c>
      <c r="AK492">
        <v>244.5</v>
      </c>
      <c r="AY492">
        <v>244.5</v>
      </c>
    </row>
    <row r="493" spans="1:51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490</v>
      </c>
      <c r="AK493">
        <v>245</v>
      </c>
      <c r="AY493">
        <v>245</v>
      </c>
    </row>
    <row r="494" spans="1:51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491</v>
      </c>
      <c r="AK494">
        <v>245.5</v>
      </c>
      <c r="AY494">
        <v>245.5</v>
      </c>
    </row>
    <row r="495" spans="1:51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492</v>
      </c>
      <c r="AK495">
        <v>246</v>
      </c>
      <c r="AY495">
        <v>246</v>
      </c>
    </row>
    <row r="496" spans="1:51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493</v>
      </c>
      <c r="AK496">
        <v>246.5</v>
      </c>
      <c r="AY496">
        <v>246.5</v>
      </c>
    </row>
    <row r="497" spans="1:51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494</v>
      </c>
      <c r="AK497">
        <v>247</v>
      </c>
      <c r="AY497">
        <v>247</v>
      </c>
    </row>
    <row r="498" spans="1:51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495</v>
      </c>
      <c r="AK498">
        <v>247.5</v>
      </c>
      <c r="AY498">
        <v>247.5</v>
      </c>
    </row>
    <row r="499" spans="1:51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496</v>
      </c>
      <c r="AK499">
        <v>248</v>
      </c>
      <c r="AY499">
        <v>248</v>
      </c>
    </row>
    <row r="500" spans="1:51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497</v>
      </c>
      <c r="AK500">
        <v>248.5</v>
      </c>
      <c r="AY500">
        <v>248.5</v>
      </c>
    </row>
    <row r="501" spans="1:51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498</v>
      </c>
      <c r="AK501">
        <v>249</v>
      </c>
      <c r="AY501">
        <v>249</v>
      </c>
    </row>
    <row r="502" spans="1:51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499</v>
      </c>
      <c r="AK502">
        <v>249.5</v>
      </c>
      <c r="AY502">
        <v>249.5</v>
      </c>
    </row>
    <row r="503" spans="1:51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500</v>
      </c>
      <c r="AK503">
        <v>250</v>
      </c>
      <c r="AY503">
        <v>250</v>
      </c>
    </row>
    <row r="504" spans="1:51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501</v>
      </c>
      <c r="AK504">
        <v>250.5</v>
      </c>
      <c r="AY504">
        <v>250.5</v>
      </c>
    </row>
    <row r="505" spans="1:51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502</v>
      </c>
      <c r="AK505">
        <v>251</v>
      </c>
      <c r="AY505">
        <v>251</v>
      </c>
    </row>
    <row r="506" spans="1:51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503</v>
      </c>
      <c r="AK506">
        <v>251.5</v>
      </c>
      <c r="AY506">
        <v>251.5</v>
      </c>
    </row>
    <row r="507" spans="1:51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504</v>
      </c>
      <c r="AK507">
        <v>252</v>
      </c>
      <c r="AY507">
        <v>252</v>
      </c>
    </row>
    <row r="508" spans="1:51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505</v>
      </c>
      <c r="AK508">
        <v>252.5</v>
      </c>
      <c r="AY508">
        <v>252.5</v>
      </c>
    </row>
    <row r="509" spans="1:51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506</v>
      </c>
      <c r="AK509">
        <v>253</v>
      </c>
      <c r="AY509">
        <v>253</v>
      </c>
    </row>
    <row r="510" spans="1:51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507</v>
      </c>
      <c r="AK510">
        <v>253.5</v>
      </c>
      <c r="AY510">
        <v>253.5</v>
      </c>
    </row>
    <row r="511" spans="1:51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508</v>
      </c>
      <c r="AK511">
        <v>254</v>
      </c>
      <c r="AY511">
        <v>254</v>
      </c>
    </row>
    <row r="512" spans="1:51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509</v>
      </c>
      <c r="AK512">
        <v>254.5</v>
      </c>
      <c r="AY512">
        <v>254.5</v>
      </c>
    </row>
    <row r="513" spans="1:51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510</v>
      </c>
      <c r="AK513">
        <v>255</v>
      </c>
      <c r="AY513">
        <v>255</v>
      </c>
    </row>
    <row r="514" spans="1:51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511</v>
      </c>
      <c r="AK514">
        <v>255.5</v>
      </c>
      <c r="AY514">
        <v>255.5</v>
      </c>
    </row>
    <row r="515" spans="1:51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512</v>
      </c>
      <c r="AK515">
        <v>256</v>
      </c>
      <c r="AY515">
        <v>256</v>
      </c>
    </row>
    <row r="516" spans="1:51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513</v>
      </c>
      <c r="AK516">
        <v>256.5</v>
      </c>
      <c r="AY516">
        <v>256.5</v>
      </c>
    </row>
    <row r="517" spans="1:51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514</v>
      </c>
      <c r="AK517">
        <v>257</v>
      </c>
      <c r="AY517">
        <v>257</v>
      </c>
    </row>
    <row r="518" spans="1:51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515</v>
      </c>
      <c r="AK518">
        <v>257.5</v>
      </c>
      <c r="AY518">
        <v>257.5</v>
      </c>
    </row>
    <row r="519" spans="1:51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516</v>
      </c>
      <c r="AK519">
        <v>258</v>
      </c>
      <c r="AY519">
        <v>258</v>
      </c>
    </row>
    <row r="520" spans="1:51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517</v>
      </c>
      <c r="AK520">
        <v>258.5</v>
      </c>
      <c r="AY520">
        <v>258.5</v>
      </c>
    </row>
    <row r="521" spans="1:51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518</v>
      </c>
      <c r="AK521">
        <v>259</v>
      </c>
      <c r="AY521">
        <v>259</v>
      </c>
    </row>
    <row r="522" spans="1:51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519</v>
      </c>
      <c r="AK522">
        <v>259.5</v>
      </c>
      <c r="AY522">
        <v>259.5</v>
      </c>
    </row>
    <row r="523" spans="1:51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520</v>
      </c>
      <c r="AK523">
        <v>260</v>
      </c>
      <c r="AY523">
        <v>260</v>
      </c>
    </row>
    <row r="524" spans="1:51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521</v>
      </c>
      <c r="AK524">
        <v>260.5</v>
      </c>
      <c r="AY524">
        <v>260.5</v>
      </c>
    </row>
    <row r="525" spans="1:51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522</v>
      </c>
      <c r="AK525">
        <v>261</v>
      </c>
      <c r="AY525">
        <v>261</v>
      </c>
    </row>
    <row r="526" spans="1:51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523</v>
      </c>
      <c r="AK526">
        <v>261.5</v>
      </c>
      <c r="AY526">
        <v>261.5</v>
      </c>
    </row>
    <row r="527" spans="1:51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524</v>
      </c>
      <c r="AK527">
        <v>262</v>
      </c>
      <c r="AY527">
        <v>262</v>
      </c>
    </row>
    <row r="528" spans="1:51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525</v>
      </c>
      <c r="AK528">
        <v>262.5</v>
      </c>
      <c r="AY528">
        <v>262.5</v>
      </c>
    </row>
    <row r="529" spans="1:51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526</v>
      </c>
      <c r="AK529">
        <v>263</v>
      </c>
      <c r="AY529">
        <v>263</v>
      </c>
    </row>
    <row r="530" spans="1:51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527</v>
      </c>
      <c r="AK530">
        <v>263.5</v>
      </c>
      <c r="AY530">
        <v>263.5</v>
      </c>
    </row>
    <row r="531" spans="1:51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528</v>
      </c>
      <c r="AK531">
        <v>264</v>
      </c>
      <c r="AY531">
        <v>264</v>
      </c>
    </row>
    <row r="532" spans="1:51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529</v>
      </c>
      <c r="AK532">
        <v>264.5</v>
      </c>
      <c r="AY532">
        <v>264.5</v>
      </c>
    </row>
    <row r="533" spans="1:51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530</v>
      </c>
      <c r="AK533">
        <v>265</v>
      </c>
      <c r="AY533">
        <v>265</v>
      </c>
    </row>
    <row r="534" spans="1:51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531</v>
      </c>
      <c r="AK534">
        <v>265.5</v>
      </c>
      <c r="AY534">
        <v>265.5</v>
      </c>
    </row>
    <row r="535" spans="1:51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532</v>
      </c>
      <c r="AK535">
        <v>266</v>
      </c>
      <c r="AY535">
        <v>266</v>
      </c>
    </row>
    <row r="536" spans="1:51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533</v>
      </c>
      <c r="AK536">
        <v>266.5</v>
      </c>
      <c r="AY536">
        <v>266.5</v>
      </c>
    </row>
    <row r="537" spans="1:51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534</v>
      </c>
      <c r="AK537">
        <v>267</v>
      </c>
      <c r="AY537">
        <v>267</v>
      </c>
    </row>
    <row r="538" spans="1:51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535</v>
      </c>
      <c r="AK538">
        <v>267.5</v>
      </c>
      <c r="AY538">
        <v>267.5</v>
      </c>
    </row>
    <row r="539" spans="1:51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536</v>
      </c>
      <c r="AK539">
        <v>268</v>
      </c>
      <c r="AY539">
        <v>268</v>
      </c>
    </row>
    <row r="540" spans="1:51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537</v>
      </c>
      <c r="AK540">
        <v>268.5</v>
      </c>
      <c r="AY540">
        <v>268.5</v>
      </c>
    </row>
    <row r="541" spans="1:51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538</v>
      </c>
      <c r="AK541">
        <v>269</v>
      </c>
      <c r="AY541">
        <v>269</v>
      </c>
    </row>
    <row r="542" spans="1:51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539</v>
      </c>
      <c r="AK542">
        <v>269.5</v>
      </c>
      <c r="AY542">
        <v>269.5</v>
      </c>
    </row>
    <row r="543" spans="1:51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540</v>
      </c>
      <c r="AK543">
        <v>270</v>
      </c>
      <c r="AY543">
        <v>270</v>
      </c>
    </row>
    <row r="544" spans="1:51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541</v>
      </c>
      <c r="AK544">
        <v>270.5</v>
      </c>
      <c r="AY544">
        <v>270.5</v>
      </c>
    </row>
    <row r="545" spans="1:51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542</v>
      </c>
      <c r="AK545">
        <v>271</v>
      </c>
      <c r="AY545">
        <v>271</v>
      </c>
    </row>
    <row r="546" spans="1:51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543</v>
      </c>
      <c r="AK546">
        <v>271.5</v>
      </c>
      <c r="AY546">
        <v>271.5</v>
      </c>
    </row>
    <row r="547" spans="1:51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544</v>
      </c>
      <c r="AK547">
        <v>272</v>
      </c>
      <c r="AY547">
        <v>272</v>
      </c>
    </row>
    <row r="548" spans="1:51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545</v>
      </c>
      <c r="AK548">
        <v>272.5</v>
      </c>
      <c r="AY548">
        <v>272.5</v>
      </c>
    </row>
    <row r="549" spans="1:51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546</v>
      </c>
      <c r="AK549">
        <v>273</v>
      </c>
      <c r="AY549">
        <v>273</v>
      </c>
    </row>
    <row r="550" spans="1:51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547</v>
      </c>
      <c r="AK550">
        <v>273.5</v>
      </c>
      <c r="AY550">
        <v>273.5</v>
      </c>
    </row>
    <row r="551" spans="1:51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548</v>
      </c>
      <c r="AK551">
        <v>274</v>
      </c>
      <c r="AY551">
        <v>274</v>
      </c>
    </row>
    <row r="552" spans="1:51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549</v>
      </c>
      <c r="AK552">
        <v>274.5</v>
      </c>
      <c r="AY552">
        <v>274.5</v>
      </c>
    </row>
    <row r="553" spans="1:51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550</v>
      </c>
      <c r="AK553">
        <v>275</v>
      </c>
      <c r="AY553">
        <v>275</v>
      </c>
    </row>
    <row r="554" spans="1:51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551</v>
      </c>
      <c r="AK554">
        <v>275.5</v>
      </c>
      <c r="AY554">
        <v>275.5</v>
      </c>
    </row>
    <row r="555" spans="1:51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552</v>
      </c>
      <c r="AK555">
        <v>276</v>
      </c>
      <c r="AY555">
        <v>276</v>
      </c>
    </row>
    <row r="556" spans="1:51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553</v>
      </c>
      <c r="AK556">
        <v>276.5</v>
      </c>
      <c r="AY556">
        <v>276.5</v>
      </c>
    </row>
    <row r="557" spans="1:51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554</v>
      </c>
      <c r="AK557">
        <v>277</v>
      </c>
      <c r="AY557">
        <v>277</v>
      </c>
    </row>
    <row r="558" spans="1:51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555</v>
      </c>
      <c r="AK558">
        <v>277.5</v>
      </c>
      <c r="AY558">
        <v>277.5</v>
      </c>
    </row>
    <row r="559" spans="1:51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556</v>
      </c>
      <c r="AK559">
        <v>278</v>
      </c>
      <c r="AY559">
        <v>278</v>
      </c>
    </row>
    <row r="560" spans="1:51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557</v>
      </c>
      <c r="AK560">
        <v>278.5</v>
      </c>
      <c r="AY560">
        <v>278.5</v>
      </c>
    </row>
    <row r="561" spans="1:51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558</v>
      </c>
      <c r="AK561">
        <v>279</v>
      </c>
      <c r="AY561">
        <v>279</v>
      </c>
    </row>
    <row r="562" spans="1:51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559</v>
      </c>
      <c r="AK562">
        <v>279.5</v>
      </c>
      <c r="AY562">
        <v>279.5</v>
      </c>
    </row>
    <row r="563" spans="1:51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560</v>
      </c>
      <c r="AK563">
        <v>280</v>
      </c>
      <c r="AY563">
        <v>280</v>
      </c>
    </row>
    <row r="564" spans="1:51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561</v>
      </c>
      <c r="AK564">
        <v>280.5</v>
      </c>
      <c r="AY564">
        <v>280.5</v>
      </c>
    </row>
    <row r="565" spans="1:51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562</v>
      </c>
      <c r="AK565">
        <v>281</v>
      </c>
      <c r="AY565">
        <v>281</v>
      </c>
    </row>
    <row r="566" spans="1:51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563</v>
      </c>
      <c r="AK566">
        <v>281.5</v>
      </c>
      <c r="AY566">
        <v>281.5</v>
      </c>
    </row>
    <row r="567" spans="1:51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564</v>
      </c>
      <c r="AK567">
        <v>282</v>
      </c>
      <c r="AY567">
        <v>282</v>
      </c>
    </row>
    <row r="568" spans="1:51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565</v>
      </c>
      <c r="AK568">
        <v>282.5</v>
      </c>
      <c r="AY568">
        <v>282.5</v>
      </c>
    </row>
    <row r="569" spans="1:51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566</v>
      </c>
      <c r="AK569">
        <v>283</v>
      </c>
      <c r="AY569">
        <v>283</v>
      </c>
    </row>
    <row r="570" spans="1:51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567</v>
      </c>
      <c r="AK570">
        <v>283.5</v>
      </c>
      <c r="AY570">
        <v>283.5</v>
      </c>
    </row>
    <row r="571" spans="1:51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568</v>
      </c>
      <c r="AK571">
        <v>284</v>
      </c>
      <c r="AY571">
        <v>284</v>
      </c>
    </row>
    <row r="572" spans="1:51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569</v>
      </c>
      <c r="AK572">
        <v>284.5</v>
      </c>
      <c r="AY572">
        <v>284.5</v>
      </c>
    </row>
    <row r="573" spans="1:51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570</v>
      </c>
      <c r="AK573">
        <v>285</v>
      </c>
      <c r="AY573">
        <v>285</v>
      </c>
    </row>
    <row r="574" spans="1:51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571</v>
      </c>
      <c r="AK574">
        <v>285.5</v>
      </c>
      <c r="AY574">
        <v>285.5</v>
      </c>
    </row>
    <row r="575" spans="1:51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572</v>
      </c>
      <c r="AK575">
        <v>286</v>
      </c>
      <c r="AY575">
        <v>286</v>
      </c>
    </row>
    <row r="576" spans="1:51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573</v>
      </c>
      <c r="AK576">
        <v>286.5</v>
      </c>
      <c r="AY576">
        <v>286.5</v>
      </c>
    </row>
    <row r="577" spans="1:51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574</v>
      </c>
      <c r="AK577">
        <v>287</v>
      </c>
      <c r="AY577">
        <v>287</v>
      </c>
    </row>
    <row r="578" spans="1:51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575</v>
      </c>
      <c r="AK578">
        <v>287.5</v>
      </c>
      <c r="AY578">
        <v>287.5</v>
      </c>
    </row>
    <row r="579" spans="1:51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576</v>
      </c>
      <c r="AK579">
        <v>288</v>
      </c>
      <c r="AY579">
        <v>288</v>
      </c>
    </row>
    <row r="580" spans="1:51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577</v>
      </c>
      <c r="AK580">
        <v>288.5</v>
      </c>
      <c r="AY580">
        <v>288.5</v>
      </c>
    </row>
    <row r="581" spans="1:51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578</v>
      </c>
      <c r="AK581">
        <v>289</v>
      </c>
      <c r="AY581">
        <v>289</v>
      </c>
    </row>
    <row r="582" spans="1:51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579</v>
      </c>
      <c r="AK582">
        <v>289.5</v>
      </c>
      <c r="AY582">
        <v>289.5</v>
      </c>
    </row>
    <row r="583" spans="1:51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580</v>
      </c>
      <c r="AK583">
        <v>290</v>
      </c>
      <c r="AY583">
        <v>290</v>
      </c>
    </row>
    <row r="584" spans="1:51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581</v>
      </c>
      <c r="AK584">
        <v>290.5</v>
      </c>
      <c r="AY584">
        <v>290.5</v>
      </c>
    </row>
    <row r="585" spans="1:51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582</v>
      </c>
      <c r="AK585">
        <v>291</v>
      </c>
      <c r="AY585">
        <v>291</v>
      </c>
    </row>
    <row r="586" spans="1:51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583</v>
      </c>
      <c r="AK586">
        <v>291.5</v>
      </c>
      <c r="AY586">
        <v>291.5</v>
      </c>
    </row>
    <row r="587" spans="1:51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584</v>
      </c>
      <c r="AK587">
        <v>292</v>
      </c>
      <c r="AY587">
        <v>292</v>
      </c>
    </row>
    <row r="588" spans="1:51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585</v>
      </c>
      <c r="AK588">
        <v>292.5</v>
      </c>
      <c r="AY588">
        <v>292.5</v>
      </c>
    </row>
    <row r="589" spans="1:51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586</v>
      </c>
      <c r="AK589">
        <v>293</v>
      </c>
      <c r="AY589">
        <v>293</v>
      </c>
    </row>
    <row r="590" spans="1:51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587</v>
      </c>
      <c r="AK590">
        <v>293.5</v>
      </c>
      <c r="AY590">
        <v>293.5</v>
      </c>
    </row>
    <row r="591" spans="1:51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588</v>
      </c>
      <c r="AK591">
        <v>294</v>
      </c>
      <c r="AY591">
        <v>294</v>
      </c>
    </row>
    <row r="592" spans="1:51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589</v>
      </c>
      <c r="AK592">
        <v>294.5</v>
      </c>
      <c r="AY592">
        <v>294.5</v>
      </c>
    </row>
    <row r="593" spans="1:51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590</v>
      </c>
      <c r="AK593">
        <v>295</v>
      </c>
      <c r="AY593">
        <v>295</v>
      </c>
    </row>
    <row r="594" spans="1:51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591</v>
      </c>
      <c r="AK594">
        <v>295.5</v>
      </c>
      <c r="AY594">
        <v>295.5</v>
      </c>
    </row>
    <row r="595" spans="1:51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592</v>
      </c>
      <c r="AK595">
        <v>296</v>
      </c>
      <c r="AY595">
        <v>296</v>
      </c>
    </row>
    <row r="596" spans="1:51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593</v>
      </c>
      <c r="AK596">
        <v>296.5</v>
      </c>
      <c r="AY596">
        <v>296.5</v>
      </c>
    </row>
    <row r="597" spans="1:51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594</v>
      </c>
      <c r="AK597">
        <v>297</v>
      </c>
      <c r="AY597">
        <v>297</v>
      </c>
    </row>
    <row r="598" spans="1:51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595</v>
      </c>
      <c r="AK598">
        <v>297.5</v>
      </c>
      <c r="AY598">
        <v>297.5</v>
      </c>
    </row>
    <row r="599" spans="1:51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596</v>
      </c>
      <c r="AK599">
        <v>298</v>
      </c>
      <c r="AY599">
        <v>298</v>
      </c>
    </row>
    <row r="600" spans="1:51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597</v>
      </c>
      <c r="AK600">
        <v>298.5</v>
      </c>
      <c r="AY600">
        <v>298.5</v>
      </c>
    </row>
    <row r="601" spans="1:51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598</v>
      </c>
      <c r="AK601">
        <v>299</v>
      </c>
      <c r="AY601">
        <v>299</v>
      </c>
    </row>
    <row r="602" spans="1:51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599</v>
      </c>
      <c r="AK602">
        <v>299.5</v>
      </c>
      <c r="AY602">
        <v>299.5</v>
      </c>
    </row>
    <row r="603" spans="1:51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600</v>
      </c>
      <c r="AK603">
        <v>300</v>
      </c>
      <c r="AY603">
        <v>300</v>
      </c>
    </row>
    <row r="604" spans="1:51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601</v>
      </c>
      <c r="AK604">
        <v>300.5</v>
      </c>
      <c r="AY604">
        <v>300.5</v>
      </c>
    </row>
    <row r="605" spans="1:51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602</v>
      </c>
      <c r="AK605">
        <v>301</v>
      </c>
      <c r="AY605">
        <v>301</v>
      </c>
    </row>
    <row r="606" spans="1:51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603</v>
      </c>
      <c r="AK606">
        <v>301.5</v>
      </c>
      <c r="AY606">
        <v>301.5</v>
      </c>
    </row>
    <row r="607" spans="1:51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604</v>
      </c>
      <c r="AK607">
        <v>302</v>
      </c>
      <c r="AY607">
        <v>302</v>
      </c>
    </row>
    <row r="608" spans="1:51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605</v>
      </c>
      <c r="AK608">
        <v>302.5</v>
      </c>
      <c r="AY608">
        <v>302.5</v>
      </c>
    </row>
    <row r="609" spans="1:51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606</v>
      </c>
      <c r="AK609">
        <v>303</v>
      </c>
      <c r="AY609">
        <v>303</v>
      </c>
    </row>
    <row r="610" spans="1:51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607</v>
      </c>
      <c r="AK610">
        <v>303.5</v>
      </c>
      <c r="AY610">
        <v>303.5</v>
      </c>
    </row>
    <row r="611" spans="1:51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608</v>
      </c>
      <c r="AK611">
        <v>304</v>
      </c>
      <c r="AY611">
        <v>304</v>
      </c>
    </row>
    <row r="612" spans="1:51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609</v>
      </c>
      <c r="AK612">
        <v>304.5</v>
      </c>
      <c r="AY612">
        <v>304.5</v>
      </c>
    </row>
    <row r="613" spans="1:51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610</v>
      </c>
      <c r="AK613">
        <v>305</v>
      </c>
      <c r="AY613">
        <v>305</v>
      </c>
    </row>
    <row r="614" spans="1:51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611</v>
      </c>
      <c r="AK614">
        <v>305.5</v>
      </c>
      <c r="AY614">
        <v>305.5</v>
      </c>
    </row>
    <row r="615" spans="1:51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612</v>
      </c>
      <c r="AK615">
        <v>306</v>
      </c>
      <c r="AY615">
        <v>306</v>
      </c>
    </row>
    <row r="616" spans="1:51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613</v>
      </c>
      <c r="AK616">
        <v>306.5</v>
      </c>
      <c r="AY616">
        <v>306.5</v>
      </c>
    </row>
    <row r="617" spans="1:51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614</v>
      </c>
      <c r="AK617">
        <v>307</v>
      </c>
      <c r="AY617">
        <v>307</v>
      </c>
    </row>
    <row r="618" spans="1:51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615</v>
      </c>
      <c r="AK618">
        <v>307.5</v>
      </c>
      <c r="AY618">
        <v>307.5</v>
      </c>
    </row>
    <row r="619" spans="1:51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616</v>
      </c>
      <c r="AK619">
        <v>308</v>
      </c>
      <c r="AY619">
        <v>308</v>
      </c>
    </row>
    <row r="620" spans="1:51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617</v>
      </c>
      <c r="AK620">
        <v>308.5</v>
      </c>
      <c r="AY620">
        <v>308.5</v>
      </c>
    </row>
    <row r="621" spans="1:51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618</v>
      </c>
      <c r="AK621">
        <v>309</v>
      </c>
      <c r="AY621">
        <v>309</v>
      </c>
    </row>
    <row r="622" spans="1:51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619</v>
      </c>
      <c r="AK622">
        <v>309.5</v>
      </c>
      <c r="AY622">
        <v>309.5</v>
      </c>
    </row>
    <row r="623" spans="1:51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620</v>
      </c>
      <c r="AK623">
        <v>310</v>
      </c>
      <c r="AY623">
        <v>310</v>
      </c>
    </row>
    <row r="624" spans="1:51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621</v>
      </c>
      <c r="AK624">
        <v>310.5</v>
      </c>
      <c r="AY624">
        <v>310.5</v>
      </c>
    </row>
    <row r="625" spans="1:51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622</v>
      </c>
      <c r="AK625">
        <v>311</v>
      </c>
      <c r="AY625">
        <v>311</v>
      </c>
    </row>
    <row r="626" spans="1:51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623</v>
      </c>
      <c r="AK626">
        <v>311.5</v>
      </c>
      <c r="AY626">
        <v>311.5</v>
      </c>
    </row>
    <row r="627" spans="1:51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624</v>
      </c>
      <c r="AK627">
        <v>312</v>
      </c>
      <c r="AY627">
        <v>312</v>
      </c>
    </row>
    <row r="628" spans="1:51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625</v>
      </c>
      <c r="AK628">
        <v>312.5</v>
      </c>
      <c r="AY628">
        <v>312.5</v>
      </c>
    </row>
    <row r="629" spans="1:51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626</v>
      </c>
      <c r="AK629">
        <v>313</v>
      </c>
      <c r="AY629">
        <v>313</v>
      </c>
    </row>
    <row r="630" spans="1:51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627</v>
      </c>
      <c r="AK630">
        <v>313.5</v>
      </c>
      <c r="AY630">
        <v>313.5</v>
      </c>
    </row>
    <row r="631" spans="1:51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628</v>
      </c>
      <c r="AK631">
        <v>314</v>
      </c>
      <c r="AY631">
        <v>314</v>
      </c>
    </row>
    <row r="632" spans="1:51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629</v>
      </c>
      <c r="AK632">
        <v>314.5</v>
      </c>
      <c r="AY632">
        <v>314.5</v>
      </c>
    </row>
    <row r="633" spans="1:51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630</v>
      </c>
      <c r="AK633">
        <v>315</v>
      </c>
      <c r="AY633">
        <v>315</v>
      </c>
    </row>
    <row r="634" spans="1:51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631</v>
      </c>
      <c r="AK634">
        <v>315.5</v>
      </c>
      <c r="AY634">
        <v>315.5</v>
      </c>
    </row>
    <row r="635" spans="1:51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632</v>
      </c>
      <c r="AK635">
        <v>316</v>
      </c>
      <c r="AY635">
        <v>316</v>
      </c>
    </row>
    <row r="636" spans="1:51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633</v>
      </c>
      <c r="AK636">
        <v>316.5</v>
      </c>
      <c r="AY636">
        <v>316.5</v>
      </c>
    </row>
    <row r="637" spans="1:51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634</v>
      </c>
      <c r="AK637">
        <v>317</v>
      </c>
      <c r="AY637">
        <v>317</v>
      </c>
    </row>
    <row r="638" spans="1:51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635</v>
      </c>
      <c r="AK638">
        <v>317.5</v>
      </c>
      <c r="AY638">
        <v>317.5</v>
      </c>
    </row>
    <row r="639" spans="1:51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636</v>
      </c>
      <c r="AK639">
        <v>318</v>
      </c>
      <c r="AY639">
        <v>318</v>
      </c>
    </row>
    <row r="640" spans="1:51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637</v>
      </c>
      <c r="AK640">
        <v>318.5</v>
      </c>
      <c r="AY640">
        <v>318.5</v>
      </c>
    </row>
    <row r="641" spans="1:51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638</v>
      </c>
      <c r="AK641">
        <v>319</v>
      </c>
      <c r="AY641">
        <v>319</v>
      </c>
    </row>
    <row r="642" spans="1:51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639</v>
      </c>
      <c r="AK642">
        <v>319.5</v>
      </c>
      <c r="AY642">
        <v>319.5</v>
      </c>
    </row>
    <row r="643" spans="1:51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640</v>
      </c>
      <c r="AK643">
        <v>320</v>
      </c>
      <c r="AY643">
        <v>320</v>
      </c>
    </row>
    <row r="644" spans="1:51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641</v>
      </c>
      <c r="AK644">
        <v>320.5</v>
      </c>
      <c r="AY644">
        <v>320.5</v>
      </c>
    </row>
    <row r="645" spans="1:51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642</v>
      </c>
      <c r="AK645">
        <v>321</v>
      </c>
      <c r="AY645">
        <v>321</v>
      </c>
    </row>
    <row r="646" spans="1:51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643</v>
      </c>
      <c r="AK646">
        <v>321.5</v>
      </c>
      <c r="AY646">
        <v>321.5</v>
      </c>
    </row>
    <row r="647" spans="1:51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644</v>
      </c>
      <c r="AK647">
        <v>322</v>
      </c>
      <c r="AY647">
        <v>322</v>
      </c>
    </row>
    <row r="648" spans="1:51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645</v>
      </c>
      <c r="AK648">
        <v>322.5</v>
      </c>
      <c r="AY648">
        <v>322.5</v>
      </c>
    </row>
    <row r="649" spans="1:51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646</v>
      </c>
      <c r="AK649">
        <v>323</v>
      </c>
      <c r="AY649">
        <v>323</v>
      </c>
    </row>
    <row r="650" spans="1:51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647</v>
      </c>
      <c r="AK650">
        <v>323.5</v>
      </c>
      <c r="AY650">
        <v>323.5</v>
      </c>
    </row>
    <row r="651" spans="1:51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648</v>
      </c>
      <c r="AK651">
        <v>324</v>
      </c>
      <c r="AY651">
        <v>324</v>
      </c>
    </row>
    <row r="652" spans="1:51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649</v>
      </c>
      <c r="AK652">
        <v>324.5</v>
      </c>
      <c r="AY652">
        <v>324.5</v>
      </c>
    </row>
    <row r="653" spans="1:51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650</v>
      </c>
      <c r="AK653">
        <v>325</v>
      </c>
      <c r="AY653">
        <v>325</v>
      </c>
    </row>
    <row r="654" spans="1:51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651</v>
      </c>
      <c r="AK654">
        <v>325.5</v>
      </c>
      <c r="AY654">
        <v>325.5</v>
      </c>
    </row>
    <row r="655" spans="1:51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652</v>
      </c>
      <c r="AK655">
        <v>326</v>
      </c>
      <c r="AY655">
        <v>326</v>
      </c>
    </row>
    <row r="656" spans="1:51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653</v>
      </c>
      <c r="AK656">
        <v>326.5</v>
      </c>
      <c r="AY656">
        <v>326.5</v>
      </c>
    </row>
    <row r="657" spans="1:51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654</v>
      </c>
      <c r="AK657">
        <v>327</v>
      </c>
      <c r="AY657">
        <v>327</v>
      </c>
    </row>
    <row r="658" spans="1:51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655</v>
      </c>
      <c r="AK658">
        <v>327.5</v>
      </c>
      <c r="AY658">
        <v>327.5</v>
      </c>
    </row>
    <row r="659" spans="1:51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656</v>
      </c>
      <c r="AK659">
        <v>328</v>
      </c>
      <c r="AY659">
        <v>328</v>
      </c>
    </row>
    <row r="660" spans="1:51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657</v>
      </c>
      <c r="AK660">
        <v>328.5</v>
      </c>
      <c r="AY660">
        <v>328.5</v>
      </c>
    </row>
    <row r="661" spans="1:51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658</v>
      </c>
      <c r="AK661">
        <v>329</v>
      </c>
      <c r="AY661">
        <v>329</v>
      </c>
    </row>
    <row r="662" spans="1:51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659</v>
      </c>
      <c r="AK662">
        <v>329.5</v>
      </c>
      <c r="AY662">
        <v>329.5</v>
      </c>
    </row>
    <row r="663" spans="1:51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660</v>
      </c>
      <c r="AK663">
        <v>330</v>
      </c>
      <c r="AY663">
        <v>330</v>
      </c>
    </row>
    <row r="664" spans="1:51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661</v>
      </c>
      <c r="AK664">
        <v>330.5</v>
      </c>
      <c r="AY664">
        <v>330.5</v>
      </c>
    </row>
    <row r="665" spans="1:51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662</v>
      </c>
      <c r="AK665">
        <v>331</v>
      </c>
      <c r="AY665">
        <v>331</v>
      </c>
    </row>
    <row r="666" spans="1:51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663</v>
      </c>
      <c r="AK666">
        <v>331.5</v>
      </c>
      <c r="AY666">
        <v>331.5</v>
      </c>
    </row>
    <row r="667" spans="1:51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664</v>
      </c>
      <c r="AK667">
        <v>332</v>
      </c>
      <c r="AY667">
        <v>332</v>
      </c>
    </row>
    <row r="668" spans="1:51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665</v>
      </c>
      <c r="AK668">
        <v>332.5</v>
      </c>
      <c r="AY668">
        <v>332.5</v>
      </c>
    </row>
    <row r="669" spans="1:51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666</v>
      </c>
      <c r="AK669">
        <v>333</v>
      </c>
      <c r="AY669">
        <v>333</v>
      </c>
    </row>
    <row r="670" spans="1:51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667</v>
      </c>
      <c r="AK670">
        <v>333.5</v>
      </c>
      <c r="AY670">
        <v>333.5</v>
      </c>
    </row>
    <row r="671" spans="1:51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668</v>
      </c>
      <c r="AK671">
        <v>334</v>
      </c>
      <c r="AY671">
        <v>334</v>
      </c>
    </row>
    <row r="672" spans="1:51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669</v>
      </c>
      <c r="AK672">
        <v>334.5</v>
      </c>
      <c r="AY672">
        <v>334.5</v>
      </c>
    </row>
    <row r="673" spans="1:51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670</v>
      </c>
      <c r="AK673">
        <v>335</v>
      </c>
      <c r="AY673">
        <v>335</v>
      </c>
    </row>
    <row r="674" spans="1:51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671</v>
      </c>
      <c r="AK674">
        <v>335.5</v>
      </c>
      <c r="AY674">
        <v>335.5</v>
      </c>
    </row>
    <row r="675" spans="1:51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672</v>
      </c>
      <c r="AK675">
        <v>336</v>
      </c>
      <c r="AY675">
        <v>336</v>
      </c>
    </row>
    <row r="676" spans="1:51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673</v>
      </c>
      <c r="AK676">
        <v>336.5</v>
      </c>
      <c r="AY676">
        <v>336.5</v>
      </c>
    </row>
    <row r="677" spans="1:51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674</v>
      </c>
      <c r="AK677">
        <v>337</v>
      </c>
      <c r="AY677">
        <v>337</v>
      </c>
    </row>
    <row r="678" spans="1:51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675</v>
      </c>
      <c r="AK678">
        <v>337.5</v>
      </c>
      <c r="AY678">
        <v>337.5</v>
      </c>
    </row>
    <row r="679" spans="1:51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676</v>
      </c>
      <c r="AK679">
        <v>338</v>
      </c>
      <c r="AY679">
        <v>338</v>
      </c>
    </row>
    <row r="680" spans="1:51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677</v>
      </c>
      <c r="AK680">
        <v>338.5</v>
      </c>
      <c r="AY680">
        <v>338.5</v>
      </c>
    </row>
    <row r="681" spans="1:51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678</v>
      </c>
      <c r="AK681">
        <v>339</v>
      </c>
      <c r="AY681">
        <v>339</v>
      </c>
    </row>
    <row r="682" spans="1:51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679</v>
      </c>
      <c r="AK682">
        <v>339.5</v>
      </c>
      <c r="AY682">
        <v>339.5</v>
      </c>
    </row>
    <row r="683" spans="1:51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680</v>
      </c>
      <c r="AK683">
        <v>340</v>
      </c>
      <c r="AY683">
        <v>340</v>
      </c>
    </row>
    <row r="684" spans="1:51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681</v>
      </c>
      <c r="AK684">
        <v>340.5</v>
      </c>
      <c r="AY684">
        <v>340.5</v>
      </c>
    </row>
    <row r="685" spans="1:51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682</v>
      </c>
      <c r="AK685">
        <v>341</v>
      </c>
      <c r="AY685">
        <v>341</v>
      </c>
    </row>
    <row r="686" spans="1:51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683</v>
      </c>
      <c r="AK686">
        <v>341.5</v>
      </c>
      <c r="AY686">
        <v>341.5</v>
      </c>
    </row>
    <row r="687" spans="1:51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684</v>
      </c>
      <c r="AK687">
        <v>342</v>
      </c>
      <c r="AY687">
        <v>342</v>
      </c>
    </row>
    <row r="688" spans="1:51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685</v>
      </c>
      <c r="AK688">
        <v>342.5</v>
      </c>
      <c r="AY688">
        <v>342.5</v>
      </c>
    </row>
    <row r="689" spans="1:51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686</v>
      </c>
      <c r="AK689">
        <v>343</v>
      </c>
      <c r="AY689">
        <v>343</v>
      </c>
    </row>
    <row r="690" spans="1:51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687</v>
      </c>
      <c r="AK690">
        <v>343.5</v>
      </c>
      <c r="AY690">
        <v>343.5</v>
      </c>
    </row>
    <row r="691" spans="1:51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688</v>
      </c>
      <c r="AK691">
        <v>344</v>
      </c>
      <c r="AY691">
        <v>344</v>
      </c>
    </row>
    <row r="692" spans="1:51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689</v>
      </c>
      <c r="AK692">
        <v>344.5</v>
      </c>
      <c r="AY692">
        <v>344.5</v>
      </c>
    </row>
    <row r="693" spans="1:51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690</v>
      </c>
      <c r="AK693">
        <v>345</v>
      </c>
      <c r="AY693">
        <v>345</v>
      </c>
    </row>
    <row r="694" spans="1:51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691</v>
      </c>
      <c r="AK694">
        <v>345.5</v>
      </c>
      <c r="AY694">
        <v>345.5</v>
      </c>
    </row>
    <row r="695" spans="1:51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692</v>
      </c>
      <c r="AK695">
        <v>346</v>
      </c>
      <c r="AY695">
        <v>346</v>
      </c>
    </row>
    <row r="696" spans="1:51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693</v>
      </c>
      <c r="AK696">
        <v>346.5</v>
      </c>
      <c r="AY696">
        <v>346.5</v>
      </c>
    </row>
    <row r="697" spans="1:51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694</v>
      </c>
      <c r="AK697">
        <v>347</v>
      </c>
      <c r="AY697">
        <v>347</v>
      </c>
    </row>
    <row r="698" spans="1:51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695</v>
      </c>
      <c r="AK698">
        <v>347.5</v>
      </c>
      <c r="AY698">
        <v>347.5</v>
      </c>
    </row>
    <row r="699" spans="1:51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696</v>
      </c>
      <c r="AK699">
        <v>348</v>
      </c>
      <c r="AY699">
        <v>348</v>
      </c>
    </row>
    <row r="700" spans="1:51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697</v>
      </c>
      <c r="AK700">
        <v>348.5</v>
      </c>
      <c r="AY700">
        <v>348.5</v>
      </c>
    </row>
    <row r="701" spans="1:51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698</v>
      </c>
      <c r="AK701">
        <v>349</v>
      </c>
      <c r="AY701">
        <v>349</v>
      </c>
    </row>
    <row r="702" spans="1:51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699</v>
      </c>
      <c r="AK702">
        <v>349.5</v>
      </c>
      <c r="AY702">
        <v>349.5</v>
      </c>
    </row>
    <row r="703" spans="1:51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700</v>
      </c>
      <c r="AK703">
        <v>350</v>
      </c>
      <c r="AY703">
        <v>350</v>
      </c>
    </row>
    <row r="704" spans="1:51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701</v>
      </c>
      <c r="AK704">
        <v>350.5</v>
      </c>
      <c r="AY704">
        <v>350.5</v>
      </c>
    </row>
    <row r="705" spans="1:51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702</v>
      </c>
      <c r="AK705">
        <v>351</v>
      </c>
      <c r="AY705">
        <v>351</v>
      </c>
    </row>
    <row r="706" spans="1:51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703</v>
      </c>
      <c r="AK706">
        <v>351.5</v>
      </c>
      <c r="AY706">
        <v>351.5</v>
      </c>
    </row>
    <row r="707" spans="1:51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704</v>
      </c>
      <c r="AK707">
        <v>352</v>
      </c>
      <c r="AY707">
        <v>352</v>
      </c>
    </row>
    <row r="708" spans="1:51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705</v>
      </c>
      <c r="AK708">
        <v>352.5</v>
      </c>
      <c r="AY708">
        <v>352.5</v>
      </c>
    </row>
    <row r="709" spans="1:51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706</v>
      </c>
      <c r="AK709">
        <v>353</v>
      </c>
      <c r="AY709">
        <v>353</v>
      </c>
    </row>
    <row r="710" spans="1:51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707</v>
      </c>
      <c r="AK710">
        <v>353.5</v>
      </c>
      <c r="AY710">
        <v>353.5</v>
      </c>
    </row>
    <row r="711" spans="1:51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708</v>
      </c>
      <c r="AK711">
        <v>354</v>
      </c>
      <c r="AY711">
        <v>354</v>
      </c>
    </row>
    <row r="712" spans="1:51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709</v>
      </c>
      <c r="AK712">
        <v>354.5</v>
      </c>
      <c r="AY712">
        <v>354.5</v>
      </c>
    </row>
    <row r="713" spans="1:51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710</v>
      </c>
      <c r="AK713">
        <v>355</v>
      </c>
      <c r="AY713">
        <v>355</v>
      </c>
    </row>
    <row r="714" spans="1:51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711</v>
      </c>
      <c r="AK714">
        <v>355.5</v>
      </c>
      <c r="AY714">
        <v>355.5</v>
      </c>
    </row>
    <row r="715" spans="1:51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712</v>
      </c>
      <c r="AK715">
        <v>356</v>
      </c>
      <c r="AY715">
        <v>356</v>
      </c>
    </row>
    <row r="716" spans="1:51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713</v>
      </c>
      <c r="AK716">
        <v>356.5</v>
      </c>
      <c r="AY716">
        <v>356.5</v>
      </c>
    </row>
    <row r="717" spans="1:51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714</v>
      </c>
      <c r="AK717">
        <v>357</v>
      </c>
      <c r="AY717">
        <v>357</v>
      </c>
    </row>
    <row r="718" spans="1:51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715</v>
      </c>
      <c r="AK718">
        <v>357.5</v>
      </c>
      <c r="AY718">
        <v>357.5</v>
      </c>
    </row>
    <row r="719" spans="1:51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716</v>
      </c>
      <c r="AK719">
        <v>358</v>
      </c>
      <c r="AY719">
        <v>358</v>
      </c>
    </row>
    <row r="720" spans="1:51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717</v>
      </c>
      <c r="AK720">
        <v>358.5</v>
      </c>
      <c r="AY720">
        <v>358.5</v>
      </c>
    </row>
    <row r="721" spans="1:51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718</v>
      </c>
      <c r="AK721">
        <v>359</v>
      </c>
      <c r="AY721">
        <v>359</v>
      </c>
    </row>
    <row r="722" spans="1:51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719</v>
      </c>
      <c r="AK722">
        <v>359.5</v>
      </c>
      <c r="AY722">
        <v>359.5</v>
      </c>
    </row>
    <row r="723" spans="1:51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720</v>
      </c>
      <c r="AK723">
        <v>360</v>
      </c>
      <c r="AY723">
        <v>360</v>
      </c>
    </row>
    <row r="724" spans="1:51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721</v>
      </c>
      <c r="AK724">
        <v>360.5</v>
      </c>
      <c r="AY724">
        <v>360.5</v>
      </c>
    </row>
    <row r="725" spans="1:51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722</v>
      </c>
      <c r="AK725">
        <v>361</v>
      </c>
      <c r="AY725">
        <v>361</v>
      </c>
    </row>
    <row r="726" spans="1:51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723</v>
      </c>
      <c r="AK726">
        <v>361.5</v>
      </c>
      <c r="AY726">
        <v>361.5</v>
      </c>
    </row>
    <row r="727" spans="1:51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724</v>
      </c>
      <c r="AK727">
        <v>362</v>
      </c>
      <c r="AY727">
        <v>362</v>
      </c>
    </row>
    <row r="728" spans="1:51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725</v>
      </c>
      <c r="AK728">
        <v>362.5</v>
      </c>
      <c r="AY728">
        <v>362.5</v>
      </c>
    </row>
    <row r="729" spans="1:51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726</v>
      </c>
      <c r="AK729">
        <v>363</v>
      </c>
      <c r="AY729">
        <v>363</v>
      </c>
    </row>
    <row r="730" spans="1:51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727</v>
      </c>
      <c r="AK730">
        <v>363.5</v>
      </c>
      <c r="AY730">
        <v>363.5</v>
      </c>
    </row>
    <row r="731" spans="1:51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728</v>
      </c>
      <c r="AK731">
        <v>364</v>
      </c>
      <c r="AY731">
        <v>364</v>
      </c>
    </row>
    <row r="732" spans="1:51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729</v>
      </c>
      <c r="AK732">
        <v>364.5</v>
      </c>
      <c r="AY732">
        <v>364.5</v>
      </c>
    </row>
    <row r="733" spans="1:51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730</v>
      </c>
      <c r="AK733">
        <v>365</v>
      </c>
      <c r="AY733">
        <v>365</v>
      </c>
    </row>
    <row r="734" spans="1:51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731</v>
      </c>
      <c r="AK734">
        <v>365.5</v>
      </c>
      <c r="AY734">
        <v>365.5</v>
      </c>
    </row>
    <row r="735" spans="1:51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732</v>
      </c>
      <c r="AK735">
        <v>366</v>
      </c>
      <c r="AY735">
        <v>366</v>
      </c>
    </row>
    <row r="736" spans="1:51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733</v>
      </c>
      <c r="AK736">
        <v>366.5</v>
      </c>
      <c r="AY736">
        <v>366.5</v>
      </c>
    </row>
    <row r="737" spans="1:51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734</v>
      </c>
      <c r="AK737">
        <v>367</v>
      </c>
      <c r="AY737">
        <v>367</v>
      </c>
    </row>
    <row r="738" spans="1:51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735</v>
      </c>
      <c r="AK738">
        <v>367.5</v>
      </c>
      <c r="AY738">
        <v>367.5</v>
      </c>
    </row>
    <row r="739" spans="1:51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736</v>
      </c>
      <c r="AK739">
        <v>368</v>
      </c>
      <c r="AY739">
        <v>368</v>
      </c>
    </row>
    <row r="740" spans="1:51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737</v>
      </c>
      <c r="AK740">
        <v>368.5</v>
      </c>
      <c r="AY740">
        <v>368.5</v>
      </c>
    </row>
    <row r="741" spans="1:51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738</v>
      </c>
      <c r="AK741">
        <v>369</v>
      </c>
      <c r="AY741">
        <v>369</v>
      </c>
    </row>
    <row r="742" spans="1:51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739</v>
      </c>
      <c r="AK742">
        <v>369.5</v>
      </c>
      <c r="AY742">
        <v>369.5</v>
      </c>
    </row>
    <row r="743" spans="1:51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740</v>
      </c>
      <c r="AK743">
        <v>370</v>
      </c>
      <c r="AY743">
        <v>370</v>
      </c>
    </row>
    <row r="744" spans="1:51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741</v>
      </c>
      <c r="AK744">
        <v>370.5</v>
      </c>
      <c r="AY744">
        <v>370.5</v>
      </c>
    </row>
    <row r="745" spans="1:51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742</v>
      </c>
      <c r="AK745">
        <v>371</v>
      </c>
      <c r="AY745">
        <v>371</v>
      </c>
    </row>
    <row r="746" spans="1:51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743</v>
      </c>
      <c r="AK746">
        <v>371.5</v>
      </c>
      <c r="AY746">
        <v>371.5</v>
      </c>
    </row>
    <row r="747" spans="1:51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744</v>
      </c>
      <c r="AK747">
        <v>372</v>
      </c>
      <c r="AY747">
        <v>372</v>
      </c>
    </row>
    <row r="748" spans="1:51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745</v>
      </c>
      <c r="AK748">
        <v>372.5</v>
      </c>
      <c r="AY748">
        <v>372.5</v>
      </c>
    </row>
    <row r="749" spans="1:51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746</v>
      </c>
      <c r="AK749">
        <v>373</v>
      </c>
      <c r="AY749">
        <v>373</v>
      </c>
    </row>
    <row r="750" spans="1:51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747</v>
      </c>
      <c r="AK750">
        <v>373.5</v>
      </c>
      <c r="AY750">
        <v>373.5</v>
      </c>
    </row>
    <row r="751" spans="1:51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748</v>
      </c>
      <c r="AK751">
        <v>374</v>
      </c>
      <c r="AY751">
        <v>374</v>
      </c>
    </row>
    <row r="752" spans="1:51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749</v>
      </c>
      <c r="AK752">
        <v>374.5</v>
      </c>
      <c r="AY752">
        <v>374.5</v>
      </c>
    </row>
    <row r="753" spans="1:51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750</v>
      </c>
      <c r="AK753">
        <v>375</v>
      </c>
      <c r="AY753">
        <v>375</v>
      </c>
    </row>
    <row r="754" spans="1:51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751</v>
      </c>
      <c r="AK754">
        <v>375.5</v>
      </c>
      <c r="AY754">
        <v>375.5</v>
      </c>
    </row>
    <row r="755" spans="1:51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752</v>
      </c>
      <c r="AK755">
        <v>376</v>
      </c>
      <c r="AY755">
        <v>376</v>
      </c>
    </row>
    <row r="756" spans="1:51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753</v>
      </c>
      <c r="AK756">
        <v>376.5</v>
      </c>
      <c r="AY756">
        <v>376.5</v>
      </c>
    </row>
    <row r="757" spans="1:51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754</v>
      </c>
      <c r="AK757">
        <v>377</v>
      </c>
      <c r="AY757">
        <v>377</v>
      </c>
    </row>
    <row r="758" spans="1:51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755</v>
      </c>
      <c r="AK758">
        <v>377.5</v>
      </c>
      <c r="AY758">
        <v>377.5</v>
      </c>
    </row>
    <row r="759" spans="1:51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756</v>
      </c>
      <c r="AK759">
        <v>378</v>
      </c>
      <c r="AY759">
        <v>378</v>
      </c>
    </row>
    <row r="760" spans="1:51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757</v>
      </c>
      <c r="AK760">
        <v>378.5</v>
      </c>
      <c r="AY760">
        <v>378.5</v>
      </c>
    </row>
    <row r="761" spans="1:51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758</v>
      </c>
      <c r="AK761">
        <v>379</v>
      </c>
      <c r="AY761">
        <v>379</v>
      </c>
    </row>
    <row r="762" spans="1:51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759</v>
      </c>
      <c r="AK762">
        <v>379.5</v>
      </c>
      <c r="AY762">
        <v>379.5</v>
      </c>
    </row>
    <row r="763" spans="1:51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760</v>
      </c>
      <c r="AK763">
        <v>380</v>
      </c>
      <c r="AY763">
        <v>380</v>
      </c>
    </row>
    <row r="764" spans="1:51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761</v>
      </c>
      <c r="AK764">
        <v>380.5</v>
      </c>
      <c r="AY764">
        <v>380.5</v>
      </c>
    </row>
    <row r="765" spans="1:51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762</v>
      </c>
      <c r="AK765">
        <v>381</v>
      </c>
      <c r="AY765">
        <v>381</v>
      </c>
    </row>
    <row r="766" spans="1:51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763</v>
      </c>
      <c r="AK766">
        <v>381.5</v>
      </c>
      <c r="AY766">
        <v>381.5</v>
      </c>
    </row>
    <row r="767" spans="1:51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764</v>
      </c>
      <c r="AK767">
        <v>382</v>
      </c>
      <c r="AY767">
        <v>382</v>
      </c>
    </row>
    <row r="768" spans="1:51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765</v>
      </c>
      <c r="AK768">
        <v>382.5</v>
      </c>
      <c r="AY768">
        <v>382.5</v>
      </c>
    </row>
    <row r="769" spans="1:51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766</v>
      </c>
      <c r="AK769">
        <v>383</v>
      </c>
      <c r="AY769">
        <v>383</v>
      </c>
    </row>
    <row r="770" spans="1:51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767</v>
      </c>
      <c r="AK770">
        <v>383.5</v>
      </c>
      <c r="AY770">
        <v>383.5</v>
      </c>
    </row>
    <row r="771" spans="1:51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768</v>
      </c>
      <c r="AK771">
        <v>384</v>
      </c>
      <c r="AY771">
        <v>384</v>
      </c>
    </row>
    <row r="772" spans="1:51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769</v>
      </c>
      <c r="AK772">
        <v>384.5</v>
      </c>
      <c r="AY772">
        <v>384.5</v>
      </c>
    </row>
    <row r="773" spans="1:51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770</v>
      </c>
      <c r="AK773">
        <v>385</v>
      </c>
      <c r="AY773">
        <v>385</v>
      </c>
    </row>
    <row r="774" spans="1:51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771</v>
      </c>
      <c r="AK774">
        <v>385.5</v>
      </c>
      <c r="AY774">
        <v>385.5</v>
      </c>
    </row>
    <row r="775" spans="1:51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772</v>
      </c>
      <c r="AK775">
        <v>386</v>
      </c>
      <c r="AY775">
        <v>386</v>
      </c>
    </row>
    <row r="776" spans="1:51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773</v>
      </c>
      <c r="AK776">
        <v>386.5</v>
      </c>
      <c r="AY776">
        <v>386.5</v>
      </c>
    </row>
    <row r="777" spans="1:51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774</v>
      </c>
      <c r="AK777">
        <v>387</v>
      </c>
      <c r="AY777">
        <v>387</v>
      </c>
    </row>
    <row r="778" spans="1:51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775</v>
      </c>
      <c r="AK778">
        <v>387.5</v>
      </c>
      <c r="AY778">
        <v>387.5</v>
      </c>
    </row>
    <row r="779" spans="1:51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776</v>
      </c>
      <c r="AK779">
        <v>388</v>
      </c>
      <c r="AY779">
        <v>388</v>
      </c>
    </row>
    <row r="780" spans="1:51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777</v>
      </c>
      <c r="AK780">
        <v>388.5</v>
      </c>
      <c r="AY780">
        <v>388.5</v>
      </c>
    </row>
    <row r="781" spans="1:51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778</v>
      </c>
      <c r="AK781">
        <v>389</v>
      </c>
      <c r="AY781">
        <v>389</v>
      </c>
    </row>
    <row r="782" spans="1:51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779</v>
      </c>
      <c r="AK782">
        <v>389.5</v>
      </c>
      <c r="AY782">
        <v>389.5</v>
      </c>
    </row>
    <row r="783" spans="1:51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780</v>
      </c>
      <c r="AK783">
        <v>390</v>
      </c>
      <c r="AY783">
        <v>390</v>
      </c>
    </row>
    <row r="784" spans="1:51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781</v>
      </c>
      <c r="AK784">
        <v>390.5</v>
      </c>
      <c r="AY784">
        <v>390.5</v>
      </c>
    </row>
    <row r="785" spans="1:51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782</v>
      </c>
      <c r="AK785">
        <v>391</v>
      </c>
      <c r="AY785">
        <v>391</v>
      </c>
    </row>
    <row r="786" spans="1:51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783</v>
      </c>
      <c r="AK786">
        <v>391.5</v>
      </c>
      <c r="AY786">
        <v>391.5</v>
      </c>
    </row>
    <row r="787" spans="1:51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784</v>
      </c>
      <c r="AK787">
        <v>392</v>
      </c>
      <c r="AY787">
        <v>392</v>
      </c>
    </row>
    <row r="788" spans="1:51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785</v>
      </c>
      <c r="AK788">
        <v>392.5</v>
      </c>
      <c r="AY788">
        <v>392.5</v>
      </c>
    </row>
    <row r="789" spans="1:51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786</v>
      </c>
      <c r="AK789">
        <v>393</v>
      </c>
      <c r="AY789">
        <v>393</v>
      </c>
    </row>
    <row r="790" spans="1:51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787</v>
      </c>
      <c r="AK790">
        <v>393.5</v>
      </c>
      <c r="AY790">
        <v>393.5</v>
      </c>
    </row>
    <row r="791" spans="1:51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788</v>
      </c>
      <c r="AK791">
        <v>394</v>
      </c>
      <c r="AY791">
        <v>394</v>
      </c>
    </row>
    <row r="792" spans="1:51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789</v>
      </c>
      <c r="AK792">
        <v>394.5</v>
      </c>
      <c r="AY792">
        <v>394.5</v>
      </c>
    </row>
    <row r="793" spans="1:51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790</v>
      </c>
      <c r="AK793">
        <v>395</v>
      </c>
      <c r="AY793">
        <v>395</v>
      </c>
    </row>
    <row r="794" spans="1:51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791</v>
      </c>
      <c r="AK794">
        <v>395.5</v>
      </c>
      <c r="AY794">
        <v>395.5</v>
      </c>
    </row>
    <row r="795" spans="1:51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792</v>
      </c>
      <c r="AK795">
        <v>396</v>
      </c>
      <c r="AY795">
        <v>396</v>
      </c>
    </row>
    <row r="796" spans="1:51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793</v>
      </c>
      <c r="AK796">
        <v>396.5</v>
      </c>
      <c r="AY796">
        <v>396.5</v>
      </c>
    </row>
    <row r="797" spans="1:51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794</v>
      </c>
      <c r="AK797">
        <v>397</v>
      </c>
      <c r="AY797">
        <v>397</v>
      </c>
    </row>
    <row r="798" spans="1:51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795</v>
      </c>
      <c r="AK798">
        <v>397.5</v>
      </c>
      <c r="AY798">
        <v>397.5</v>
      </c>
    </row>
    <row r="799" spans="1:51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796</v>
      </c>
      <c r="AK799">
        <v>398</v>
      </c>
      <c r="AY799">
        <v>398</v>
      </c>
    </row>
    <row r="800" spans="1:51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797</v>
      </c>
      <c r="AK800">
        <v>398.5</v>
      </c>
      <c r="AY800">
        <v>398.5</v>
      </c>
    </row>
    <row r="801" spans="1:51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798</v>
      </c>
      <c r="AK801">
        <v>399</v>
      </c>
      <c r="AY801">
        <v>399</v>
      </c>
    </row>
    <row r="802" spans="1:51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799</v>
      </c>
      <c r="AK802">
        <v>399.5</v>
      </c>
      <c r="AY802">
        <v>399.5</v>
      </c>
    </row>
    <row r="803" spans="1:51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800</v>
      </c>
      <c r="AK803">
        <v>400</v>
      </c>
      <c r="AY803">
        <v>400</v>
      </c>
    </row>
    <row r="804" spans="1:51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801</v>
      </c>
      <c r="AK804">
        <v>400.5</v>
      </c>
      <c r="AY804">
        <v>400.5</v>
      </c>
    </row>
    <row r="805" spans="1:51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802</v>
      </c>
      <c r="AK805">
        <v>401</v>
      </c>
      <c r="AY805">
        <v>401</v>
      </c>
    </row>
    <row r="806" spans="1:51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803</v>
      </c>
      <c r="AK806">
        <v>401.5</v>
      </c>
      <c r="AY806">
        <v>401.5</v>
      </c>
    </row>
    <row r="807" spans="1:51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804</v>
      </c>
      <c r="AK807">
        <v>402</v>
      </c>
      <c r="AY807">
        <v>402</v>
      </c>
    </row>
    <row r="808" spans="1:51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805</v>
      </c>
      <c r="AK808">
        <v>402.5</v>
      </c>
      <c r="AY808">
        <v>402.5</v>
      </c>
    </row>
    <row r="809" spans="1:51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806</v>
      </c>
      <c r="AK809">
        <v>403</v>
      </c>
      <c r="AY809">
        <v>403</v>
      </c>
    </row>
    <row r="810" spans="1:51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807</v>
      </c>
      <c r="AK810">
        <v>403.5</v>
      </c>
      <c r="AY810">
        <v>403.5</v>
      </c>
    </row>
    <row r="811" spans="1:51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808</v>
      </c>
      <c r="AK811">
        <v>404</v>
      </c>
      <c r="AY811">
        <v>404</v>
      </c>
    </row>
    <row r="812" spans="1:51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809</v>
      </c>
      <c r="AK812">
        <v>404.5</v>
      </c>
      <c r="AY812">
        <v>404.5</v>
      </c>
    </row>
    <row r="813" spans="1:51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810</v>
      </c>
      <c r="AK813">
        <v>405</v>
      </c>
      <c r="AY813">
        <v>405</v>
      </c>
    </row>
    <row r="814" spans="1:51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811</v>
      </c>
      <c r="AK814">
        <v>405.5</v>
      </c>
      <c r="AY814">
        <v>405.5</v>
      </c>
    </row>
    <row r="815" spans="1:51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812</v>
      </c>
      <c r="AK815">
        <v>406</v>
      </c>
      <c r="AY815">
        <v>406</v>
      </c>
    </row>
    <row r="816" spans="1:51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813</v>
      </c>
      <c r="AK816">
        <v>406.5</v>
      </c>
      <c r="AY816">
        <v>406.5</v>
      </c>
    </row>
    <row r="817" spans="1:51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814</v>
      </c>
      <c r="AK817">
        <v>407</v>
      </c>
      <c r="AY817">
        <v>407</v>
      </c>
    </row>
    <row r="818" spans="1:51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815</v>
      </c>
      <c r="AK818">
        <v>407.5</v>
      </c>
      <c r="AY818">
        <v>407.5</v>
      </c>
    </row>
    <row r="819" spans="1:51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816</v>
      </c>
      <c r="AK819">
        <v>408</v>
      </c>
      <c r="AY819">
        <v>408</v>
      </c>
    </row>
    <row r="820" spans="1:51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817</v>
      </c>
      <c r="AK820">
        <v>408.5</v>
      </c>
      <c r="AY820">
        <v>408.5</v>
      </c>
    </row>
    <row r="821" spans="1:51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818</v>
      </c>
      <c r="AK821">
        <v>409</v>
      </c>
      <c r="AY821">
        <v>409</v>
      </c>
    </row>
    <row r="822" spans="1:51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819</v>
      </c>
      <c r="AK822">
        <v>409.5</v>
      </c>
      <c r="AY822">
        <v>409.5</v>
      </c>
    </row>
    <row r="823" spans="1:51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820</v>
      </c>
      <c r="AK823">
        <v>410</v>
      </c>
      <c r="AY823">
        <v>410</v>
      </c>
    </row>
    <row r="824" spans="1:51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821</v>
      </c>
      <c r="AK824">
        <v>410.5</v>
      </c>
      <c r="AY824">
        <v>410.5</v>
      </c>
    </row>
    <row r="825" spans="1:51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822</v>
      </c>
      <c r="AK825">
        <v>411</v>
      </c>
      <c r="AY825">
        <v>411</v>
      </c>
    </row>
    <row r="826" spans="1:51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823</v>
      </c>
      <c r="AK826">
        <v>411.5</v>
      </c>
      <c r="AY826">
        <v>411.5</v>
      </c>
    </row>
    <row r="827" spans="1:51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824</v>
      </c>
      <c r="AK827">
        <v>412</v>
      </c>
      <c r="AY827">
        <v>412</v>
      </c>
    </row>
    <row r="828" spans="1:51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825</v>
      </c>
      <c r="AK828">
        <v>412.5</v>
      </c>
      <c r="AY828">
        <v>412.5</v>
      </c>
    </row>
    <row r="829" spans="1:51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826</v>
      </c>
      <c r="AK829">
        <v>413</v>
      </c>
      <c r="AY829">
        <v>413</v>
      </c>
    </row>
    <row r="830" spans="1:51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827</v>
      </c>
      <c r="AK830">
        <v>413.5</v>
      </c>
      <c r="AY830">
        <v>413.5</v>
      </c>
    </row>
    <row r="831" spans="1:51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828</v>
      </c>
      <c r="AK831">
        <v>414</v>
      </c>
      <c r="AY831">
        <v>414</v>
      </c>
    </row>
    <row r="832" spans="1:51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829</v>
      </c>
      <c r="AK832">
        <v>414.5</v>
      </c>
      <c r="AY832">
        <v>414.5</v>
      </c>
    </row>
    <row r="833" spans="1:51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830</v>
      </c>
      <c r="AK833">
        <v>415</v>
      </c>
      <c r="AY833">
        <v>415</v>
      </c>
    </row>
    <row r="834" spans="1:51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831</v>
      </c>
      <c r="AK834">
        <v>415.5</v>
      </c>
      <c r="AY834">
        <v>415.5</v>
      </c>
    </row>
    <row r="835" spans="1:51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832</v>
      </c>
      <c r="AK835">
        <v>416</v>
      </c>
      <c r="AY835">
        <v>416</v>
      </c>
    </row>
    <row r="836" spans="1:51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833</v>
      </c>
      <c r="AK836">
        <v>416.5</v>
      </c>
      <c r="AY836">
        <v>416.5</v>
      </c>
    </row>
    <row r="837" spans="1:51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834</v>
      </c>
      <c r="AK837">
        <v>417</v>
      </c>
      <c r="AY837">
        <v>417</v>
      </c>
    </row>
    <row r="838" spans="1:51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835</v>
      </c>
      <c r="AK838">
        <v>417.5</v>
      </c>
      <c r="AY838">
        <v>417.5</v>
      </c>
    </row>
    <row r="839" spans="1:51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836</v>
      </c>
      <c r="AK839">
        <v>418</v>
      </c>
      <c r="AY839">
        <v>418</v>
      </c>
    </row>
    <row r="840" spans="1:51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837</v>
      </c>
      <c r="AK840">
        <v>418.5</v>
      </c>
      <c r="AY840">
        <v>418.5</v>
      </c>
    </row>
    <row r="841" spans="1:51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838</v>
      </c>
      <c r="AK841">
        <v>419</v>
      </c>
      <c r="AY841">
        <v>419</v>
      </c>
    </row>
    <row r="842" spans="1:51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839</v>
      </c>
      <c r="AK842">
        <v>419.5</v>
      </c>
      <c r="AY842">
        <v>419.5</v>
      </c>
    </row>
    <row r="843" spans="1:51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840</v>
      </c>
      <c r="AK843">
        <v>420</v>
      </c>
      <c r="AY843">
        <v>420</v>
      </c>
    </row>
    <row r="844" spans="1:51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841</v>
      </c>
      <c r="AK844">
        <v>420.5</v>
      </c>
      <c r="AY844">
        <v>420.5</v>
      </c>
    </row>
    <row r="845" spans="1:51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842</v>
      </c>
      <c r="AK845">
        <v>421</v>
      </c>
      <c r="AY845">
        <v>421</v>
      </c>
    </row>
    <row r="846" spans="1:51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843</v>
      </c>
      <c r="AK846">
        <v>421.5</v>
      </c>
      <c r="AY846">
        <v>421.5</v>
      </c>
    </row>
    <row r="847" spans="1:51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844</v>
      </c>
      <c r="AK847">
        <v>422</v>
      </c>
      <c r="AY847">
        <v>422</v>
      </c>
    </row>
    <row r="848" spans="1:51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845</v>
      </c>
      <c r="AK848">
        <v>422.5</v>
      </c>
      <c r="AY848">
        <v>422.5</v>
      </c>
    </row>
    <row r="849" spans="1:51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846</v>
      </c>
      <c r="AK849">
        <v>423</v>
      </c>
      <c r="AY849">
        <v>423</v>
      </c>
    </row>
    <row r="850" spans="1:51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847</v>
      </c>
      <c r="AK850">
        <v>423.5</v>
      </c>
      <c r="AY850">
        <v>423.5</v>
      </c>
    </row>
    <row r="851" spans="1:51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848</v>
      </c>
      <c r="AK851">
        <v>424</v>
      </c>
      <c r="AY851">
        <v>424</v>
      </c>
    </row>
    <row r="852" spans="1:51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849</v>
      </c>
      <c r="AK852">
        <v>424.5</v>
      </c>
      <c r="AY852">
        <v>424.5</v>
      </c>
    </row>
    <row r="853" spans="1:51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850</v>
      </c>
      <c r="AK853">
        <v>425</v>
      </c>
      <c r="AY853">
        <v>425</v>
      </c>
    </row>
    <row r="854" spans="1:51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851</v>
      </c>
      <c r="AK854">
        <v>425.5</v>
      </c>
      <c r="AY854">
        <v>425.5</v>
      </c>
    </row>
    <row r="855" spans="1:51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852</v>
      </c>
      <c r="AK855">
        <v>426</v>
      </c>
      <c r="AY855">
        <v>426</v>
      </c>
    </row>
    <row r="856" spans="1:51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853</v>
      </c>
      <c r="AK856">
        <v>426.5</v>
      </c>
      <c r="AY856">
        <v>426.5</v>
      </c>
    </row>
    <row r="857" spans="1:51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854</v>
      </c>
      <c r="AK857">
        <v>427</v>
      </c>
      <c r="AY857">
        <v>427</v>
      </c>
    </row>
    <row r="858" spans="1:51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855</v>
      </c>
      <c r="AK858">
        <v>427.5</v>
      </c>
      <c r="AY858">
        <v>427.5</v>
      </c>
    </row>
    <row r="859" spans="1:51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856</v>
      </c>
      <c r="AK859">
        <v>428</v>
      </c>
      <c r="AY859">
        <v>428</v>
      </c>
    </row>
    <row r="860" spans="1:51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857</v>
      </c>
      <c r="AK860">
        <v>428.5</v>
      </c>
      <c r="AY860">
        <v>428.5</v>
      </c>
    </row>
    <row r="861" spans="1:51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858</v>
      </c>
      <c r="AK861">
        <v>429</v>
      </c>
      <c r="AY861">
        <v>429</v>
      </c>
    </row>
    <row r="862" spans="1:51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859</v>
      </c>
      <c r="AK862">
        <v>429.5</v>
      </c>
      <c r="AY862">
        <v>429.5</v>
      </c>
    </row>
    <row r="863" spans="1:51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860</v>
      </c>
      <c r="AK863">
        <v>430</v>
      </c>
      <c r="AY863">
        <v>430</v>
      </c>
    </row>
    <row r="864" spans="1:51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861</v>
      </c>
      <c r="AK864">
        <v>430.5</v>
      </c>
      <c r="AY864">
        <v>430.5</v>
      </c>
    </row>
    <row r="865" spans="1:51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862</v>
      </c>
      <c r="AK865">
        <v>431</v>
      </c>
      <c r="AY865">
        <v>431</v>
      </c>
    </row>
    <row r="866" spans="1:51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863</v>
      </c>
      <c r="AK866">
        <v>431.5</v>
      </c>
      <c r="AY866">
        <v>431.5</v>
      </c>
    </row>
    <row r="867" spans="1:51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864</v>
      </c>
      <c r="AK867">
        <v>432</v>
      </c>
      <c r="AY867">
        <v>432</v>
      </c>
    </row>
    <row r="868" spans="1:51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865</v>
      </c>
      <c r="AK868">
        <v>432.5</v>
      </c>
      <c r="AY868">
        <v>432.5</v>
      </c>
    </row>
    <row r="869" spans="1:51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866</v>
      </c>
      <c r="AK869">
        <v>433</v>
      </c>
      <c r="AY869">
        <v>433</v>
      </c>
    </row>
    <row r="870" spans="1:51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867</v>
      </c>
      <c r="AK870">
        <v>433.5</v>
      </c>
      <c r="AY870">
        <v>433.5</v>
      </c>
    </row>
    <row r="871" spans="1:51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868</v>
      </c>
      <c r="AK871">
        <v>434</v>
      </c>
      <c r="AY871">
        <v>434</v>
      </c>
    </row>
    <row r="872" spans="1:51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869</v>
      </c>
      <c r="AK872">
        <v>434.5</v>
      </c>
      <c r="AY872">
        <v>434.5</v>
      </c>
    </row>
    <row r="873" spans="1:51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870</v>
      </c>
      <c r="AK873">
        <v>435</v>
      </c>
      <c r="AY873">
        <v>435</v>
      </c>
    </row>
    <row r="874" spans="1:51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871</v>
      </c>
      <c r="AK874">
        <v>435.5</v>
      </c>
      <c r="AY874">
        <v>435.5</v>
      </c>
    </row>
    <row r="875" spans="1:51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872</v>
      </c>
      <c r="AK875">
        <v>436</v>
      </c>
      <c r="AY875">
        <v>436</v>
      </c>
    </row>
    <row r="876" spans="1:51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873</v>
      </c>
      <c r="AK876">
        <v>436.5</v>
      </c>
      <c r="AY876">
        <v>436.5</v>
      </c>
    </row>
    <row r="877" spans="1:51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874</v>
      </c>
      <c r="AK877">
        <v>437</v>
      </c>
      <c r="AY877">
        <v>437</v>
      </c>
    </row>
    <row r="878" spans="1:51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875</v>
      </c>
      <c r="AK878">
        <v>437.5</v>
      </c>
      <c r="AY878">
        <v>437.5</v>
      </c>
    </row>
    <row r="879" spans="1:51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876</v>
      </c>
      <c r="AK879">
        <v>438</v>
      </c>
      <c r="AY879">
        <v>438</v>
      </c>
    </row>
    <row r="880" spans="1:51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877</v>
      </c>
      <c r="AK880">
        <v>438.5</v>
      </c>
      <c r="AY880">
        <v>438.5</v>
      </c>
    </row>
    <row r="881" spans="1:51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878</v>
      </c>
      <c r="AK881">
        <v>439</v>
      </c>
      <c r="AY881">
        <v>439</v>
      </c>
    </row>
    <row r="882" spans="1:51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879</v>
      </c>
      <c r="AK882">
        <v>439.5</v>
      </c>
      <c r="AY882">
        <v>439.5</v>
      </c>
    </row>
    <row r="883" spans="1:51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880</v>
      </c>
      <c r="AK883">
        <v>440</v>
      </c>
      <c r="AY883">
        <v>440</v>
      </c>
    </row>
    <row r="884" spans="1:51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881</v>
      </c>
      <c r="AK884">
        <v>440.5</v>
      </c>
      <c r="AY884">
        <v>440.5</v>
      </c>
    </row>
    <row r="885" spans="1:51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882</v>
      </c>
      <c r="AK885">
        <v>441</v>
      </c>
      <c r="AY885">
        <v>441</v>
      </c>
    </row>
    <row r="886" spans="1:51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883</v>
      </c>
      <c r="AK886">
        <v>441.5</v>
      </c>
      <c r="AY886">
        <v>441.5</v>
      </c>
    </row>
    <row r="887" spans="1:51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884</v>
      </c>
      <c r="AK887">
        <v>442</v>
      </c>
      <c r="AY887">
        <v>442</v>
      </c>
    </row>
    <row r="888" spans="1:51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885</v>
      </c>
      <c r="AK888">
        <v>442.5</v>
      </c>
      <c r="AY888">
        <v>442.5</v>
      </c>
    </row>
    <row r="889" spans="1:51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886</v>
      </c>
      <c r="AK889">
        <v>443</v>
      </c>
      <c r="AY889">
        <v>443</v>
      </c>
    </row>
    <row r="890" spans="1:51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887</v>
      </c>
      <c r="AK890">
        <v>443.5</v>
      </c>
      <c r="AY890">
        <v>443.5</v>
      </c>
    </row>
    <row r="891" spans="1:51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888</v>
      </c>
      <c r="AK891">
        <v>444</v>
      </c>
      <c r="AY891">
        <v>444</v>
      </c>
    </row>
    <row r="892" spans="1:51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889</v>
      </c>
      <c r="AK892">
        <v>444.5</v>
      </c>
      <c r="AY892">
        <v>444.5</v>
      </c>
    </row>
    <row r="893" spans="1:51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890</v>
      </c>
      <c r="AK893">
        <v>445</v>
      </c>
      <c r="AY893">
        <v>445</v>
      </c>
    </row>
    <row r="894" spans="1:51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891</v>
      </c>
      <c r="AK894">
        <v>445.5</v>
      </c>
      <c r="AY894">
        <v>445.5</v>
      </c>
    </row>
    <row r="895" spans="1:51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892</v>
      </c>
      <c r="AK895">
        <v>446</v>
      </c>
      <c r="AY895">
        <v>446</v>
      </c>
    </row>
    <row r="896" spans="1:51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893</v>
      </c>
      <c r="AK896">
        <v>446.5</v>
      </c>
      <c r="AY896">
        <v>446.5</v>
      </c>
    </row>
    <row r="897" spans="1:51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894</v>
      </c>
      <c r="AK897">
        <v>447</v>
      </c>
      <c r="AY897">
        <v>447</v>
      </c>
    </row>
    <row r="898" spans="1:51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895</v>
      </c>
      <c r="AK898">
        <v>447.5</v>
      </c>
      <c r="AY898">
        <v>447.5</v>
      </c>
    </row>
    <row r="899" spans="1:51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896</v>
      </c>
      <c r="AK899">
        <v>448</v>
      </c>
      <c r="AY899">
        <v>448</v>
      </c>
    </row>
    <row r="900" spans="1:51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897</v>
      </c>
      <c r="AK900">
        <v>448.5</v>
      </c>
      <c r="AY900">
        <v>448.5</v>
      </c>
    </row>
    <row r="901" spans="1:51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898</v>
      </c>
      <c r="AK901">
        <v>449</v>
      </c>
      <c r="AY901">
        <v>449</v>
      </c>
    </row>
    <row r="902" spans="1:51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899</v>
      </c>
      <c r="AK902">
        <v>449.5</v>
      </c>
      <c r="AY902">
        <v>449.5</v>
      </c>
    </row>
    <row r="903" spans="1:51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900</v>
      </c>
      <c r="AK903">
        <v>450</v>
      </c>
      <c r="AY903">
        <v>450</v>
      </c>
    </row>
    <row r="904" spans="1:51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901</v>
      </c>
      <c r="AK904">
        <v>450.5</v>
      </c>
      <c r="AY904">
        <v>450.5</v>
      </c>
    </row>
    <row r="905" spans="1:51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902</v>
      </c>
      <c r="AK905">
        <v>451</v>
      </c>
      <c r="AY905">
        <v>451</v>
      </c>
    </row>
    <row r="906" spans="1:51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903</v>
      </c>
      <c r="AK906">
        <v>451.5</v>
      </c>
      <c r="AY906">
        <v>451.5</v>
      </c>
    </row>
    <row r="907" spans="1:51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904</v>
      </c>
      <c r="AK907">
        <v>452</v>
      </c>
      <c r="AY907">
        <v>452</v>
      </c>
    </row>
    <row r="908" spans="1:51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905</v>
      </c>
      <c r="AK908">
        <v>452.5</v>
      </c>
      <c r="AY908">
        <v>452.5</v>
      </c>
    </row>
    <row r="909" spans="1:51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906</v>
      </c>
      <c r="AK909">
        <v>453</v>
      </c>
      <c r="AY909">
        <v>453</v>
      </c>
    </row>
    <row r="910" spans="1:51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907</v>
      </c>
      <c r="AK910">
        <v>453.5</v>
      </c>
      <c r="AY910">
        <v>453.5</v>
      </c>
    </row>
    <row r="911" spans="1:51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908</v>
      </c>
      <c r="AK911">
        <v>454</v>
      </c>
      <c r="AY911">
        <v>454</v>
      </c>
    </row>
    <row r="912" spans="1:51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909</v>
      </c>
      <c r="AK912">
        <v>454.5</v>
      </c>
      <c r="AY912">
        <v>454.5</v>
      </c>
    </row>
    <row r="913" spans="1:51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910</v>
      </c>
      <c r="AK913">
        <v>455</v>
      </c>
      <c r="AY913">
        <v>455</v>
      </c>
    </row>
    <row r="914" spans="1:51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911</v>
      </c>
      <c r="AK914">
        <v>455.5</v>
      </c>
      <c r="AY914">
        <v>455.5</v>
      </c>
    </row>
    <row r="915" spans="1:51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912</v>
      </c>
      <c r="AK915">
        <v>456</v>
      </c>
      <c r="AY915">
        <v>456</v>
      </c>
    </row>
    <row r="916" spans="1:51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913</v>
      </c>
      <c r="AK916">
        <v>456.5</v>
      </c>
      <c r="AY916">
        <v>456.5</v>
      </c>
    </row>
    <row r="917" spans="1:51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914</v>
      </c>
      <c r="AK917">
        <v>457</v>
      </c>
      <c r="AY917">
        <v>457</v>
      </c>
    </row>
    <row r="918" spans="1:51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915</v>
      </c>
      <c r="AK918">
        <v>457.5</v>
      </c>
      <c r="AY918">
        <v>457.5</v>
      </c>
    </row>
    <row r="919" spans="1:51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916</v>
      </c>
      <c r="AK919">
        <v>458</v>
      </c>
      <c r="AY919">
        <v>458</v>
      </c>
    </row>
    <row r="920" spans="1:51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917</v>
      </c>
      <c r="AK920">
        <v>458.5</v>
      </c>
      <c r="AY920">
        <v>458.5</v>
      </c>
    </row>
    <row r="921" spans="1:51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918</v>
      </c>
      <c r="AK921">
        <v>459</v>
      </c>
      <c r="AY921">
        <v>459</v>
      </c>
    </row>
    <row r="922" spans="1:51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919</v>
      </c>
      <c r="AK922">
        <v>459.5</v>
      </c>
      <c r="AY922">
        <v>459.5</v>
      </c>
    </row>
    <row r="923" spans="1:51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920</v>
      </c>
      <c r="AK923">
        <v>460</v>
      </c>
      <c r="AY923">
        <v>460</v>
      </c>
    </row>
    <row r="924" spans="1:51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921</v>
      </c>
      <c r="AK924">
        <v>460.5</v>
      </c>
      <c r="AY924">
        <v>460.5</v>
      </c>
    </row>
    <row r="925" spans="1:51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922</v>
      </c>
      <c r="AK925">
        <v>461</v>
      </c>
      <c r="AY925">
        <v>461</v>
      </c>
    </row>
    <row r="926" spans="1:51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923</v>
      </c>
      <c r="AK926">
        <v>461.5</v>
      </c>
      <c r="AY926">
        <v>461.5</v>
      </c>
    </row>
    <row r="927" spans="1:51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924</v>
      </c>
      <c r="AK927">
        <v>462</v>
      </c>
      <c r="AY927">
        <v>462</v>
      </c>
    </row>
    <row r="928" spans="1:51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925</v>
      </c>
      <c r="AK928">
        <v>462.5</v>
      </c>
      <c r="AY928">
        <v>462.5</v>
      </c>
    </row>
    <row r="929" spans="1:51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926</v>
      </c>
      <c r="AK929">
        <v>463</v>
      </c>
      <c r="AY929">
        <v>463</v>
      </c>
    </row>
    <row r="930" spans="1:51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927</v>
      </c>
      <c r="AK930">
        <v>463.5</v>
      </c>
      <c r="AY930">
        <v>463.5</v>
      </c>
    </row>
    <row r="931" spans="1:51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928</v>
      </c>
      <c r="AK931">
        <v>464</v>
      </c>
      <c r="AY931">
        <v>464</v>
      </c>
    </row>
    <row r="932" spans="1:51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929</v>
      </c>
      <c r="AK932">
        <v>464.5</v>
      </c>
      <c r="AY932">
        <v>464.5</v>
      </c>
    </row>
    <row r="933" spans="1:51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930</v>
      </c>
      <c r="AK933">
        <v>465</v>
      </c>
      <c r="AY933">
        <v>465</v>
      </c>
    </row>
    <row r="934" spans="1:51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931</v>
      </c>
      <c r="AK934">
        <v>465.5</v>
      </c>
      <c r="AY934">
        <v>465.5</v>
      </c>
    </row>
    <row r="935" spans="1:51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932</v>
      </c>
      <c r="AK935">
        <v>466</v>
      </c>
      <c r="AY935">
        <v>466</v>
      </c>
    </row>
    <row r="936" spans="1:51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933</v>
      </c>
      <c r="AK936">
        <v>466.5</v>
      </c>
      <c r="AY936">
        <v>466.5</v>
      </c>
    </row>
    <row r="937" spans="1:51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934</v>
      </c>
      <c r="AK937">
        <v>467</v>
      </c>
      <c r="AY937">
        <v>467</v>
      </c>
    </row>
    <row r="938" spans="1:51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935</v>
      </c>
      <c r="AK938">
        <v>467.5</v>
      </c>
      <c r="AY938">
        <v>467.5</v>
      </c>
    </row>
    <row r="939" spans="1:51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936</v>
      </c>
      <c r="AK939">
        <v>468</v>
      </c>
      <c r="AY939">
        <v>468</v>
      </c>
    </row>
    <row r="940" spans="1:51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937</v>
      </c>
      <c r="AK940">
        <v>468.5</v>
      </c>
      <c r="AY940">
        <v>468.5</v>
      </c>
    </row>
    <row r="941" spans="1:51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938</v>
      </c>
      <c r="AK941">
        <v>469</v>
      </c>
      <c r="AY941">
        <v>469</v>
      </c>
    </row>
    <row r="942" spans="1:51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939</v>
      </c>
      <c r="AK942">
        <v>469.5</v>
      </c>
      <c r="AY942">
        <v>469.5</v>
      </c>
    </row>
    <row r="943" spans="1:51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940</v>
      </c>
      <c r="AK943">
        <v>470</v>
      </c>
      <c r="AY943">
        <v>470</v>
      </c>
    </row>
    <row r="944" spans="1:51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941</v>
      </c>
      <c r="AK944">
        <v>470.5</v>
      </c>
      <c r="AY944">
        <v>470.5</v>
      </c>
    </row>
    <row r="945" spans="1:51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942</v>
      </c>
      <c r="AK945">
        <v>471</v>
      </c>
      <c r="AY945">
        <v>471</v>
      </c>
    </row>
    <row r="946" spans="1:51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943</v>
      </c>
      <c r="AK946">
        <v>471.5</v>
      </c>
      <c r="AY946">
        <v>471.5</v>
      </c>
    </row>
    <row r="947" spans="1:51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944</v>
      </c>
      <c r="AK947">
        <v>472</v>
      </c>
      <c r="AY947">
        <v>472</v>
      </c>
    </row>
    <row r="948" spans="1:51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945</v>
      </c>
      <c r="AK948">
        <v>472.5</v>
      </c>
      <c r="AY948">
        <v>472.5</v>
      </c>
    </row>
    <row r="949" spans="1:51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946</v>
      </c>
      <c r="AK949">
        <v>473</v>
      </c>
      <c r="AY949">
        <v>473</v>
      </c>
    </row>
    <row r="950" spans="1:51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947</v>
      </c>
      <c r="AK950">
        <v>473.5</v>
      </c>
      <c r="AY950">
        <v>473.5</v>
      </c>
    </row>
    <row r="951" spans="1:51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948</v>
      </c>
      <c r="AK951">
        <v>474</v>
      </c>
      <c r="AY951">
        <v>474</v>
      </c>
    </row>
    <row r="952" spans="1:51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949</v>
      </c>
      <c r="AK952">
        <v>474.5</v>
      </c>
      <c r="AY952">
        <v>474.5</v>
      </c>
    </row>
    <row r="953" spans="1:51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950</v>
      </c>
      <c r="AK953">
        <v>475</v>
      </c>
      <c r="AY953">
        <v>475</v>
      </c>
    </row>
    <row r="954" spans="1:51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951</v>
      </c>
      <c r="AK954">
        <v>475.5</v>
      </c>
      <c r="AY954">
        <v>475.5</v>
      </c>
    </row>
    <row r="955" spans="1:51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952</v>
      </c>
      <c r="AK955">
        <v>476</v>
      </c>
      <c r="AY955">
        <v>476</v>
      </c>
    </row>
    <row r="956" spans="1:51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953</v>
      </c>
      <c r="AK956">
        <v>476.5</v>
      </c>
      <c r="AY956">
        <v>476.5</v>
      </c>
    </row>
    <row r="957" spans="1:51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954</v>
      </c>
      <c r="AK957">
        <v>477</v>
      </c>
      <c r="AY957">
        <v>477</v>
      </c>
    </row>
    <row r="958" spans="1:51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955</v>
      </c>
      <c r="AK958">
        <v>477.5</v>
      </c>
      <c r="AY958">
        <v>477.5</v>
      </c>
    </row>
    <row r="959" spans="1:51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956</v>
      </c>
      <c r="AK959">
        <v>478</v>
      </c>
      <c r="AY959">
        <v>478</v>
      </c>
    </row>
    <row r="960" spans="1:51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957</v>
      </c>
      <c r="AK960">
        <v>478.5</v>
      </c>
      <c r="AY960">
        <v>478.5</v>
      </c>
    </row>
    <row r="961" spans="1:51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958</v>
      </c>
      <c r="AK961">
        <v>479</v>
      </c>
      <c r="AY961">
        <v>479</v>
      </c>
    </row>
    <row r="962" spans="1:51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959</v>
      </c>
      <c r="AK962">
        <v>479.5</v>
      </c>
      <c r="AY962">
        <v>479.5</v>
      </c>
    </row>
    <row r="963" spans="1:51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960</v>
      </c>
      <c r="AK963">
        <v>480</v>
      </c>
      <c r="AY963">
        <v>480</v>
      </c>
    </row>
    <row r="964" spans="1:51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961</v>
      </c>
      <c r="AK964">
        <v>480.5</v>
      </c>
      <c r="AY964">
        <v>480.5</v>
      </c>
    </row>
    <row r="965" spans="1:51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962</v>
      </c>
      <c r="AK965">
        <v>481</v>
      </c>
      <c r="AY965">
        <v>481</v>
      </c>
    </row>
    <row r="966" spans="1:51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963</v>
      </c>
      <c r="AK966">
        <v>481.5</v>
      </c>
      <c r="AY966">
        <v>481.5</v>
      </c>
    </row>
    <row r="967" spans="1:51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964</v>
      </c>
      <c r="AK967">
        <v>482</v>
      </c>
      <c r="AY967">
        <v>482</v>
      </c>
    </row>
    <row r="968" spans="1:51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965</v>
      </c>
      <c r="AK968">
        <v>482.5</v>
      </c>
      <c r="AY968">
        <v>482.5</v>
      </c>
    </row>
    <row r="969" spans="1:51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966</v>
      </c>
      <c r="AK969">
        <v>483</v>
      </c>
      <c r="AY969">
        <v>483</v>
      </c>
    </row>
    <row r="970" spans="1:51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967</v>
      </c>
      <c r="AK970">
        <v>483.5</v>
      </c>
      <c r="AY970">
        <v>483.5</v>
      </c>
    </row>
    <row r="971" spans="1:51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968</v>
      </c>
      <c r="AK971">
        <v>484</v>
      </c>
      <c r="AY971">
        <v>484</v>
      </c>
    </row>
    <row r="972" spans="1:51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969</v>
      </c>
      <c r="AK972">
        <v>484.5</v>
      </c>
      <c r="AY972">
        <v>484.5</v>
      </c>
    </row>
    <row r="973" spans="1:51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970</v>
      </c>
      <c r="AK973">
        <v>485</v>
      </c>
      <c r="AY973">
        <v>485</v>
      </c>
    </row>
    <row r="974" spans="1:51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971</v>
      </c>
      <c r="AK974">
        <v>485.5</v>
      </c>
      <c r="AY974">
        <v>485.5</v>
      </c>
    </row>
    <row r="975" spans="1:51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972</v>
      </c>
      <c r="AK975">
        <v>486</v>
      </c>
      <c r="AY975">
        <v>486</v>
      </c>
    </row>
    <row r="976" spans="1:51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973</v>
      </c>
      <c r="AK976">
        <v>486.5</v>
      </c>
      <c r="AY976">
        <v>486.5</v>
      </c>
    </row>
    <row r="977" spans="1:51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974</v>
      </c>
      <c r="AK977">
        <v>487</v>
      </c>
      <c r="AY977">
        <v>487</v>
      </c>
    </row>
    <row r="978" spans="1:51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975</v>
      </c>
      <c r="AK978">
        <v>487.5</v>
      </c>
      <c r="AY978">
        <v>487.5</v>
      </c>
    </row>
    <row r="979" spans="1:51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976</v>
      </c>
      <c r="AK979">
        <v>488</v>
      </c>
      <c r="AY979">
        <v>488</v>
      </c>
    </row>
    <row r="980" spans="1:51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977</v>
      </c>
      <c r="AK980">
        <v>488.5</v>
      </c>
      <c r="AY980">
        <v>488.5</v>
      </c>
    </row>
    <row r="981" spans="1:51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978</v>
      </c>
      <c r="AK981">
        <v>489</v>
      </c>
      <c r="AY981">
        <v>489</v>
      </c>
    </row>
    <row r="982" spans="1:51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979</v>
      </c>
      <c r="AK982">
        <v>489.5</v>
      </c>
      <c r="AY982">
        <v>489.5</v>
      </c>
    </row>
    <row r="983" spans="1:51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980</v>
      </c>
      <c r="AK983">
        <v>490</v>
      </c>
      <c r="AY983">
        <v>490</v>
      </c>
    </row>
    <row r="984" spans="1:51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981</v>
      </c>
      <c r="AK984">
        <v>490.5</v>
      </c>
      <c r="AY984">
        <v>490.5</v>
      </c>
    </row>
    <row r="985" spans="1:51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982</v>
      </c>
      <c r="AK985">
        <v>491</v>
      </c>
      <c r="AY985">
        <v>491</v>
      </c>
    </row>
    <row r="986" spans="1:51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983</v>
      </c>
      <c r="AK986">
        <v>491.5</v>
      </c>
      <c r="AY986">
        <v>491.5</v>
      </c>
    </row>
    <row r="987" spans="1:51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984</v>
      </c>
      <c r="AK987">
        <v>492</v>
      </c>
      <c r="AY987">
        <v>492</v>
      </c>
    </row>
    <row r="988" spans="1:51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985</v>
      </c>
      <c r="AK988">
        <v>492.5</v>
      </c>
      <c r="AY988">
        <v>492.5</v>
      </c>
    </row>
    <row r="989" spans="1:51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986</v>
      </c>
      <c r="AK989">
        <v>493</v>
      </c>
      <c r="AY989">
        <v>493</v>
      </c>
    </row>
    <row r="990" spans="1:51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987</v>
      </c>
      <c r="AK990">
        <v>493.5</v>
      </c>
      <c r="AY990">
        <v>493.5</v>
      </c>
    </row>
    <row r="991" spans="1:51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988</v>
      </c>
      <c r="AK991">
        <v>494</v>
      </c>
      <c r="AY991">
        <v>494</v>
      </c>
    </row>
    <row r="992" spans="1:51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989</v>
      </c>
      <c r="AK992">
        <v>494.5</v>
      </c>
      <c r="AY992">
        <v>494.5</v>
      </c>
    </row>
    <row r="993" spans="1:51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990</v>
      </c>
      <c r="AK993">
        <v>495</v>
      </c>
      <c r="AY993">
        <v>495</v>
      </c>
    </row>
    <row r="994" spans="1:51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991</v>
      </c>
      <c r="AK994">
        <v>495.5</v>
      </c>
      <c r="AY994">
        <v>495.5</v>
      </c>
    </row>
    <row r="995" spans="1:51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992</v>
      </c>
      <c r="AK995">
        <v>496</v>
      </c>
      <c r="AY995">
        <v>496</v>
      </c>
    </row>
    <row r="996" spans="1:51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993</v>
      </c>
      <c r="AK996">
        <v>496.5</v>
      </c>
      <c r="AY996">
        <v>496.5</v>
      </c>
    </row>
    <row r="997" spans="1:51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994</v>
      </c>
      <c r="AK997">
        <v>497</v>
      </c>
      <c r="AY997">
        <v>497</v>
      </c>
    </row>
    <row r="998" spans="1:51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995</v>
      </c>
      <c r="AK998">
        <v>497.5</v>
      </c>
      <c r="AY998">
        <v>497.5</v>
      </c>
    </row>
    <row r="999" spans="1:51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996</v>
      </c>
      <c r="AK999">
        <v>498</v>
      </c>
      <c r="AY999">
        <v>498</v>
      </c>
    </row>
    <row r="1000" spans="1:51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997</v>
      </c>
      <c r="AK1000">
        <v>498.5</v>
      </c>
      <c r="AY1000">
        <v>498.5</v>
      </c>
    </row>
    <row r="1001" spans="1:51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998</v>
      </c>
      <c r="AK1001">
        <v>499</v>
      </c>
      <c r="AY1001">
        <v>499</v>
      </c>
    </row>
    <row r="1002" spans="1:51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999</v>
      </c>
      <c r="AK1002">
        <v>499.5</v>
      </c>
      <c r="AY1002">
        <v>499.5</v>
      </c>
    </row>
    <row r="1003" spans="1:51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1000</v>
      </c>
      <c r="AK1003">
        <v>500</v>
      </c>
      <c r="AY1003">
        <v>500</v>
      </c>
    </row>
    <row r="1004" spans="1:51" x14ac:dyDescent="0.25">
      <c r="A1004" t="str">
        <f>H1</f>
        <v>FS HMin Mode1</v>
      </c>
    </row>
    <row r="1005" spans="1:51" x14ac:dyDescent="0.25">
      <c r="A1005" t="s">
        <v>9</v>
      </c>
    </row>
    <row r="1006" spans="1:51" x14ac:dyDescent="0.25">
      <c r="A1006" t="s">
        <v>6</v>
      </c>
    </row>
    <row r="1007" spans="1:51" x14ac:dyDescent="0.25">
      <c r="A1007" t="s">
        <v>7</v>
      </c>
    </row>
    <row r="1008" spans="1:51" x14ac:dyDescent="0.25">
      <c r="A1008" t="s">
        <v>8</v>
      </c>
    </row>
    <row r="1009" spans="1:24" x14ac:dyDescent="0.25">
      <c r="A1009" t="s">
        <v>43</v>
      </c>
    </row>
    <row r="1010" spans="1:24" x14ac:dyDescent="0.25">
      <c r="A1010" t="s">
        <v>44</v>
      </c>
    </row>
    <row r="1011" spans="1:24" x14ac:dyDescent="0.25">
      <c r="A1011" t="s">
        <v>10</v>
      </c>
    </row>
    <row r="1012" spans="1:24" x14ac:dyDescent="0.25">
      <c r="A1012" t="s">
        <v>2</v>
      </c>
    </row>
    <row r="1013" spans="1:24" x14ac:dyDescent="0.25">
      <c r="A1013" t="s">
        <v>3</v>
      </c>
    </row>
    <row r="1014" spans="1:24" x14ac:dyDescent="0.25">
      <c r="A1014" t="s">
        <v>11</v>
      </c>
    </row>
    <row r="1015" spans="1:24" x14ac:dyDescent="0.25">
      <c r="A1015" t="s">
        <v>12</v>
      </c>
    </row>
    <row r="1016" spans="1:24" x14ac:dyDescent="0.25">
      <c r="A1016" t="s">
        <v>4</v>
      </c>
    </row>
    <row r="1017" spans="1:24" x14ac:dyDescent="0.25">
      <c r="A1017" t="s">
        <v>5</v>
      </c>
    </row>
    <row r="1018" spans="1:24" x14ac:dyDescent="0.25">
      <c r="A1018" t="str">
        <f>V1</f>
        <v>FS HMin Mode2</v>
      </c>
    </row>
    <row r="1019" spans="1:24" x14ac:dyDescent="0.25">
      <c r="A1019" t="s">
        <v>9</v>
      </c>
    </row>
    <row r="1020" spans="1:24" x14ac:dyDescent="0.25">
      <c r="A1020" t="s">
        <v>6</v>
      </c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1:24" x14ac:dyDescent="0.25">
      <c r="A1021" t="s">
        <v>7</v>
      </c>
      <c r="W1021" s="1"/>
    </row>
    <row r="1022" spans="1:24" x14ac:dyDescent="0.25">
      <c r="A1022" t="s">
        <v>8</v>
      </c>
    </row>
    <row r="1023" spans="1:24" x14ac:dyDescent="0.25">
      <c r="A1023" t="s">
        <v>43</v>
      </c>
      <c r="T1023" s="1"/>
      <c r="U1023" s="1"/>
      <c r="V1023" s="1"/>
      <c r="W1023" s="1"/>
      <c r="X1023" s="1"/>
    </row>
    <row r="1024" spans="1:24" x14ac:dyDescent="0.25">
      <c r="A1024" t="s">
        <v>44</v>
      </c>
      <c r="W1024" s="1"/>
    </row>
    <row r="1025" spans="1:11" x14ac:dyDescent="0.25">
      <c r="A1025" t="s">
        <v>10</v>
      </c>
    </row>
    <row r="1026" spans="1:11" x14ac:dyDescent="0.25">
      <c r="A1026" t="s">
        <v>2</v>
      </c>
    </row>
    <row r="1027" spans="1:11" x14ac:dyDescent="0.25">
      <c r="A1027" t="s">
        <v>3</v>
      </c>
    </row>
    <row r="1028" spans="1:11" x14ac:dyDescent="0.25">
      <c r="A1028" t="s">
        <v>11</v>
      </c>
      <c r="H1028" s="1"/>
      <c r="I1028" s="1"/>
      <c r="J1028" s="1"/>
      <c r="K1028" s="1"/>
    </row>
    <row r="1029" spans="1:11" x14ac:dyDescent="0.25">
      <c r="A1029" t="s">
        <v>12</v>
      </c>
      <c r="K1029" s="1"/>
    </row>
    <row r="1030" spans="1:11" x14ac:dyDescent="0.25">
      <c r="A1030" t="s">
        <v>4</v>
      </c>
      <c r="E1030" s="1"/>
      <c r="F1030" s="1"/>
      <c r="G1030" s="1"/>
      <c r="H1030" s="1"/>
      <c r="I1030" s="1"/>
      <c r="J1030" s="1"/>
      <c r="K1030" s="1"/>
    </row>
    <row r="1031" spans="1:11" x14ac:dyDescent="0.25">
      <c r="A1031" t="s">
        <v>5</v>
      </c>
      <c r="I1031" s="1"/>
      <c r="J1031" s="1"/>
      <c r="K1031" s="1"/>
    </row>
    <row r="1032" spans="1:11" x14ac:dyDescent="0.25">
      <c r="A1032" t="str">
        <f>AJ1</f>
        <v>FS HMax Mode1</v>
      </c>
    </row>
    <row r="1033" spans="1:11" x14ac:dyDescent="0.25">
      <c r="A1033" t="s">
        <v>9</v>
      </c>
    </row>
    <row r="1034" spans="1:11" x14ac:dyDescent="0.25">
      <c r="A1034" t="s">
        <v>6</v>
      </c>
    </row>
    <row r="1035" spans="1:11" x14ac:dyDescent="0.25">
      <c r="A1035" t="s">
        <v>7</v>
      </c>
    </row>
    <row r="1036" spans="1:11" x14ac:dyDescent="0.25">
      <c r="A1036" t="s">
        <v>8</v>
      </c>
    </row>
    <row r="1037" spans="1:11" x14ac:dyDescent="0.25">
      <c r="A1037" t="s">
        <v>43</v>
      </c>
    </row>
    <row r="1038" spans="1:11" x14ac:dyDescent="0.25">
      <c r="A1038" t="s">
        <v>44</v>
      </c>
    </row>
    <row r="1039" spans="1:11" x14ac:dyDescent="0.25">
      <c r="A1039" t="s">
        <v>10</v>
      </c>
    </row>
    <row r="1040" spans="1:11" x14ac:dyDescent="0.25">
      <c r="A1040" t="s">
        <v>2</v>
      </c>
    </row>
    <row r="1041" spans="1:12" x14ac:dyDescent="0.25">
      <c r="A1041" t="s">
        <v>3</v>
      </c>
    </row>
    <row r="1042" spans="1:12" x14ac:dyDescent="0.25">
      <c r="A1042" t="s">
        <v>11</v>
      </c>
    </row>
    <row r="1043" spans="1:12" x14ac:dyDescent="0.25">
      <c r="A1043" t="s">
        <v>12</v>
      </c>
    </row>
    <row r="1044" spans="1:12" x14ac:dyDescent="0.25">
      <c r="A1044" t="s">
        <v>4</v>
      </c>
    </row>
    <row r="1045" spans="1:12" x14ac:dyDescent="0.25">
      <c r="A1045" t="s">
        <v>5</v>
      </c>
    </row>
    <row r="1046" spans="1:12" x14ac:dyDescent="0.25">
      <c r="A1046" t="str">
        <f>AX1</f>
        <v>FS HMax Mode2</v>
      </c>
    </row>
    <row r="1047" spans="1:12" x14ac:dyDescent="0.25">
      <c r="A1047" t="s">
        <v>9</v>
      </c>
    </row>
    <row r="1048" spans="1:12" x14ac:dyDescent="0.25">
      <c r="A1048" t="s">
        <v>6</v>
      </c>
      <c r="F1048" s="1"/>
      <c r="G1048" s="1"/>
      <c r="H1048" s="1"/>
      <c r="I1048" s="1"/>
      <c r="J1048" s="1"/>
      <c r="K1048" s="1"/>
      <c r="L1048" s="1"/>
    </row>
    <row r="1049" spans="1:12" x14ac:dyDescent="0.25">
      <c r="A1049" t="s">
        <v>7</v>
      </c>
      <c r="F1049" s="1"/>
      <c r="G1049" s="1"/>
      <c r="H1049" s="1"/>
      <c r="I1049" s="1"/>
      <c r="J1049" s="1"/>
      <c r="K1049" s="1"/>
      <c r="L1049" s="1"/>
    </row>
    <row r="1050" spans="1:12" x14ac:dyDescent="0.25">
      <c r="A1050" t="s">
        <v>8</v>
      </c>
      <c r="J1050" s="1"/>
      <c r="K1050" s="1"/>
      <c r="L1050" s="1"/>
    </row>
    <row r="1051" spans="1:12" x14ac:dyDescent="0.25">
      <c r="A1051" t="s">
        <v>43</v>
      </c>
      <c r="H1051" s="1"/>
      <c r="I1051" s="1"/>
      <c r="J1051" s="1"/>
      <c r="K1051" s="1"/>
      <c r="L1051" s="1"/>
    </row>
    <row r="1052" spans="1:12" x14ac:dyDescent="0.25">
      <c r="A1052" t="s">
        <v>44</v>
      </c>
      <c r="L1052" s="1"/>
    </row>
    <row r="1053" spans="1:12" x14ac:dyDescent="0.25">
      <c r="A1053" t="s">
        <v>10</v>
      </c>
    </row>
    <row r="1054" spans="1:12" x14ac:dyDescent="0.25">
      <c r="A1054" t="s">
        <v>2</v>
      </c>
    </row>
    <row r="1055" spans="1:12" x14ac:dyDescent="0.25">
      <c r="A1055" t="s">
        <v>3</v>
      </c>
    </row>
    <row r="1056" spans="1:12" x14ac:dyDescent="0.25">
      <c r="A1056" t="s">
        <v>11</v>
      </c>
      <c r="K1056" s="1"/>
    </row>
    <row r="1057" spans="1:22" x14ac:dyDescent="0.25">
      <c r="A1057" t="s">
        <v>12</v>
      </c>
      <c r="H1057" s="1"/>
      <c r="I1057" s="1"/>
      <c r="J1057" s="1"/>
      <c r="K1057" s="1"/>
    </row>
    <row r="1058" spans="1:22" x14ac:dyDescent="0.25">
      <c r="A1058" t="s">
        <v>4</v>
      </c>
      <c r="J1058" s="1"/>
      <c r="K1058" s="1"/>
    </row>
    <row r="1059" spans="1:22" x14ac:dyDescent="0.25">
      <c r="A1059" t="s">
        <v>5</v>
      </c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1" spans="1:22" x14ac:dyDescent="0.25">
      <c r="A1061" t="s">
        <v>30</v>
      </c>
    </row>
    <row r="1062" spans="1:22" x14ac:dyDescent="0.25">
      <c r="A1062" t="str">
        <f>A1005</f>
        <v>Half-length</v>
      </c>
      <c r="B1062">
        <f>MAX(B1005,B1019)</f>
        <v>0</v>
      </c>
      <c r="C1062">
        <f t="shared" ref="C1062:V1062" si="0">MAX(C1005,C1019)</f>
        <v>0</v>
      </c>
      <c r="D1062">
        <f t="shared" si="0"/>
        <v>0</v>
      </c>
      <c r="E1062">
        <f t="shared" si="0"/>
        <v>0</v>
      </c>
      <c r="F1062">
        <f t="shared" si="0"/>
        <v>0</v>
      </c>
      <c r="G1062">
        <f t="shared" si="0"/>
        <v>0</v>
      </c>
      <c r="H1062">
        <f t="shared" si="0"/>
        <v>0</v>
      </c>
      <c r="I1062">
        <f t="shared" si="0"/>
        <v>0</v>
      </c>
      <c r="J1062">
        <f t="shared" si="0"/>
        <v>0</v>
      </c>
      <c r="K1062">
        <f t="shared" si="0"/>
        <v>0</v>
      </c>
      <c r="L1062">
        <f t="shared" si="0"/>
        <v>0</v>
      </c>
      <c r="M1062">
        <f t="shared" si="0"/>
        <v>0</v>
      </c>
      <c r="N1062">
        <f t="shared" si="0"/>
        <v>0</v>
      </c>
      <c r="O1062">
        <f t="shared" si="0"/>
        <v>0</v>
      </c>
      <c r="P1062">
        <f t="shared" si="0"/>
        <v>0</v>
      </c>
      <c r="Q1062">
        <f t="shared" si="0"/>
        <v>0</v>
      </c>
      <c r="R1062">
        <f t="shared" si="0"/>
        <v>0</v>
      </c>
      <c r="S1062">
        <f t="shared" si="0"/>
        <v>0</v>
      </c>
      <c r="T1062">
        <f t="shared" si="0"/>
        <v>0</v>
      </c>
      <c r="U1062">
        <f t="shared" si="0"/>
        <v>0</v>
      </c>
      <c r="V1062">
        <f t="shared" si="0"/>
        <v>0</v>
      </c>
    </row>
    <row r="1063" spans="1:22" x14ac:dyDescent="0.25">
      <c r="A1063" t="s">
        <v>59</v>
      </c>
      <c r="B1063">
        <f>SUM(B1006,B1020)</f>
        <v>0</v>
      </c>
      <c r="C1063">
        <f t="shared" ref="C1063:V1063" si="1">SUM(C1006,C1020)</f>
        <v>0</v>
      </c>
      <c r="D1063">
        <f t="shared" si="1"/>
        <v>0</v>
      </c>
      <c r="E1063">
        <f t="shared" si="1"/>
        <v>0</v>
      </c>
      <c r="F1063">
        <f t="shared" si="1"/>
        <v>0</v>
      </c>
      <c r="G1063">
        <f t="shared" si="1"/>
        <v>0</v>
      </c>
      <c r="H1063">
        <f t="shared" si="1"/>
        <v>0</v>
      </c>
      <c r="I1063">
        <f t="shared" si="1"/>
        <v>0</v>
      </c>
      <c r="J1063">
        <f t="shared" si="1"/>
        <v>0</v>
      </c>
      <c r="K1063">
        <f t="shared" si="1"/>
        <v>0</v>
      </c>
      <c r="L1063">
        <f t="shared" si="1"/>
        <v>0</v>
      </c>
      <c r="M1063">
        <f t="shared" si="1"/>
        <v>0</v>
      </c>
      <c r="N1063">
        <f t="shared" si="1"/>
        <v>0</v>
      </c>
      <c r="O1063">
        <f t="shared" si="1"/>
        <v>0</v>
      </c>
      <c r="P1063">
        <f t="shared" si="1"/>
        <v>0</v>
      </c>
      <c r="Q1063">
        <f t="shared" si="1"/>
        <v>0</v>
      </c>
      <c r="R1063">
        <f t="shared" si="1"/>
        <v>0</v>
      </c>
      <c r="S1063">
        <f t="shared" si="1"/>
        <v>0</v>
      </c>
      <c r="T1063">
        <f t="shared" si="1"/>
        <v>0</v>
      </c>
      <c r="U1063">
        <f t="shared" si="1"/>
        <v>0</v>
      </c>
      <c r="V1063">
        <f t="shared" si="1"/>
        <v>0</v>
      </c>
    </row>
    <row r="1064" spans="1:22" x14ac:dyDescent="0.25">
      <c r="A1064" t="s">
        <v>58</v>
      </c>
      <c r="B1064">
        <f>SUM(B1006:B1008,B1020:B1022)</f>
        <v>0</v>
      </c>
      <c r="C1064">
        <f t="shared" ref="C1064:V1064" si="2">SUM(C1006:C1008,C1020:C1022)</f>
        <v>0</v>
      </c>
      <c r="D1064">
        <f t="shared" si="2"/>
        <v>0</v>
      </c>
      <c r="E1064">
        <f t="shared" si="2"/>
        <v>0</v>
      </c>
      <c r="F1064">
        <f t="shared" si="2"/>
        <v>0</v>
      </c>
      <c r="G1064">
        <f t="shared" si="2"/>
        <v>0</v>
      </c>
      <c r="H1064">
        <f t="shared" si="2"/>
        <v>0</v>
      </c>
      <c r="I1064">
        <f t="shared" si="2"/>
        <v>0</v>
      </c>
      <c r="J1064">
        <f t="shared" si="2"/>
        <v>0</v>
      </c>
      <c r="K1064">
        <f t="shared" si="2"/>
        <v>0</v>
      </c>
      <c r="L1064">
        <f t="shared" si="2"/>
        <v>0</v>
      </c>
      <c r="M1064">
        <f t="shared" si="2"/>
        <v>0</v>
      </c>
      <c r="N1064">
        <f t="shared" si="2"/>
        <v>0</v>
      </c>
      <c r="O1064">
        <f t="shared" si="2"/>
        <v>0</v>
      </c>
      <c r="P1064">
        <f t="shared" si="2"/>
        <v>0</v>
      </c>
      <c r="Q1064">
        <f t="shared" si="2"/>
        <v>0</v>
      </c>
      <c r="R1064">
        <f t="shared" si="2"/>
        <v>0</v>
      </c>
      <c r="S1064">
        <f t="shared" si="2"/>
        <v>0</v>
      </c>
      <c r="T1064">
        <f t="shared" si="2"/>
        <v>0</v>
      </c>
      <c r="U1064">
        <f t="shared" si="2"/>
        <v>0</v>
      </c>
      <c r="V1064">
        <f t="shared" si="2"/>
        <v>0</v>
      </c>
    </row>
    <row r="1065" spans="1:22" x14ac:dyDescent="0.25">
      <c r="A1065" t="s">
        <v>60</v>
      </c>
      <c r="B1065">
        <f>SUM(B1009,B1023)</f>
        <v>0</v>
      </c>
      <c r="C1065">
        <f t="shared" ref="C1065:V1065" si="3">SUM(C1009,C1023)</f>
        <v>0</v>
      </c>
      <c r="D1065">
        <f t="shared" si="3"/>
        <v>0</v>
      </c>
      <c r="E1065">
        <f t="shared" si="3"/>
        <v>0</v>
      </c>
      <c r="F1065">
        <f t="shared" si="3"/>
        <v>0</v>
      </c>
      <c r="G1065">
        <f t="shared" si="3"/>
        <v>0</v>
      </c>
      <c r="H1065">
        <f t="shared" si="3"/>
        <v>0</v>
      </c>
      <c r="I1065">
        <f t="shared" si="3"/>
        <v>0</v>
      </c>
      <c r="J1065">
        <f t="shared" si="3"/>
        <v>0</v>
      </c>
      <c r="K1065">
        <f t="shared" si="3"/>
        <v>0</v>
      </c>
      <c r="L1065">
        <f t="shared" si="3"/>
        <v>0</v>
      </c>
      <c r="M1065">
        <f t="shared" si="3"/>
        <v>0</v>
      </c>
      <c r="N1065">
        <f t="shared" si="3"/>
        <v>0</v>
      </c>
      <c r="O1065">
        <f t="shared" si="3"/>
        <v>0</v>
      </c>
      <c r="P1065">
        <f t="shared" si="3"/>
        <v>0</v>
      </c>
      <c r="Q1065">
        <f t="shared" si="3"/>
        <v>0</v>
      </c>
      <c r="R1065">
        <f t="shared" si="3"/>
        <v>0</v>
      </c>
      <c r="S1065">
        <f t="shared" si="3"/>
        <v>0</v>
      </c>
      <c r="T1065">
        <f t="shared" si="3"/>
        <v>0</v>
      </c>
      <c r="U1065">
        <f t="shared" si="3"/>
        <v>0</v>
      </c>
      <c r="V1065">
        <f t="shared" si="3"/>
        <v>0</v>
      </c>
    </row>
    <row r="1066" spans="1:22" x14ac:dyDescent="0.25">
      <c r="A1066" t="s">
        <v>61</v>
      </c>
      <c r="B1066">
        <f>SUM(B1009:B1010,B1023:B1024)</f>
        <v>0</v>
      </c>
      <c r="C1066">
        <f t="shared" ref="C1066:V1066" si="4">SUM(C1009:C1010,C1023:C1024)</f>
        <v>0</v>
      </c>
      <c r="D1066">
        <f t="shared" si="4"/>
        <v>0</v>
      </c>
      <c r="E1066">
        <f t="shared" si="4"/>
        <v>0</v>
      </c>
      <c r="F1066">
        <f t="shared" si="4"/>
        <v>0</v>
      </c>
      <c r="G1066">
        <f t="shared" si="4"/>
        <v>0</v>
      </c>
      <c r="H1066">
        <f t="shared" si="4"/>
        <v>0</v>
      </c>
      <c r="I1066">
        <f t="shared" si="4"/>
        <v>0</v>
      </c>
      <c r="J1066">
        <f t="shared" si="4"/>
        <v>0</v>
      </c>
      <c r="K1066">
        <f t="shared" si="4"/>
        <v>0</v>
      </c>
      <c r="L1066">
        <f t="shared" si="4"/>
        <v>0</v>
      </c>
      <c r="M1066">
        <f t="shared" si="4"/>
        <v>0</v>
      </c>
      <c r="N1066">
        <f t="shared" si="4"/>
        <v>0</v>
      </c>
      <c r="O1066">
        <f t="shared" si="4"/>
        <v>0</v>
      </c>
      <c r="P1066">
        <f t="shared" si="4"/>
        <v>0</v>
      </c>
      <c r="Q1066">
        <f t="shared" si="4"/>
        <v>0</v>
      </c>
      <c r="R1066">
        <f t="shared" si="4"/>
        <v>0</v>
      </c>
      <c r="S1066">
        <f t="shared" si="4"/>
        <v>0</v>
      </c>
      <c r="T1066">
        <f t="shared" si="4"/>
        <v>0</v>
      </c>
      <c r="U1066">
        <f t="shared" si="4"/>
        <v>0</v>
      </c>
      <c r="V1066">
        <f t="shared" si="4"/>
        <v>0</v>
      </c>
    </row>
    <row r="1067" spans="1:22" x14ac:dyDescent="0.25">
      <c r="A1067" t="s">
        <v>38</v>
      </c>
      <c r="B1067" t="e">
        <f>SUM(B1006,B1020)/B1064</f>
        <v>#DIV/0!</v>
      </c>
      <c r="C1067" t="e">
        <f t="shared" ref="C1067:V1067" si="5">SUM(C1006,C1020)/C1064</f>
        <v>#DIV/0!</v>
      </c>
      <c r="D1067" t="e">
        <f t="shared" si="5"/>
        <v>#DIV/0!</v>
      </c>
      <c r="E1067" t="e">
        <f t="shared" si="5"/>
        <v>#DIV/0!</v>
      </c>
      <c r="F1067" t="e">
        <f t="shared" si="5"/>
        <v>#DIV/0!</v>
      </c>
      <c r="G1067" t="e">
        <f t="shared" si="5"/>
        <v>#DIV/0!</v>
      </c>
      <c r="H1067" t="e">
        <f t="shared" si="5"/>
        <v>#DIV/0!</v>
      </c>
      <c r="I1067" t="e">
        <f t="shared" si="5"/>
        <v>#DIV/0!</v>
      </c>
      <c r="J1067" t="e">
        <f t="shared" si="5"/>
        <v>#DIV/0!</v>
      </c>
      <c r="K1067" t="e">
        <f t="shared" si="5"/>
        <v>#DIV/0!</v>
      </c>
      <c r="L1067" t="e">
        <f t="shared" si="5"/>
        <v>#DIV/0!</v>
      </c>
      <c r="M1067" t="e">
        <f t="shared" si="5"/>
        <v>#DIV/0!</v>
      </c>
      <c r="N1067" t="e">
        <f t="shared" si="5"/>
        <v>#DIV/0!</v>
      </c>
      <c r="O1067" t="e">
        <f t="shared" si="5"/>
        <v>#DIV/0!</v>
      </c>
      <c r="P1067" t="e">
        <f t="shared" si="5"/>
        <v>#DIV/0!</v>
      </c>
      <c r="Q1067" t="e">
        <f t="shared" si="5"/>
        <v>#DIV/0!</v>
      </c>
      <c r="R1067" t="e">
        <f t="shared" si="5"/>
        <v>#DIV/0!</v>
      </c>
      <c r="S1067" t="e">
        <f t="shared" si="5"/>
        <v>#DIV/0!</v>
      </c>
      <c r="T1067" t="e">
        <f t="shared" si="5"/>
        <v>#DIV/0!</v>
      </c>
      <c r="U1067" t="e">
        <f t="shared" si="5"/>
        <v>#DIV/0!</v>
      </c>
      <c r="V1067" t="e">
        <f t="shared" si="5"/>
        <v>#DIV/0!</v>
      </c>
    </row>
    <row r="1068" spans="1:22" x14ac:dyDescent="0.25">
      <c r="A1068" t="s">
        <v>41</v>
      </c>
      <c r="B1068" t="e">
        <f>SUM(B1006:B1007,B1020:B1021)/B1064</f>
        <v>#DIV/0!</v>
      </c>
      <c r="C1068" t="e">
        <f t="shared" ref="C1068:V1068" si="6">SUM(C1006:C1007,C1020:C1021)/C1064</f>
        <v>#DIV/0!</v>
      </c>
      <c r="D1068" t="e">
        <f t="shared" si="6"/>
        <v>#DIV/0!</v>
      </c>
      <c r="E1068" t="e">
        <f t="shared" si="6"/>
        <v>#DIV/0!</v>
      </c>
      <c r="F1068" t="e">
        <f t="shared" si="6"/>
        <v>#DIV/0!</v>
      </c>
      <c r="G1068" t="e">
        <f t="shared" si="6"/>
        <v>#DIV/0!</v>
      </c>
      <c r="H1068" t="e">
        <f t="shared" si="6"/>
        <v>#DIV/0!</v>
      </c>
      <c r="I1068" t="e">
        <f t="shared" si="6"/>
        <v>#DIV/0!</v>
      </c>
      <c r="J1068" t="e">
        <f t="shared" si="6"/>
        <v>#DIV/0!</v>
      </c>
      <c r="K1068" t="e">
        <f t="shared" si="6"/>
        <v>#DIV/0!</v>
      </c>
      <c r="L1068" t="e">
        <f t="shared" si="6"/>
        <v>#DIV/0!</v>
      </c>
      <c r="M1068" t="e">
        <f t="shared" si="6"/>
        <v>#DIV/0!</v>
      </c>
      <c r="N1068" t="e">
        <f t="shared" si="6"/>
        <v>#DIV/0!</v>
      </c>
      <c r="O1068" t="e">
        <f t="shared" si="6"/>
        <v>#DIV/0!</v>
      </c>
      <c r="P1068" t="e">
        <f t="shared" si="6"/>
        <v>#DIV/0!</v>
      </c>
      <c r="Q1068" t="e">
        <f t="shared" si="6"/>
        <v>#DIV/0!</v>
      </c>
      <c r="R1068" t="e">
        <f t="shared" si="6"/>
        <v>#DIV/0!</v>
      </c>
      <c r="S1068" t="e">
        <f t="shared" si="6"/>
        <v>#DIV/0!</v>
      </c>
      <c r="T1068" t="e">
        <f t="shared" si="6"/>
        <v>#DIV/0!</v>
      </c>
      <c r="U1068" t="e">
        <f t="shared" si="6"/>
        <v>#DIV/0!</v>
      </c>
      <c r="V1068" t="e">
        <f t="shared" si="6"/>
        <v>#DIV/0!</v>
      </c>
    </row>
    <row r="1069" spans="1:22" x14ac:dyDescent="0.25">
      <c r="A1069" t="s">
        <v>39</v>
      </c>
      <c r="B1069" t="e">
        <f>SUM(B1007,B1021)/B1064</f>
        <v>#DIV/0!</v>
      </c>
      <c r="C1069" t="e">
        <f t="shared" ref="C1069:V1069" si="7">SUM(C1007,C1021)/C1064</f>
        <v>#DIV/0!</v>
      </c>
      <c r="D1069" t="e">
        <f t="shared" si="7"/>
        <v>#DIV/0!</v>
      </c>
      <c r="E1069" t="e">
        <f t="shared" si="7"/>
        <v>#DIV/0!</v>
      </c>
      <c r="F1069" t="e">
        <f t="shared" si="7"/>
        <v>#DIV/0!</v>
      </c>
      <c r="G1069" t="e">
        <f t="shared" si="7"/>
        <v>#DIV/0!</v>
      </c>
      <c r="H1069" t="e">
        <f t="shared" si="7"/>
        <v>#DIV/0!</v>
      </c>
      <c r="I1069" t="e">
        <f t="shared" si="7"/>
        <v>#DIV/0!</v>
      </c>
      <c r="J1069" t="e">
        <f t="shared" si="7"/>
        <v>#DIV/0!</v>
      </c>
      <c r="K1069" t="e">
        <f t="shared" si="7"/>
        <v>#DIV/0!</v>
      </c>
      <c r="L1069" t="e">
        <f t="shared" si="7"/>
        <v>#DIV/0!</v>
      </c>
      <c r="M1069" t="e">
        <f t="shared" si="7"/>
        <v>#DIV/0!</v>
      </c>
      <c r="N1069" t="e">
        <f t="shared" si="7"/>
        <v>#DIV/0!</v>
      </c>
      <c r="O1069" t="e">
        <f t="shared" si="7"/>
        <v>#DIV/0!</v>
      </c>
      <c r="P1069" t="e">
        <f t="shared" si="7"/>
        <v>#DIV/0!</v>
      </c>
      <c r="Q1069" t="e">
        <f t="shared" si="7"/>
        <v>#DIV/0!</v>
      </c>
      <c r="R1069" t="e">
        <f t="shared" si="7"/>
        <v>#DIV/0!</v>
      </c>
      <c r="S1069" t="e">
        <f t="shared" si="7"/>
        <v>#DIV/0!</v>
      </c>
      <c r="T1069" t="e">
        <f t="shared" si="7"/>
        <v>#DIV/0!</v>
      </c>
      <c r="U1069" t="e">
        <f t="shared" si="7"/>
        <v>#DIV/0!</v>
      </c>
      <c r="V1069" t="e">
        <f t="shared" si="7"/>
        <v>#DIV/0!</v>
      </c>
    </row>
    <row r="1070" spans="1:22" x14ac:dyDescent="0.25">
      <c r="A1070" t="s">
        <v>40</v>
      </c>
      <c r="B1070" t="e">
        <f>SUM(B1008,B1022)/B1064</f>
        <v>#DIV/0!</v>
      </c>
      <c r="C1070" t="e">
        <f t="shared" ref="C1070:V1070" si="8">SUM(C1008,C1022)/C1064</f>
        <v>#DIV/0!</v>
      </c>
      <c r="D1070" t="e">
        <f t="shared" si="8"/>
        <v>#DIV/0!</v>
      </c>
      <c r="E1070" t="e">
        <f t="shared" si="8"/>
        <v>#DIV/0!</v>
      </c>
      <c r="F1070" t="e">
        <f t="shared" si="8"/>
        <v>#DIV/0!</v>
      </c>
      <c r="G1070" t="e">
        <f t="shared" si="8"/>
        <v>#DIV/0!</v>
      </c>
      <c r="H1070" t="e">
        <f t="shared" si="8"/>
        <v>#DIV/0!</v>
      </c>
      <c r="I1070" t="e">
        <f t="shared" si="8"/>
        <v>#DIV/0!</v>
      </c>
      <c r="J1070" t="e">
        <f t="shared" si="8"/>
        <v>#DIV/0!</v>
      </c>
      <c r="K1070" t="e">
        <f t="shared" si="8"/>
        <v>#DIV/0!</v>
      </c>
      <c r="L1070" t="e">
        <f t="shared" si="8"/>
        <v>#DIV/0!</v>
      </c>
      <c r="M1070" t="e">
        <f t="shared" si="8"/>
        <v>#DIV/0!</v>
      </c>
      <c r="N1070" t="e">
        <f t="shared" si="8"/>
        <v>#DIV/0!</v>
      </c>
      <c r="O1070" t="e">
        <f t="shared" si="8"/>
        <v>#DIV/0!</v>
      </c>
      <c r="P1070" t="e">
        <f t="shared" si="8"/>
        <v>#DIV/0!</v>
      </c>
      <c r="Q1070" t="e">
        <f t="shared" si="8"/>
        <v>#DIV/0!</v>
      </c>
      <c r="R1070" t="e">
        <f t="shared" si="8"/>
        <v>#DIV/0!</v>
      </c>
      <c r="S1070" t="e">
        <f t="shared" si="8"/>
        <v>#DIV/0!</v>
      </c>
      <c r="T1070" t="e">
        <f t="shared" si="8"/>
        <v>#DIV/0!</v>
      </c>
      <c r="U1070" t="e">
        <f t="shared" si="8"/>
        <v>#DIV/0!</v>
      </c>
      <c r="V1070" t="e">
        <f t="shared" si="8"/>
        <v>#DIV/0!</v>
      </c>
    </row>
    <row r="1072" spans="1:22" x14ac:dyDescent="0.25">
      <c r="A1072" t="s">
        <v>31</v>
      </c>
    </row>
    <row r="1073" spans="1:22" x14ac:dyDescent="0.25">
      <c r="A1073" t="str">
        <f>A1033</f>
        <v>Half-length</v>
      </c>
      <c r="B1073">
        <f>MAX(B1033,B1047)</f>
        <v>0</v>
      </c>
      <c r="C1073">
        <f t="shared" ref="C1073:V1073" si="9">MAX(C1033,C1047)</f>
        <v>0</v>
      </c>
      <c r="D1073">
        <f t="shared" si="9"/>
        <v>0</v>
      </c>
      <c r="E1073">
        <f t="shared" si="9"/>
        <v>0</v>
      </c>
      <c r="F1073">
        <f t="shared" si="9"/>
        <v>0</v>
      </c>
      <c r="G1073">
        <f t="shared" si="9"/>
        <v>0</v>
      </c>
      <c r="H1073">
        <f t="shared" si="9"/>
        <v>0</v>
      </c>
      <c r="I1073">
        <f t="shared" si="9"/>
        <v>0</v>
      </c>
      <c r="J1073">
        <f t="shared" si="9"/>
        <v>0</v>
      </c>
      <c r="K1073">
        <f t="shared" si="9"/>
        <v>0</v>
      </c>
      <c r="L1073">
        <f t="shared" si="9"/>
        <v>0</v>
      </c>
      <c r="M1073">
        <f t="shared" si="9"/>
        <v>0</v>
      </c>
      <c r="N1073">
        <f t="shared" si="9"/>
        <v>0</v>
      </c>
      <c r="O1073">
        <f t="shared" si="9"/>
        <v>0</v>
      </c>
      <c r="P1073">
        <f t="shared" si="9"/>
        <v>0</v>
      </c>
      <c r="Q1073">
        <f t="shared" si="9"/>
        <v>0</v>
      </c>
      <c r="R1073">
        <f t="shared" si="9"/>
        <v>0</v>
      </c>
      <c r="S1073">
        <f t="shared" si="9"/>
        <v>0</v>
      </c>
      <c r="T1073">
        <f t="shared" si="9"/>
        <v>0</v>
      </c>
      <c r="U1073">
        <f t="shared" si="9"/>
        <v>0</v>
      </c>
      <c r="V1073">
        <f t="shared" si="9"/>
        <v>0</v>
      </c>
    </row>
    <row r="1074" spans="1:22" x14ac:dyDescent="0.25">
      <c r="A1074" t="s">
        <v>59</v>
      </c>
      <c r="B1074">
        <f>SUM(B1034,B1048)</f>
        <v>0</v>
      </c>
      <c r="C1074">
        <f t="shared" ref="C1074:V1074" si="10">SUM(C1034,C1048)</f>
        <v>0</v>
      </c>
      <c r="D1074">
        <f t="shared" si="10"/>
        <v>0</v>
      </c>
      <c r="E1074">
        <f t="shared" si="10"/>
        <v>0</v>
      </c>
      <c r="F1074">
        <f t="shared" si="10"/>
        <v>0</v>
      </c>
      <c r="G1074">
        <f t="shared" si="10"/>
        <v>0</v>
      </c>
      <c r="H1074">
        <f t="shared" si="10"/>
        <v>0</v>
      </c>
      <c r="I1074">
        <f t="shared" si="10"/>
        <v>0</v>
      </c>
      <c r="J1074">
        <f t="shared" si="10"/>
        <v>0</v>
      </c>
      <c r="K1074">
        <f t="shared" si="10"/>
        <v>0</v>
      </c>
      <c r="L1074">
        <f t="shared" si="10"/>
        <v>0</v>
      </c>
      <c r="M1074">
        <f t="shared" si="10"/>
        <v>0</v>
      </c>
      <c r="N1074">
        <f t="shared" si="10"/>
        <v>0</v>
      </c>
      <c r="O1074">
        <f t="shared" si="10"/>
        <v>0</v>
      </c>
      <c r="P1074">
        <f t="shared" si="10"/>
        <v>0</v>
      </c>
      <c r="Q1074">
        <f t="shared" si="10"/>
        <v>0</v>
      </c>
      <c r="R1074">
        <f t="shared" si="10"/>
        <v>0</v>
      </c>
      <c r="S1074">
        <f t="shared" si="10"/>
        <v>0</v>
      </c>
      <c r="T1074">
        <f t="shared" si="10"/>
        <v>0</v>
      </c>
      <c r="U1074">
        <f t="shared" si="10"/>
        <v>0</v>
      </c>
      <c r="V1074">
        <f t="shared" si="10"/>
        <v>0</v>
      </c>
    </row>
    <row r="1075" spans="1:22" x14ac:dyDescent="0.25">
      <c r="A1075" t="s">
        <v>58</v>
      </c>
      <c r="B1075">
        <f>SUM(B1034:B1036,B1048:B1050)</f>
        <v>0</v>
      </c>
      <c r="C1075">
        <f t="shared" ref="C1075:V1075" si="11">SUM(C1034:C1036,C1048:C1050)</f>
        <v>0</v>
      </c>
      <c r="D1075">
        <f t="shared" si="11"/>
        <v>0</v>
      </c>
      <c r="E1075">
        <f t="shared" si="11"/>
        <v>0</v>
      </c>
      <c r="F1075">
        <f t="shared" si="11"/>
        <v>0</v>
      </c>
      <c r="G1075">
        <f t="shared" si="11"/>
        <v>0</v>
      </c>
      <c r="H1075">
        <f t="shared" si="11"/>
        <v>0</v>
      </c>
      <c r="I1075">
        <f t="shared" si="11"/>
        <v>0</v>
      </c>
      <c r="J1075">
        <f t="shared" si="11"/>
        <v>0</v>
      </c>
      <c r="K1075">
        <f t="shared" si="11"/>
        <v>0</v>
      </c>
      <c r="L1075">
        <f t="shared" si="11"/>
        <v>0</v>
      </c>
      <c r="M1075">
        <f t="shared" si="11"/>
        <v>0</v>
      </c>
      <c r="N1075">
        <f t="shared" si="11"/>
        <v>0</v>
      </c>
      <c r="O1075">
        <f t="shared" si="11"/>
        <v>0</v>
      </c>
      <c r="P1075">
        <f t="shared" si="11"/>
        <v>0</v>
      </c>
      <c r="Q1075">
        <f t="shared" si="11"/>
        <v>0</v>
      </c>
      <c r="R1075">
        <f t="shared" si="11"/>
        <v>0</v>
      </c>
      <c r="S1075">
        <f t="shared" si="11"/>
        <v>0</v>
      </c>
      <c r="T1075">
        <f t="shared" si="11"/>
        <v>0</v>
      </c>
      <c r="U1075">
        <f t="shared" si="11"/>
        <v>0</v>
      </c>
      <c r="V1075">
        <f t="shared" si="11"/>
        <v>0</v>
      </c>
    </row>
    <row r="1076" spans="1:22" x14ac:dyDescent="0.25">
      <c r="A1076" t="s">
        <v>60</v>
      </c>
      <c r="B1076">
        <f>SUM(B1037,B1051)</f>
        <v>0</v>
      </c>
      <c r="C1076">
        <f t="shared" ref="C1076:V1076" si="12">SUM(C1037,C1051)</f>
        <v>0</v>
      </c>
      <c r="D1076">
        <f t="shared" si="12"/>
        <v>0</v>
      </c>
      <c r="E1076">
        <f t="shared" si="12"/>
        <v>0</v>
      </c>
      <c r="F1076">
        <f t="shared" si="12"/>
        <v>0</v>
      </c>
      <c r="G1076">
        <f t="shared" si="12"/>
        <v>0</v>
      </c>
      <c r="H1076">
        <f t="shared" si="12"/>
        <v>0</v>
      </c>
      <c r="I1076">
        <f t="shared" si="12"/>
        <v>0</v>
      </c>
      <c r="J1076">
        <f t="shared" si="12"/>
        <v>0</v>
      </c>
      <c r="K1076">
        <f t="shared" si="12"/>
        <v>0</v>
      </c>
      <c r="L1076">
        <f t="shared" si="12"/>
        <v>0</v>
      </c>
      <c r="M1076">
        <f t="shared" si="12"/>
        <v>0</v>
      </c>
      <c r="N1076">
        <f t="shared" si="12"/>
        <v>0</v>
      </c>
      <c r="O1076">
        <f t="shared" si="12"/>
        <v>0</v>
      </c>
      <c r="P1076">
        <f t="shared" si="12"/>
        <v>0</v>
      </c>
      <c r="Q1076">
        <f t="shared" si="12"/>
        <v>0</v>
      </c>
      <c r="R1076">
        <f t="shared" si="12"/>
        <v>0</v>
      </c>
      <c r="S1076">
        <f t="shared" si="12"/>
        <v>0</v>
      </c>
      <c r="T1076">
        <f t="shared" si="12"/>
        <v>0</v>
      </c>
      <c r="U1076">
        <f t="shared" si="12"/>
        <v>0</v>
      </c>
      <c r="V1076">
        <f t="shared" si="12"/>
        <v>0</v>
      </c>
    </row>
    <row r="1077" spans="1:22" x14ac:dyDescent="0.25">
      <c r="A1077" t="s">
        <v>61</v>
      </c>
      <c r="B1077">
        <f>SUM(B1037:B1038,B1051:B1052)</f>
        <v>0</v>
      </c>
      <c r="C1077">
        <f t="shared" ref="C1077:V1077" si="13">SUM(C1037:C1038,C1051:C1052)</f>
        <v>0</v>
      </c>
      <c r="D1077">
        <f t="shared" si="13"/>
        <v>0</v>
      </c>
      <c r="E1077">
        <f t="shared" si="13"/>
        <v>0</v>
      </c>
      <c r="F1077">
        <f t="shared" si="13"/>
        <v>0</v>
      </c>
      <c r="G1077">
        <f t="shared" si="13"/>
        <v>0</v>
      </c>
      <c r="H1077">
        <f t="shared" si="13"/>
        <v>0</v>
      </c>
      <c r="I1077">
        <f t="shared" si="13"/>
        <v>0</v>
      </c>
      <c r="J1077">
        <f t="shared" si="13"/>
        <v>0</v>
      </c>
      <c r="K1077">
        <f t="shared" si="13"/>
        <v>0</v>
      </c>
      <c r="L1077">
        <f t="shared" si="13"/>
        <v>0</v>
      </c>
      <c r="M1077">
        <f t="shared" si="13"/>
        <v>0</v>
      </c>
      <c r="N1077">
        <f t="shared" si="13"/>
        <v>0</v>
      </c>
      <c r="O1077">
        <f t="shared" si="13"/>
        <v>0</v>
      </c>
      <c r="P1077">
        <f t="shared" si="13"/>
        <v>0</v>
      </c>
      <c r="Q1077">
        <f t="shared" si="13"/>
        <v>0</v>
      </c>
      <c r="R1077">
        <f t="shared" si="13"/>
        <v>0</v>
      </c>
      <c r="S1077">
        <f t="shared" si="13"/>
        <v>0</v>
      </c>
      <c r="T1077">
        <f t="shared" si="13"/>
        <v>0</v>
      </c>
      <c r="U1077">
        <f t="shared" si="13"/>
        <v>0</v>
      </c>
      <c r="V1077">
        <f t="shared" si="13"/>
        <v>0</v>
      </c>
    </row>
    <row r="1078" spans="1:22" x14ac:dyDescent="0.25">
      <c r="A1078" t="s">
        <v>38</v>
      </c>
      <c r="B1078" t="e">
        <f>SUM(B1034,B1048)/B1075</f>
        <v>#DIV/0!</v>
      </c>
      <c r="C1078" t="e">
        <f t="shared" ref="C1078:V1078" si="14">SUM(C1034,C1048)/C1075</f>
        <v>#DIV/0!</v>
      </c>
      <c r="D1078" t="e">
        <f t="shared" si="14"/>
        <v>#DIV/0!</v>
      </c>
      <c r="E1078" t="e">
        <f t="shared" si="14"/>
        <v>#DIV/0!</v>
      </c>
      <c r="F1078" t="e">
        <f t="shared" si="14"/>
        <v>#DIV/0!</v>
      </c>
      <c r="G1078" t="e">
        <f t="shared" si="14"/>
        <v>#DIV/0!</v>
      </c>
      <c r="H1078" t="e">
        <f t="shared" si="14"/>
        <v>#DIV/0!</v>
      </c>
      <c r="I1078" t="e">
        <f t="shared" si="14"/>
        <v>#DIV/0!</v>
      </c>
      <c r="J1078" t="e">
        <f t="shared" si="14"/>
        <v>#DIV/0!</v>
      </c>
      <c r="K1078" t="e">
        <f t="shared" si="14"/>
        <v>#DIV/0!</v>
      </c>
      <c r="L1078" t="e">
        <f t="shared" si="14"/>
        <v>#DIV/0!</v>
      </c>
      <c r="M1078" t="e">
        <f t="shared" si="14"/>
        <v>#DIV/0!</v>
      </c>
      <c r="N1078" t="e">
        <f t="shared" si="14"/>
        <v>#DIV/0!</v>
      </c>
      <c r="O1078" t="e">
        <f t="shared" si="14"/>
        <v>#DIV/0!</v>
      </c>
      <c r="P1078" t="e">
        <f t="shared" si="14"/>
        <v>#DIV/0!</v>
      </c>
      <c r="Q1078" t="e">
        <f t="shared" si="14"/>
        <v>#DIV/0!</v>
      </c>
      <c r="R1078" t="e">
        <f t="shared" si="14"/>
        <v>#DIV/0!</v>
      </c>
      <c r="S1078" t="e">
        <f t="shared" si="14"/>
        <v>#DIV/0!</v>
      </c>
      <c r="T1078" t="e">
        <f t="shared" si="14"/>
        <v>#DIV/0!</v>
      </c>
      <c r="U1078" t="e">
        <f t="shared" si="14"/>
        <v>#DIV/0!</v>
      </c>
      <c r="V1078" t="e">
        <f t="shared" si="14"/>
        <v>#DIV/0!</v>
      </c>
    </row>
    <row r="1079" spans="1:22" x14ac:dyDescent="0.25">
      <c r="A1079" t="s">
        <v>41</v>
      </c>
      <c r="B1079" t="e">
        <f>SUM(B1034:B1035,B1048:B1049)/B1075</f>
        <v>#DIV/0!</v>
      </c>
      <c r="C1079" t="e">
        <f t="shared" ref="C1079:V1079" si="15">SUM(C1034:C1035,C1048:C1049)/C1075</f>
        <v>#DIV/0!</v>
      </c>
      <c r="D1079" t="e">
        <f t="shared" si="15"/>
        <v>#DIV/0!</v>
      </c>
      <c r="E1079" t="e">
        <f t="shared" si="15"/>
        <v>#DIV/0!</v>
      </c>
      <c r="F1079" t="e">
        <f t="shared" si="15"/>
        <v>#DIV/0!</v>
      </c>
      <c r="G1079" t="e">
        <f t="shared" si="15"/>
        <v>#DIV/0!</v>
      </c>
      <c r="H1079" t="e">
        <f t="shared" si="15"/>
        <v>#DIV/0!</v>
      </c>
      <c r="I1079" t="e">
        <f t="shared" si="15"/>
        <v>#DIV/0!</v>
      </c>
      <c r="J1079" t="e">
        <f t="shared" si="15"/>
        <v>#DIV/0!</v>
      </c>
      <c r="K1079" t="e">
        <f t="shared" si="15"/>
        <v>#DIV/0!</v>
      </c>
      <c r="L1079" t="e">
        <f t="shared" si="15"/>
        <v>#DIV/0!</v>
      </c>
      <c r="M1079" t="e">
        <f t="shared" si="15"/>
        <v>#DIV/0!</v>
      </c>
      <c r="N1079" t="e">
        <f t="shared" si="15"/>
        <v>#DIV/0!</v>
      </c>
      <c r="O1079" t="e">
        <f t="shared" si="15"/>
        <v>#DIV/0!</v>
      </c>
      <c r="P1079" t="e">
        <f t="shared" si="15"/>
        <v>#DIV/0!</v>
      </c>
      <c r="Q1079" t="e">
        <f t="shared" si="15"/>
        <v>#DIV/0!</v>
      </c>
      <c r="R1079" t="e">
        <f t="shared" si="15"/>
        <v>#DIV/0!</v>
      </c>
      <c r="S1079" t="e">
        <f t="shared" si="15"/>
        <v>#DIV/0!</v>
      </c>
      <c r="T1079" t="e">
        <f t="shared" si="15"/>
        <v>#DIV/0!</v>
      </c>
      <c r="U1079" t="e">
        <f t="shared" si="15"/>
        <v>#DIV/0!</v>
      </c>
      <c r="V1079" t="e">
        <f t="shared" si="15"/>
        <v>#DIV/0!</v>
      </c>
    </row>
    <row r="1080" spans="1:22" x14ac:dyDescent="0.25">
      <c r="A1080" t="s">
        <v>39</v>
      </c>
      <c r="B1080" t="e">
        <f>SUM(B1035,B1049)/B1075</f>
        <v>#DIV/0!</v>
      </c>
      <c r="C1080" t="e">
        <f t="shared" ref="C1080:V1080" si="16">SUM(C1035,C1049)/C1075</f>
        <v>#DIV/0!</v>
      </c>
      <c r="D1080" t="e">
        <f t="shared" si="16"/>
        <v>#DIV/0!</v>
      </c>
      <c r="E1080" t="e">
        <f t="shared" si="16"/>
        <v>#DIV/0!</v>
      </c>
      <c r="F1080" t="e">
        <f t="shared" si="16"/>
        <v>#DIV/0!</v>
      </c>
      <c r="G1080" t="e">
        <f t="shared" si="16"/>
        <v>#DIV/0!</v>
      </c>
      <c r="H1080" t="e">
        <f t="shared" si="16"/>
        <v>#DIV/0!</v>
      </c>
      <c r="I1080" t="e">
        <f t="shared" si="16"/>
        <v>#DIV/0!</v>
      </c>
      <c r="J1080" t="e">
        <f t="shared" si="16"/>
        <v>#DIV/0!</v>
      </c>
      <c r="K1080" t="e">
        <f t="shared" si="16"/>
        <v>#DIV/0!</v>
      </c>
      <c r="L1080" t="e">
        <f t="shared" si="16"/>
        <v>#DIV/0!</v>
      </c>
      <c r="M1080" t="e">
        <f t="shared" si="16"/>
        <v>#DIV/0!</v>
      </c>
      <c r="N1080" t="e">
        <f t="shared" si="16"/>
        <v>#DIV/0!</v>
      </c>
      <c r="O1080" t="e">
        <f t="shared" si="16"/>
        <v>#DIV/0!</v>
      </c>
      <c r="P1080" t="e">
        <f t="shared" si="16"/>
        <v>#DIV/0!</v>
      </c>
      <c r="Q1080" t="e">
        <f t="shared" si="16"/>
        <v>#DIV/0!</v>
      </c>
      <c r="R1080" t="e">
        <f t="shared" si="16"/>
        <v>#DIV/0!</v>
      </c>
      <c r="S1080" t="e">
        <f t="shared" si="16"/>
        <v>#DIV/0!</v>
      </c>
      <c r="T1080" t="e">
        <f t="shared" si="16"/>
        <v>#DIV/0!</v>
      </c>
      <c r="U1080" t="e">
        <f t="shared" si="16"/>
        <v>#DIV/0!</v>
      </c>
      <c r="V1080" t="e">
        <f t="shared" si="16"/>
        <v>#DIV/0!</v>
      </c>
    </row>
    <row r="1081" spans="1:22" x14ac:dyDescent="0.25">
      <c r="A1081" t="s">
        <v>40</v>
      </c>
      <c r="B1081" t="e">
        <f>SUM(B1036,B1050)/B1075</f>
        <v>#DIV/0!</v>
      </c>
      <c r="C1081" t="e">
        <f t="shared" ref="C1081:V1081" si="17">SUM(C1036,C1050)/C1075</f>
        <v>#DIV/0!</v>
      </c>
      <c r="D1081" t="e">
        <f t="shared" si="17"/>
        <v>#DIV/0!</v>
      </c>
      <c r="E1081" t="e">
        <f t="shared" si="17"/>
        <v>#DIV/0!</v>
      </c>
      <c r="F1081" t="e">
        <f t="shared" si="17"/>
        <v>#DIV/0!</v>
      </c>
      <c r="G1081" t="e">
        <f t="shared" si="17"/>
        <v>#DIV/0!</v>
      </c>
      <c r="H1081" t="e">
        <f t="shared" si="17"/>
        <v>#DIV/0!</v>
      </c>
      <c r="I1081" t="e">
        <f t="shared" si="17"/>
        <v>#DIV/0!</v>
      </c>
      <c r="J1081" t="e">
        <f t="shared" si="17"/>
        <v>#DIV/0!</v>
      </c>
      <c r="K1081" t="e">
        <f t="shared" si="17"/>
        <v>#DIV/0!</v>
      </c>
      <c r="L1081" t="e">
        <f t="shared" si="17"/>
        <v>#DIV/0!</v>
      </c>
      <c r="M1081" t="e">
        <f t="shared" si="17"/>
        <v>#DIV/0!</v>
      </c>
      <c r="N1081" t="e">
        <f t="shared" si="17"/>
        <v>#DIV/0!</v>
      </c>
      <c r="O1081" t="e">
        <f t="shared" si="17"/>
        <v>#DIV/0!</v>
      </c>
      <c r="P1081" t="e">
        <f t="shared" si="17"/>
        <v>#DIV/0!</v>
      </c>
      <c r="Q1081" t="e">
        <f t="shared" si="17"/>
        <v>#DIV/0!</v>
      </c>
      <c r="R1081" t="e">
        <f t="shared" si="17"/>
        <v>#DIV/0!</v>
      </c>
      <c r="S1081" t="e">
        <f t="shared" si="17"/>
        <v>#DIV/0!</v>
      </c>
      <c r="T1081" t="e">
        <f t="shared" si="17"/>
        <v>#DIV/0!</v>
      </c>
      <c r="U1081" t="e">
        <f t="shared" si="17"/>
        <v>#DIV/0!</v>
      </c>
      <c r="V1081" t="e">
        <f t="shared" si="17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69083"/>
  <sheetViews>
    <sheetView tabSelected="1" zoomScaleNormal="100" workbookViewId="0">
      <selection activeCell="AA16" sqref="AA16"/>
    </sheetView>
  </sheetViews>
  <sheetFormatPr defaultRowHeight="15" x14ac:dyDescent="0.25"/>
  <sheetData>
    <row r="1" spans="1:52" x14ac:dyDescent="0.25">
      <c r="A1" t="s">
        <v>17</v>
      </c>
      <c r="B1" t="s">
        <v>34</v>
      </c>
      <c r="C1" t="s">
        <v>27</v>
      </c>
      <c r="D1" t="s">
        <v>28</v>
      </c>
      <c r="E1" t="s">
        <v>16</v>
      </c>
      <c r="F1" t="s">
        <v>15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Z1" t="s">
        <v>36</v>
      </c>
      <c r="AB1" t="s">
        <v>32</v>
      </c>
      <c r="AC1" t="s">
        <v>17</v>
      </c>
      <c r="AD1" t="s">
        <v>29</v>
      </c>
      <c r="AE1" t="s">
        <v>16</v>
      </c>
      <c r="AF1" t="s">
        <v>15</v>
      </c>
      <c r="AG1" t="s">
        <v>14</v>
      </c>
      <c r="AH1" t="s">
        <v>13</v>
      </c>
      <c r="AI1" t="s">
        <v>24</v>
      </c>
      <c r="AK1" t="s">
        <v>25</v>
      </c>
      <c r="AL1" t="s">
        <v>26</v>
      </c>
      <c r="AM1" t="s">
        <v>42</v>
      </c>
      <c r="AO1" t="s">
        <v>33</v>
      </c>
      <c r="AP1" t="s">
        <v>17</v>
      </c>
      <c r="AQ1" t="s">
        <v>29</v>
      </c>
      <c r="AR1" t="s">
        <v>16</v>
      </c>
      <c r="AS1" t="s">
        <v>15</v>
      </c>
      <c r="AT1" t="s">
        <v>14</v>
      </c>
      <c r="AU1" t="s">
        <v>13</v>
      </c>
      <c r="AV1" t="s">
        <v>24</v>
      </c>
      <c r="AX1" t="s">
        <v>25</v>
      </c>
      <c r="AY1" t="s">
        <v>26</v>
      </c>
      <c r="AZ1" t="s">
        <v>42</v>
      </c>
    </row>
    <row r="2" spans="1:52" x14ac:dyDescent="0.25">
      <c r="Z2" s="2" t="s">
        <v>18</v>
      </c>
      <c r="AA2" s="2">
        <v>0</v>
      </c>
    </row>
    <row r="3" spans="1:52" x14ac:dyDescent="0.25">
      <c r="Z3" s="2" t="s">
        <v>19</v>
      </c>
      <c r="AA3" s="2">
        <v>150</v>
      </c>
    </row>
    <row r="4" spans="1:52" x14ac:dyDescent="0.25">
      <c r="Z4" s="2" t="s">
        <v>20</v>
      </c>
      <c r="AA4" s="2">
        <v>0</v>
      </c>
    </row>
    <row r="5" spans="1:52" x14ac:dyDescent="0.25">
      <c r="Z5" s="2" t="s">
        <v>21</v>
      </c>
      <c r="AA5" s="2">
        <v>150</v>
      </c>
    </row>
    <row r="9" spans="1:52" x14ac:dyDescent="0.25">
      <c r="Z9" t="s">
        <v>35</v>
      </c>
      <c r="AA9">
        <f>COUNTIF(A:A,"Start Points")</f>
        <v>0</v>
      </c>
    </row>
    <row r="11" spans="1:52" x14ac:dyDescent="0.25">
      <c r="Z11" t="s">
        <v>37</v>
      </c>
    </row>
    <row r="12" spans="1:52" x14ac:dyDescent="0.25">
      <c r="Z12" s="2" t="s">
        <v>18</v>
      </c>
      <c r="AA12" s="2">
        <v>55</v>
      </c>
    </row>
    <row r="13" spans="1:52" x14ac:dyDescent="0.25">
      <c r="Z13" s="2" t="s">
        <v>19</v>
      </c>
      <c r="AA13" s="2">
        <v>95</v>
      </c>
    </row>
    <row r="14" spans="1:52" x14ac:dyDescent="0.25">
      <c r="Z14" s="2" t="s">
        <v>20</v>
      </c>
      <c r="AA14" s="2">
        <v>55</v>
      </c>
    </row>
    <row r="15" spans="1:52" x14ac:dyDescent="0.25">
      <c r="Z15" s="2" t="s">
        <v>21</v>
      </c>
      <c r="AA15" s="2">
        <v>95</v>
      </c>
    </row>
    <row r="16" spans="1:52" x14ac:dyDescent="0.25">
      <c r="Z16" s="2" t="s">
        <v>22</v>
      </c>
      <c r="AA16" s="2">
        <v>1</v>
      </c>
    </row>
    <row r="17" spans="26:27" x14ac:dyDescent="0.25">
      <c r="Z17" t="s">
        <v>23</v>
      </c>
      <c r="AA17">
        <f>(AA13-AA12)*(AA15-AA14)*AA16</f>
        <v>1600</v>
      </c>
    </row>
    <row r="152" spans="1:1" x14ac:dyDescent="0.25">
      <c r="A152" s="1"/>
    </row>
    <row r="153" spans="1:1" x14ac:dyDescent="0.25">
      <c r="A153" s="1"/>
    </row>
    <row r="243" spans="1:1" x14ac:dyDescent="0.25">
      <c r="A243" s="1"/>
    </row>
    <row r="244" spans="1:1" x14ac:dyDescent="0.25">
      <c r="A244" s="1"/>
    </row>
    <row r="355" spans="11:11" x14ac:dyDescent="0.25">
      <c r="K355" s="1"/>
    </row>
    <row r="769" spans="1:1" x14ac:dyDescent="0.25">
      <c r="A769" s="1"/>
    </row>
    <row r="770" spans="1:1" x14ac:dyDescent="0.25">
      <c r="A770" s="1"/>
    </row>
    <row r="922" spans="11:11" x14ac:dyDescent="0.25">
      <c r="K922" s="1"/>
    </row>
    <row r="1292" spans="1:1" x14ac:dyDescent="0.25">
      <c r="A1292" s="1"/>
    </row>
    <row r="1293" spans="1:1" x14ac:dyDescent="0.25">
      <c r="A1293" s="1"/>
    </row>
    <row r="1464" spans="1:1" x14ac:dyDescent="0.25">
      <c r="A1464" s="1"/>
    </row>
    <row r="1465" spans="1:1" x14ac:dyDescent="0.25">
      <c r="A1465" s="1"/>
    </row>
    <row r="1537" spans="1:1" x14ac:dyDescent="0.25">
      <c r="A1537" s="1"/>
    </row>
    <row r="1538" spans="1:1" x14ac:dyDescent="0.25">
      <c r="A1538" s="1"/>
    </row>
    <row r="1600" spans="1:1" x14ac:dyDescent="0.25">
      <c r="A1600" s="1"/>
    </row>
    <row r="1601" spans="1:1" x14ac:dyDescent="0.25">
      <c r="A1601" s="1"/>
    </row>
    <row r="1868" spans="1:1" x14ac:dyDescent="0.25">
      <c r="A1868" s="1"/>
    </row>
    <row r="1869" spans="1:1" x14ac:dyDescent="0.25">
      <c r="A1869" s="1"/>
    </row>
    <row r="2203" spans="1:1" x14ac:dyDescent="0.25">
      <c r="A2203" s="1"/>
    </row>
    <row r="2204" spans="1:1" x14ac:dyDescent="0.25">
      <c r="A2204" s="1"/>
    </row>
    <row r="2326" spans="1:1" x14ac:dyDescent="0.25">
      <c r="A2326" s="1"/>
    </row>
    <row r="2327" spans="1:1" x14ac:dyDescent="0.25">
      <c r="A2327" s="1"/>
    </row>
    <row r="2591" spans="1:1" x14ac:dyDescent="0.25">
      <c r="A2591" s="1"/>
    </row>
    <row r="2592" spans="1:1" x14ac:dyDescent="0.25">
      <c r="A2592" s="1"/>
    </row>
    <row r="2723" spans="1:1" x14ac:dyDescent="0.25">
      <c r="A2723" s="1"/>
    </row>
    <row r="2724" spans="1:1" x14ac:dyDescent="0.25">
      <c r="A2724" s="1"/>
    </row>
    <row r="2931" spans="1:1" x14ac:dyDescent="0.25">
      <c r="A2931" s="1"/>
    </row>
    <row r="2932" spans="1:1" x14ac:dyDescent="0.25">
      <c r="A2932" s="1"/>
    </row>
    <row r="3391" spans="1:1" x14ac:dyDescent="0.25">
      <c r="A3391" s="1"/>
    </row>
    <row r="3392" spans="1:1" x14ac:dyDescent="0.25">
      <c r="A3392" s="1"/>
    </row>
    <row r="3643" spans="1:1" x14ac:dyDescent="0.25">
      <c r="A3643" s="1"/>
    </row>
    <row r="3644" spans="1:1" x14ac:dyDescent="0.25">
      <c r="A3644" s="1"/>
    </row>
    <row r="3715" spans="1:1" x14ac:dyDescent="0.25">
      <c r="A3715" s="1"/>
    </row>
    <row r="3716" spans="1:1" x14ac:dyDescent="0.25">
      <c r="A3716" s="1"/>
    </row>
    <row r="3800" spans="1:1" x14ac:dyDescent="0.25">
      <c r="A3800" s="1"/>
    </row>
    <row r="3801" spans="1:1" x14ac:dyDescent="0.25">
      <c r="A3801" s="1"/>
    </row>
    <row r="3847" spans="1:1" x14ac:dyDescent="0.25">
      <c r="A3847" s="1"/>
    </row>
    <row r="3848" spans="1:1" x14ac:dyDescent="0.25">
      <c r="A3848" s="1"/>
    </row>
    <row r="3905" spans="1:1" x14ac:dyDescent="0.25">
      <c r="A3905" s="1"/>
    </row>
    <row r="3906" spans="1:1" x14ac:dyDescent="0.25">
      <c r="A3906" s="1"/>
    </row>
    <row r="4295" spans="1:1" x14ac:dyDescent="0.25">
      <c r="A4295" s="1"/>
    </row>
    <row r="4296" spans="1:1" x14ac:dyDescent="0.25">
      <c r="A4296" s="1"/>
    </row>
    <row r="4304" spans="1:1" x14ac:dyDescent="0.25">
      <c r="A4304" s="1"/>
    </row>
    <row r="4305" spans="1:1" x14ac:dyDescent="0.25">
      <c r="A4305" s="1"/>
    </row>
    <row r="4363" spans="11:11" x14ac:dyDescent="0.25">
      <c r="K4363" s="1"/>
    </row>
    <row r="4470" spans="1:1" x14ac:dyDescent="0.25">
      <c r="A4470" s="1"/>
    </row>
    <row r="4471" spans="1:1" x14ac:dyDescent="0.25">
      <c r="A4471" s="1"/>
    </row>
    <row r="4779" spans="11:11" x14ac:dyDescent="0.25">
      <c r="K4779" s="1"/>
    </row>
    <row r="5172" spans="1:1" x14ac:dyDescent="0.25">
      <c r="A5172" s="1"/>
    </row>
    <row r="5173" spans="1:1" x14ac:dyDescent="0.25">
      <c r="A5173" s="1"/>
    </row>
    <row r="5266" spans="1:1" x14ac:dyDescent="0.25">
      <c r="A5266" s="1"/>
    </row>
    <row r="5267" spans="1:1" x14ac:dyDescent="0.25">
      <c r="A5267" s="1"/>
    </row>
    <row r="5513" spans="11:11" x14ac:dyDescent="0.25">
      <c r="K5513" s="1"/>
    </row>
    <row r="5727" spans="11:11" x14ac:dyDescent="0.25">
      <c r="K5727" s="1"/>
    </row>
    <row r="5885" spans="1:1" x14ac:dyDescent="0.25">
      <c r="A5885" s="1"/>
    </row>
    <row r="5886" spans="1:1" x14ac:dyDescent="0.25">
      <c r="A5886" s="1"/>
    </row>
    <row r="5994" spans="1:1" x14ac:dyDescent="0.25">
      <c r="A5994" s="1"/>
    </row>
    <row r="5995" spans="1:1" x14ac:dyDescent="0.25">
      <c r="A5995" s="1"/>
    </row>
    <row r="6003" spans="1:1" x14ac:dyDescent="0.25">
      <c r="A6003" s="1"/>
    </row>
    <row r="6004" spans="1:1" x14ac:dyDescent="0.25">
      <c r="A6004" s="1"/>
    </row>
    <row r="6450" spans="1:1" x14ac:dyDescent="0.25">
      <c r="A6450" s="1"/>
    </row>
    <row r="6451" spans="1:1" x14ac:dyDescent="0.25">
      <c r="A6451" s="1"/>
    </row>
    <row r="6610" spans="11:11" x14ac:dyDescent="0.25">
      <c r="K6610" s="1"/>
    </row>
    <row r="6741" spans="1:1" x14ac:dyDescent="0.25">
      <c r="A6741" s="1"/>
    </row>
    <row r="6742" spans="1:1" x14ac:dyDescent="0.25">
      <c r="A6742" s="1"/>
    </row>
    <row r="7211" spans="1:1" x14ac:dyDescent="0.25">
      <c r="A7211" s="1"/>
    </row>
    <row r="7212" spans="1:1" x14ac:dyDescent="0.25">
      <c r="A7212" s="1"/>
    </row>
    <row r="7541" spans="1:1" x14ac:dyDescent="0.25">
      <c r="A7541" s="1"/>
    </row>
    <row r="7542" spans="1:1" x14ac:dyDescent="0.25">
      <c r="A7542" s="1"/>
    </row>
    <row r="7550" spans="1:1" x14ac:dyDescent="0.25">
      <c r="A7550" s="1"/>
    </row>
    <row r="7551" spans="1:1" x14ac:dyDescent="0.25">
      <c r="A7551" s="1"/>
    </row>
    <row r="7996" spans="1:1" x14ac:dyDescent="0.25">
      <c r="A7996" s="1"/>
    </row>
    <row r="7997" spans="1:1" x14ac:dyDescent="0.25">
      <c r="A7997" s="1"/>
    </row>
    <row r="8005" spans="1:1" x14ac:dyDescent="0.25">
      <c r="A8005" s="1"/>
    </row>
    <row r="8006" spans="1:1" x14ac:dyDescent="0.25">
      <c r="A8006" s="1"/>
    </row>
    <row r="8108" spans="1:1" x14ac:dyDescent="0.25">
      <c r="A8108" s="1"/>
    </row>
    <row r="8109" spans="1:1" x14ac:dyDescent="0.25">
      <c r="A8109" s="1"/>
    </row>
    <row r="8237" spans="1:1" x14ac:dyDescent="0.25">
      <c r="A8237" s="1"/>
    </row>
    <row r="8238" spans="1:1" x14ac:dyDescent="0.25">
      <c r="A8238" s="1"/>
    </row>
    <row r="8246" spans="1:1" x14ac:dyDescent="0.25">
      <c r="A8246" s="1"/>
    </row>
    <row r="8247" spans="1:1" x14ac:dyDescent="0.25">
      <c r="A8247" s="1"/>
    </row>
    <row r="8356" spans="1:1" x14ac:dyDescent="0.25">
      <c r="A8356" s="1"/>
    </row>
    <row r="8357" spans="1:1" x14ac:dyDescent="0.25">
      <c r="A8357" s="1"/>
    </row>
    <row r="8430" spans="1:1" x14ac:dyDescent="0.25">
      <c r="A8430" s="1"/>
    </row>
    <row r="8431" spans="1:1" x14ac:dyDescent="0.25">
      <c r="A8431" s="1"/>
    </row>
    <row r="8457" spans="1:1" x14ac:dyDescent="0.25">
      <c r="A8457" s="1"/>
    </row>
    <row r="8458" spans="1:1" x14ac:dyDescent="0.25">
      <c r="A8458" s="1"/>
    </row>
    <row r="8502" spans="1:11" x14ac:dyDescent="0.25">
      <c r="A8502" s="1"/>
    </row>
    <row r="8503" spans="1:11" x14ac:dyDescent="0.25">
      <c r="A8503" s="1"/>
    </row>
    <row r="8505" spans="1:11" x14ac:dyDescent="0.25">
      <c r="K8505" s="1"/>
    </row>
    <row r="8730" spans="1:1" x14ac:dyDescent="0.25">
      <c r="A8730" s="1"/>
    </row>
    <row r="8731" spans="1:1" x14ac:dyDescent="0.25">
      <c r="A8731" s="1"/>
    </row>
    <row r="9089" spans="1:1" x14ac:dyDescent="0.25">
      <c r="A9089" s="1"/>
    </row>
    <row r="9090" spans="1:1" x14ac:dyDescent="0.25">
      <c r="A9090" s="1"/>
    </row>
    <row r="9181" spans="1:1" x14ac:dyDescent="0.25">
      <c r="A9181" s="1"/>
    </row>
    <row r="9182" spans="1:1" x14ac:dyDescent="0.25">
      <c r="A9182" s="1"/>
    </row>
    <row r="9288" spans="1:1" x14ac:dyDescent="0.25">
      <c r="A9288" s="1"/>
    </row>
    <row r="9289" spans="1:1" x14ac:dyDescent="0.25">
      <c r="A9289" s="1"/>
    </row>
    <row r="9440" spans="1:1" x14ac:dyDescent="0.25">
      <c r="A9440" s="1"/>
    </row>
    <row r="9441" spans="1:1" x14ac:dyDescent="0.25">
      <c r="A9441" s="1"/>
    </row>
    <row r="9669" spans="1:1" x14ac:dyDescent="0.25">
      <c r="A9669" s="1"/>
    </row>
    <row r="9670" spans="1:1" x14ac:dyDescent="0.25">
      <c r="A9670" s="1"/>
    </row>
    <row r="9780" spans="11:11" x14ac:dyDescent="0.25">
      <c r="K9780" s="1"/>
    </row>
    <row r="9899" spans="11:11" x14ac:dyDescent="0.25">
      <c r="K9899" s="1"/>
    </row>
    <row r="10383" spans="1:1" x14ac:dyDescent="0.25">
      <c r="A10383" s="1"/>
    </row>
    <row r="10384" spans="1:1" x14ac:dyDescent="0.25">
      <c r="A10384" s="1"/>
    </row>
    <row r="10511" spans="1:1" x14ac:dyDescent="0.25">
      <c r="A10511" s="1"/>
    </row>
    <row r="10512" spans="1:1" x14ac:dyDescent="0.25">
      <c r="A10512" s="1"/>
    </row>
    <row r="10576" spans="1:1" x14ac:dyDescent="0.25">
      <c r="A10576" s="1"/>
    </row>
    <row r="10577" spans="1:1" x14ac:dyDescent="0.25">
      <c r="A10577" s="1"/>
    </row>
    <row r="11086" spans="11:11" x14ac:dyDescent="0.25">
      <c r="K11086" s="1"/>
    </row>
    <row r="11119" spans="1:1" x14ac:dyDescent="0.25">
      <c r="A11119" s="1"/>
    </row>
    <row r="11120" spans="1:1" x14ac:dyDescent="0.25">
      <c r="A11120" s="1"/>
    </row>
    <row r="11217" spans="1:1" x14ac:dyDescent="0.25">
      <c r="A11217" s="1"/>
    </row>
    <row r="11218" spans="1:1" x14ac:dyDescent="0.25">
      <c r="A11218" s="1"/>
    </row>
    <row r="11372" spans="1:1" x14ac:dyDescent="0.25">
      <c r="A11372" s="1"/>
    </row>
    <row r="11373" spans="1:1" x14ac:dyDescent="0.25">
      <c r="A11373" s="1"/>
    </row>
    <row r="11381" spans="1:1" x14ac:dyDescent="0.25">
      <c r="A11381" s="1"/>
    </row>
    <row r="11382" spans="1:1" x14ac:dyDescent="0.25">
      <c r="A11382" s="1"/>
    </row>
    <row r="11457" spans="1:1" x14ac:dyDescent="0.25">
      <c r="A11457" s="1"/>
    </row>
    <row r="11458" spans="1:1" x14ac:dyDescent="0.25">
      <c r="A11458" s="1"/>
    </row>
    <row r="11538" spans="1:1" x14ac:dyDescent="0.25">
      <c r="A11538" s="1"/>
    </row>
    <row r="11539" spans="1:1" x14ac:dyDescent="0.25">
      <c r="A11539" s="1"/>
    </row>
    <row r="11836" spans="11:11" x14ac:dyDescent="0.25">
      <c r="K11836" s="1"/>
    </row>
    <row r="12386" spans="1:1" x14ac:dyDescent="0.25">
      <c r="A12386" s="1"/>
    </row>
    <row r="12387" spans="1:1" x14ac:dyDescent="0.25">
      <c r="A12387" s="1"/>
    </row>
    <row r="12893" spans="1:1" x14ac:dyDescent="0.25">
      <c r="A12893" s="1"/>
    </row>
    <row r="12894" spans="1:1" x14ac:dyDescent="0.25">
      <c r="A12894" s="1"/>
    </row>
    <row r="12931" spans="1:1" x14ac:dyDescent="0.25">
      <c r="A12931" s="1"/>
    </row>
    <row r="12932" spans="1:1" x14ac:dyDescent="0.25">
      <c r="A12932" s="1"/>
    </row>
    <row r="13283" spans="1:1" x14ac:dyDescent="0.25">
      <c r="A13283" s="1"/>
    </row>
    <row r="13284" spans="1:1" x14ac:dyDescent="0.25">
      <c r="A13284" s="1"/>
    </row>
    <row r="13451" spans="1:1" x14ac:dyDescent="0.25">
      <c r="A13451" s="1"/>
    </row>
    <row r="13452" spans="1:1" x14ac:dyDescent="0.25">
      <c r="A13452" s="1"/>
    </row>
    <row r="13570" spans="1:1" x14ac:dyDescent="0.25">
      <c r="A13570" s="1"/>
    </row>
    <row r="13571" spans="1:1" x14ac:dyDescent="0.25">
      <c r="A13571" s="1"/>
    </row>
    <row r="13738" spans="1:1" x14ac:dyDescent="0.25">
      <c r="A13738" s="1"/>
    </row>
    <row r="13739" spans="1:1" x14ac:dyDescent="0.25">
      <c r="A13739" s="1"/>
    </row>
    <row r="14327" spans="1:1" x14ac:dyDescent="0.25">
      <c r="A14327" s="1"/>
    </row>
    <row r="14328" spans="1:1" x14ac:dyDescent="0.25">
      <c r="A14328" s="1"/>
    </row>
    <row r="14493" spans="1:1" x14ac:dyDescent="0.25">
      <c r="A14493" s="1"/>
    </row>
    <row r="14494" spans="1:1" x14ac:dyDescent="0.25">
      <c r="A14494" s="1"/>
    </row>
    <row r="14502" spans="1:1" x14ac:dyDescent="0.25">
      <c r="A14502" s="1"/>
    </row>
    <row r="14503" spans="1:1" x14ac:dyDescent="0.25">
      <c r="A14503" s="1"/>
    </row>
    <row r="14511" spans="1:1" x14ac:dyDescent="0.25">
      <c r="A14511" s="1"/>
    </row>
    <row r="14512" spans="1:1" x14ac:dyDescent="0.25">
      <c r="A14512" s="1"/>
    </row>
    <row r="14520" spans="1:1" x14ac:dyDescent="0.25">
      <c r="A14520" s="1"/>
    </row>
    <row r="14521" spans="1:1" x14ac:dyDescent="0.25">
      <c r="A14521" s="1"/>
    </row>
    <row r="14532" spans="11:11" x14ac:dyDescent="0.25">
      <c r="K14532" s="1"/>
    </row>
    <row r="14843" spans="1:1" x14ac:dyDescent="0.25">
      <c r="A14843" s="1"/>
    </row>
    <row r="14844" spans="1:1" x14ac:dyDescent="0.25">
      <c r="A14844" s="1"/>
    </row>
    <row r="15300" spans="1:1" x14ac:dyDescent="0.25">
      <c r="A15300" s="1"/>
    </row>
    <row r="15301" spans="1:1" x14ac:dyDescent="0.25">
      <c r="A15301" s="1"/>
    </row>
    <row r="15309" spans="1:1" x14ac:dyDescent="0.25">
      <c r="A15309" s="1"/>
    </row>
    <row r="15310" spans="1:1" x14ac:dyDescent="0.25">
      <c r="A15310" s="1"/>
    </row>
    <row r="15381" spans="1:1" x14ac:dyDescent="0.25">
      <c r="A15381" s="1"/>
    </row>
    <row r="15382" spans="1:1" x14ac:dyDescent="0.25">
      <c r="A15382" s="1"/>
    </row>
    <row r="16266" spans="1:1" x14ac:dyDescent="0.25">
      <c r="A16266" s="1"/>
    </row>
    <row r="16267" spans="1:1" x14ac:dyDescent="0.25">
      <c r="A16267" s="1"/>
    </row>
    <row r="16416" spans="1:1" x14ac:dyDescent="0.25">
      <c r="A16416" s="1"/>
    </row>
    <row r="16417" spans="1:1" x14ac:dyDescent="0.25">
      <c r="A16417" s="1"/>
    </row>
    <row r="16425" spans="1:1" x14ac:dyDescent="0.25">
      <c r="A16425" s="1"/>
    </row>
    <row r="16426" spans="1:1" x14ac:dyDescent="0.25">
      <c r="A16426" s="1"/>
    </row>
    <row r="16434" spans="1:1" x14ac:dyDescent="0.25">
      <c r="A16434" s="1"/>
    </row>
    <row r="16435" spans="1:1" x14ac:dyDescent="0.25">
      <c r="A16435" s="1"/>
    </row>
    <row r="16744" spans="1:1" x14ac:dyDescent="0.25">
      <c r="A16744" s="1"/>
    </row>
    <row r="16745" spans="1:1" x14ac:dyDescent="0.25">
      <c r="A16745" s="1"/>
    </row>
    <row r="16881" spans="1:1" x14ac:dyDescent="0.25">
      <c r="A16881" s="1"/>
    </row>
    <row r="16882" spans="1:1" x14ac:dyDescent="0.25">
      <c r="A16882" s="1"/>
    </row>
    <row r="17004" spans="1:1" x14ac:dyDescent="0.25">
      <c r="A17004" s="1"/>
    </row>
    <row r="17005" spans="1:1" x14ac:dyDescent="0.25">
      <c r="A17005" s="1"/>
    </row>
    <row r="17098" spans="1:1" x14ac:dyDescent="0.25">
      <c r="A17098" s="1"/>
    </row>
    <row r="17099" spans="1:1" x14ac:dyDescent="0.25">
      <c r="A17099" s="1"/>
    </row>
    <row r="17107" spans="1:1" x14ac:dyDescent="0.25">
      <c r="A17107" s="1"/>
    </row>
    <row r="17108" spans="1:1" x14ac:dyDescent="0.25">
      <c r="A17108" s="1"/>
    </row>
    <row r="18282" spans="1:1" x14ac:dyDescent="0.25">
      <c r="A18282" s="1"/>
    </row>
    <row r="18283" spans="1:1" x14ac:dyDescent="0.25">
      <c r="A18283" s="1"/>
    </row>
    <row r="18612" spans="11:11" x14ac:dyDescent="0.25">
      <c r="K18612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17" spans="1:1" x14ac:dyDescent="0.25">
      <c r="A19217" s="1"/>
    </row>
    <row r="19415" spans="1:1" x14ac:dyDescent="0.25">
      <c r="A19415" s="1"/>
    </row>
    <row r="19416" spans="1:1" x14ac:dyDescent="0.25">
      <c r="A19416" s="1"/>
    </row>
    <row r="19481" spans="11:11" x14ac:dyDescent="0.25">
      <c r="K19481" s="1"/>
    </row>
    <row r="19635" spans="1:1" x14ac:dyDescent="0.25">
      <c r="A19635" s="1"/>
    </row>
    <row r="19636" spans="1:1" x14ac:dyDescent="0.25">
      <c r="A19636" s="1"/>
    </row>
    <row r="20266" spans="1:1" x14ac:dyDescent="0.25">
      <c r="A20266" s="1"/>
    </row>
    <row r="20267" spans="1:1" x14ac:dyDescent="0.25">
      <c r="A20267" s="1"/>
    </row>
    <row r="20784" spans="1:1" x14ac:dyDescent="0.25">
      <c r="A20784" s="1"/>
    </row>
    <row r="20785" spans="1:1" x14ac:dyDescent="0.25">
      <c r="A20785" s="1"/>
    </row>
    <row r="20849" spans="1:1" x14ac:dyDescent="0.25">
      <c r="A20849" s="1"/>
    </row>
    <row r="20850" spans="1:1" x14ac:dyDescent="0.25">
      <c r="A20850" s="1"/>
    </row>
    <row r="21040" spans="1:1" x14ac:dyDescent="0.25">
      <c r="A21040" s="1"/>
    </row>
    <row r="21041" spans="1:1" x14ac:dyDescent="0.25">
      <c r="A21041" s="1"/>
    </row>
    <row r="21067" spans="1:1" x14ac:dyDescent="0.25">
      <c r="A21067" s="1"/>
    </row>
    <row r="21068" spans="1:1" x14ac:dyDescent="0.25">
      <c r="A21068" s="1"/>
    </row>
    <row r="21269" spans="1:1" x14ac:dyDescent="0.25">
      <c r="A21269" s="1"/>
    </row>
    <row r="21270" spans="1:1" x14ac:dyDescent="0.25">
      <c r="A21270" s="1"/>
    </row>
    <row r="21388" spans="1:1" x14ac:dyDescent="0.25">
      <c r="A21388" s="1"/>
    </row>
    <row r="21389" spans="1:1" x14ac:dyDescent="0.25">
      <c r="A21389" s="1"/>
    </row>
    <row r="21684" spans="1:1" x14ac:dyDescent="0.25">
      <c r="A21684" s="1"/>
    </row>
    <row r="21685" spans="1:1" x14ac:dyDescent="0.25">
      <c r="A21685" s="1"/>
    </row>
    <row r="21760" spans="1:1" x14ac:dyDescent="0.25">
      <c r="A21760" s="1"/>
    </row>
    <row r="21761" spans="1:1" x14ac:dyDescent="0.25">
      <c r="A21761" s="1"/>
    </row>
    <row r="22030" spans="1:1" x14ac:dyDescent="0.25">
      <c r="A22030" s="1"/>
    </row>
    <row r="22031" spans="1:1" x14ac:dyDescent="0.25">
      <c r="A22031" s="1"/>
    </row>
    <row r="22039" spans="1:1" x14ac:dyDescent="0.25">
      <c r="A22039" s="1"/>
    </row>
    <row r="22040" spans="1:1" x14ac:dyDescent="0.25">
      <c r="A22040" s="1"/>
    </row>
    <row r="22075" spans="1:1" x14ac:dyDescent="0.25">
      <c r="A22075" s="1"/>
    </row>
    <row r="22076" spans="1:1" x14ac:dyDescent="0.25">
      <c r="A22076" s="1"/>
    </row>
    <row r="22174" spans="1:1" x14ac:dyDescent="0.25">
      <c r="A22174" s="1"/>
    </row>
    <row r="22175" spans="1:1" x14ac:dyDescent="0.25">
      <c r="A22175" s="1"/>
    </row>
    <row r="22278" spans="11:11" x14ac:dyDescent="0.25">
      <c r="K22278" s="1"/>
    </row>
    <row r="22432" spans="1:1" x14ac:dyDescent="0.25">
      <c r="A22432" s="1"/>
    </row>
    <row r="22433" spans="1:1" x14ac:dyDescent="0.25">
      <c r="A22433" s="1"/>
    </row>
    <row r="22739" spans="1:1" x14ac:dyDescent="0.25">
      <c r="A22739" s="1"/>
    </row>
    <row r="22740" spans="1:1" x14ac:dyDescent="0.25">
      <c r="A22740" s="1"/>
    </row>
    <row r="23040" spans="1:1" x14ac:dyDescent="0.25">
      <c r="A23040" s="1"/>
    </row>
    <row r="23041" spans="1:1" x14ac:dyDescent="0.25">
      <c r="A23041" s="1"/>
    </row>
    <row r="23058" spans="1:1" x14ac:dyDescent="0.25">
      <c r="A23058" s="1"/>
    </row>
    <row r="23059" spans="1:1" x14ac:dyDescent="0.25">
      <c r="A23059" s="1"/>
    </row>
    <row r="23094" spans="1:1" x14ac:dyDescent="0.25">
      <c r="A23094" s="1"/>
    </row>
    <row r="23095" spans="1:1" x14ac:dyDescent="0.25">
      <c r="A23095" s="1"/>
    </row>
    <row r="23235" spans="1:1" x14ac:dyDescent="0.25">
      <c r="A23235" s="1"/>
    </row>
    <row r="23236" spans="1:1" x14ac:dyDescent="0.25">
      <c r="A23236" s="1"/>
    </row>
    <row r="23507" spans="1:1" x14ac:dyDescent="0.25">
      <c r="A23507" s="1"/>
    </row>
    <row r="23508" spans="1:1" x14ac:dyDescent="0.25">
      <c r="A23508" s="1"/>
    </row>
    <row r="23698" spans="1:1" x14ac:dyDescent="0.25">
      <c r="A23698" s="1"/>
    </row>
    <row r="23699" spans="1:1" x14ac:dyDescent="0.25">
      <c r="A23699" s="1"/>
    </row>
    <row r="23707" spans="1:1" x14ac:dyDescent="0.25">
      <c r="A23707" s="1"/>
    </row>
    <row r="23708" spans="1:1" x14ac:dyDescent="0.25">
      <c r="A23708" s="1"/>
    </row>
    <row r="23716" spans="1:1" x14ac:dyDescent="0.25">
      <c r="A23716" s="1"/>
    </row>
    <row r="23717" spans="1:1" x14ac:dyDescent="0.25">
      <c r="A23717" s="1"/>
    </row>
    <row r="24032" spans="1:1" x14ac:dyDescent="0.25">
      <c r="A24032" s="1"/>
    </row>
    <row r="24033" spans="1:1" x14ac:dyDescent="0.25">
      <c r="A24033" s="1"/>
    </row>
    <row r="24041" spans="1:1" x14ac:dyDescent="0.25">
      <c r="A24041" s="1"/>
    </row>
    <row r="24042" spans="1:1" x14ac:dyDescent="0.25">
      <c r="A24042" s="1"/>
    </row>
    <row r="24050" spans="1:1" x14ac:dyDescent="0.25">
      <c r="A24050" s="1"/>
    </row>
    <row r="24051" spans="1:1" x14ac:dyDescent="0.25">
      <c r="A24051" s="1"/>
    </row>
    <row r="24131" spans="1:1" x14ac:dyDescent="0.25">
      <c r="A24131" s="1"/>
    </row>
    <row r="24132" spans="1:1" x14ac:dyDescent="0.25">
      <c r="A24132" s="1"/>
    </row>
    <row r="24266" spans="1:1" x14ac:dyDescent="0.25">
      <c r="A24266" s="1"/>
    </row>
    <row r="24267" spans="1:1" x14ac:dyDescent="0.25">
      <c r="A24267" s="1"/>
    </row>
    <row r="24329" spans="1:1" x14ac:dyDescent="0.25">
      <c r="A24329" s="1"/>
    </row>
    <row r="24330" spans="1:1" x14ac:dyDescent="0.25">
      <c r="A24330" s="1"/>
    </row>
    <row r="24338" spans="1:1" x14ac:dyDescent="0.25">
      <c r="A24338" s="1"/>
    </row>
    <row r="24339" spans="1:1" x14ac:dyDescent="0.25">
      <c r="A24339" s="1"/>
    </row>
    <row r="24475" spans="1:1" x14ac:dyDescent="0.25">
      <c r="A24475" s="1"/>
    </row>
    <row r="24476" spans="1:1" x14ac:dyDescent="0.25">
      <c r="A24476" s="1"/>
    </row>
    <row r="24601" spans="1:1" x14ac:dyDescent="0.25">
      <c r="A24601" s="1"/>
    </row>
    <row r="24602" spans="1:1" x14ac:dyDescent="0.25">
      <c r="A24602" s="1"/>
    </row>
    <row r="25158" spans="1:1" x14ac:dyDescent="0.25">
      <c r="A25158" s="1"/>
    </row>
    <row r="25159" spans="1:1" x14ac:dyDescent="0.25">
      <c r="A25159" s="1"/>
    </row>
    <row r="25252" spans="1:1" x14ac:dyDescent="0.25">
      <c r="A25252" s="1"/>
    </row>
    <row r="25253" spans="1:1" x14ac:dyDescent="0.25">
      <c r="A25253" s="1"/>
    </row>
    <row r="25360" spans="1:1" x14ac:dyDescent="0.25">
      <c r="A25360" s="1"/>
    </row>
    <row r="25361" spans="1:1" x14ac:dyDescent="0.25">
      <c r="A25361" s="1"/>
    </row>
    <row r="25459" spans="1:1" x14ac:dyDescent="0.25">
      <c r="A25459" s="1"/>
    </row>
    <row r="25460" spans="1:1" x14ac:dyDescent="0.25">
      <c r="A25460" s="1"/>
    </row>
    <row r="25760" spans="1:1" x14ac:dyDescent="0.25">
      <c r="A25760" s="1"/>
    </row>
    <row r="25761" spans="1:1" x14ac:dyDescent="0.25">
      <c r="A25761" s="1"/>
    </row>
    <row r="26249" spans="1:1" x14ac:dyDescent="0.25">
      <c r="A26249" s="1"/>
    </row>
    <row r="26250" spans="1:1" x14ac:dyDescent="0.25">
      <c r="A26250" s="1"/>
    </row>
    <row r="26267" spans="1:1" x14ac:dyDescent="0.25">
      <c r="A26267" s="1"/>
    </row>
    <row r="26268" spans="1:1" x14ac:dyDescent="0.25">
      <c r="A26268" s="1"/>
    </row>
    <row r="26321" spans="1:1" x14ac:dyDescent="0.25">
      <c r="A26321" s="1"/>
    </row>
    <row r="26322" spans="1:1" x14ac:dyDescent="0.25">
      <c r="A26322" s="1"/>
    </row>
    <row r="26375" spans="1:1" x14ac:dyDescent="0.25">
      <c r="A26375" s="1"/>
    </row>
    <row r="26376" spans="1:1" x14ac:dyDescent="0.25">
      <c r="A26376" s="1"/>
    </row>
    <row r="26433" spans="1:1" x14ac:dyDescent="0.25">
      <c r="A26433" s="1"/>
    </row>
    <row r="26434" spans="1:1" x14ac:dyDescent="0.25">
      <c r="A26434" s="1"/>
    </row>
    <row r="26478" spans="1:1" x14ac:dyDescent="0.25">
      <c r="A26478" s="1"/>
    </row>
    <row r="26479" spans="1:1" x14ac:dyDescent="0.25">
      <c r="A26479" s="1"/>
    </row>
    <row r="26487" spans="1:1" x14ac:dyDescent="0.25">
      <c r="A26487" s="1"/>
    </row>
    <row r="26488" spans="1:1" x14ac:dyDescent="0.25">
      <c r="A26488" s="1"/>
    </row>
    <row r="26919" spans="1:1" x14ac:dyDescent="0.25">
      <c r="A26919" s="1"/>
    </row>
    <row r="26920" spans="1:1" x14ac:dyDescent="0.25">
      <c r="A26920" s="1"/>
    </row>
    <row r="27067" spans="1:1" x14ac:dyDescent="0.25">
      <c r="A27067" s="1"/>
    </row>
    <row r="27068" spans="1:1" x14ac:dyDescent="0.25">
      <c r="A27068" s="1"/>
    </row>
    <row r="27076" spans="1:1" x14ac:dyDescent="0.25">
      <c r="A27076" s="1"/>
    </row>
    <row r="27077" spans="1:1" x14ac:dyDescent="0.25">
      <c r="A27077" s="1"/>
    </row>
    <row r="27148" spans="1:1" x14ac:dyDescent="0.25">
      <c r="A27148" s="1"/>
    </row>
    <row r="27149" spans="1:1" x14ac:dyDescent="0.25">
      <c r="A27149" s="1"/>
    </row>
    <row r="27406" spans="1:1" x14ac:dyDescent="0.25">
      <c r="A27406" s="1"/>
    </row>
    <row r="27407" spans="1:1" x14ac:dyDescent="0.25">
      <c r="A27407" s="1"/>
    </row>
    <row r="27525" spans="1:1" x14ac:dyDescent="0.25">
      <c r="A27525" s="1"/>
    </row>
    <row r="27526" spans="1:1" x14ac:dyDescent="0.25">
      <c r="A27526" s="1"/>
    </row>
    <row r="27543" spans="1:1" x14ac:dyDescent="0.25">
      <c r="A27543" s="1"/>
    </row>
    <row r="27544" spans="1:1" x14ac:dyDescent="0.25">
      <c r="A27544" s="1"/>
    </row>
    <row r="27680" spans="1:1" x14ac:dyDescent="0.25">
      <c r="A27680" s="1"/>
    </row>
    <row r="27681" spans="1:1" x14ac:dyDescent="0.25">
      <c r="A27681" s="1"/>
    </row>
    <row r="27797" spans="1:1" x14ac:dyDescent="0.25">
      <c r="A27797" s="1"/>
    </row>
    <row r="27798" spans="1:1" x14ac:dyDescent="0.25">
      <c r="A27798" s="1"/>
    </row>
    <row r="28051" spans="1:1" x14ac:dyDescent="0.25">
      <c r="A28051" s="1"/>
    </row>
    <row r="28052" spans="1:1" x14ac:dyDescent="0.25">
      <c r="A28052" s="1"/>
    </row>
    <row r="28090" spans="11:11" x14ac:dyDescent="0.25">
      <c r="K28090" s="1"/>
    </row>
    <row r="28105" spans="1:1" x14ac:dyDescent="0.25">
      <c r="A28105" s="1"/>
    </row>
    <row r="28106" spans="1:1" x14ac:dyDescent="0.25">
      <c r="A28106" s="1"/>
    </row>
    <row r="28287" spans="1:1" x14ac:dyDescent="0.25">
      <c r="A28287" s="1"/>
    </row>
    <row r="28288" spans="1:1" x14ac:dyDescent="0.25">
      <c r="A28288" s="1"/>
    </row>
    <row r="28296" spans="1:1" x14ac:dyDescent="0.25">
      <c r="A28296" s="1"/>
    </row>
    <row r="28297" spans="1:1" x14ac:dyDescent="0.25">
      <c r="A28297" s="1"/>
    </row>
    <row r="28471" spans="1:1" x14ac:dyDescent="0.25">
      <c r="A28471" s="1"/>
    </row>
    <row r="28472" spans="1:1" x14ac:dyDescent="0.25">
      <c r="A28472" s="1"/>
    </row>
    <row r="28871" spans="1:1" x14ac:dyDescent="0.25">
      <c r="A28871" s="1"/>
    </row>
    <row r="28872" spans="1:1" x14ac:dyDescent="0.25">
      <c r="A28872" s="1"/>
    </row>
    <row r="28880" spans="1:1" x14ac:dyDescent="0.25">
      <c r="A28880" s="1"/>
    </row>
    <row r="28881" spans="1:1" x14ac:dyDescent="0.25">
      <c r="A28881" s="1"/>
    </row>
    <row r="28889" spans="1:1" x14ac:dyDescent="0.25">
      <c r="A28889" s="1"/>
    </row>
    <row r="28890" spans="1:1" x14ac:dyDescent="0.25">
      <c r="A28890" s="1"/>
    </row>
    <row r="28898" spans="1:1" x14ac:dyDescent="0.25">
      <c r="A28898" s="1"/>
    </row>
    <row r="28899" spans="1:1" x14ac:dyDescent="0.25">
      <c r="A28899" s="1"/>
    </row>
    <row r="29035" spans="1:1" x14ac:dyDescent="0.25">
      <c r="A29035" s="1"/>
    </row>
    <row r="29036" spans="1:1" x14ac:dyDescent="0.25">
      <c r="A29036" s="1"/>
    </row>
    <row r="29759" spans="1:1" x14ac:dyDescent="0.25">
      <c r="A29759" s="1"/>
    </row>
    <row r="29760" spans="1:1" x14ac:dyDescent="0.25">
      <c r="A29760" s="1"/>
    </row>
    <row r="29977" spans="1:1" x14ac:dyDescent="0.25">
      <c r="A29977" s="1"/>
    </row>
    <row r="29978" spans="1:1" x14ac:dyDescent="0.25">
      <c r="A29978" s="1"/>
    </row>
    <row r="29986" spans="1:1" x14ac:dyDescent="0.25">
      <c r="A29986" s="1"/>
    </row>
    <row r="29987" spans="1:1" x14ac:dyDescent="0.25">
      <c r="A29987" s="1"/>
    </row>
    <row r="30040" spans="1:1" x14ac:dyDescent="0.25">
      <c r="A30040" s="1"/>
    </row>
    <row r="30041" spans="1:1" x14ac:dyDescent="0.25">
      <c r="A30041" s="1"/>
    </row>
    <row r="30049" spans="1:1" x14ac:dyDescent="0.25">
      <c r="A30049" s="1"/>
    </row>
    <row r="30050" spans="1:1" x14ac:dyDescent="0.25">
      <c r="A30050" s="1"/>
    </row>
    <row r="30058" spans="1:1" x14ac:dyDescent="0.25">
      <c r="A30058" s="1"/>
    </row>
    <row r="30059" spans="1:1" x14ac:dyDescent="0.25">
      <c r="A30059" s="1"/>
    </row>
    <row r="30067" spans="1:1" x14ac:dyDescent="0.25">
      <c r="A30067" s="1"/>
    </row>
    <row r="30068" spans="1:1" x14ac:dyDescent="0.25">
      <c r="A30068" s="1"/>
    </row>
    <row r="30953" spans="1:1" x14ac:dyDescent="0.25">
      <c r="A30953" s="1"/>
    </row>
    <row r="30954" spans="1:1" x14ac:dyDescent="0.25">
      <c r="A30954" s="1"/>
    </row>
    <row r="31016" spans="1:1" x14ac:dyDescent="0.25">
      <c r="A31016" s="1"/>
    </row>
    <row r="31017" spans="1:1" x14ac:dyDescent="0.25">
      <c r="A31017" s="1"/>
    </row>
    <row r="31064" spans="11:11" x14ac:dyDescent="0.25">
      <c r="K31064" s="1"/>
    </row>
    <row r="31677" spans="1:1" x14ac:dyDescent="0.25">
      <c r="A31677" s="1"/>
    </row>
    <row r="31678" spans="1:1" x14ac:dyDescent="0.25">
      <c r="A31678" s="1"/>
    </row>
    <row r="31767" spans="1:1" x14ac:dyDescent="0.25">
      <c r="A31767" s="1"/>
    </row>
    <row r="31768" spans="1:1" x14ac:dyDescent="0.25">
      <c r="A31768" s="1"/>
    </row>
    <row r="32075" spans="1:1" x14ac:dyDescent="0.25">
      <c r="A32075" s="1"/>
    </row>
    <row r="32076" spans="1:1" x14ac:dyDescent="0.25">
      <c r="A32076" s="1"/>
    </row>
    <row r="32084" spans="1:1" x14ac:dyDescent="0.25">
      <c r="A32084" s="1"/>
    </row>
    <row r="32085" spans="1:1" x14ac:dyDescent="0.25">
      <c r="A32085" s="1"/>
    </row>
    <row r="32192" spans="1:1" x14ac:dyDescent="0.25">
      <c r="A32192" s="1"/>
    </row>
    <row r="32193" spans="1:1" x14ac:dyDescent="0.25">
      <c r="A32193" s="1"/>
    </row>
    <row r="32356" spans="1:1" x14ac:dyDescent="0.25">
      <c r="A32356" s="1"/>
    </row>
    <row r="32357" spans="1:1" x14ac:dyDescent="0.25">
      <c r="A32357" s="1"/>
    </row>
    <row r="32531" spans="1:1" x14ac:dyDescent="0.25">
      <c r="A32531" s="1"/>
    </row>
    <row r="32532" spans="1:1" x14ac:dyDescent="0.25">
      <c r="A32532" s="1"/>
    </row>
    <row r="33180" spans="1:1" x14ac:dyDescent="0.25">
      <c r="A33180" s="1"/>
    </row>
    <row r="33181" spans="1:1" x14ac:dyDescent="0.25">
      <c r="A33181" s="1"/>
    </row>
    <row r="33609" spans="1:1" x14ac:dyDescent="0.25">
      <c r="A33609" s="1"/>
    </row>
    <row r="33610" spans="1:1" x14ac:dyDescent="0.25">
      <c r="A33610" s="1"/>
    </row>
    <row r="33618" spans="1:1" x14ac:dyDescent="0.25">
      <c r="A33618" s="1"/>
    </row>
    <row r="33619" spans="1:1" x14ac:dyDescent="0.25">
      <c r="A33619" s="1"/>
    </row>
    <row r="34153" spans="1:1" x14ac:dyDescent="0.25">
      <c r="A34153" s="1"/>
    </row>
    <row r="34154" spans="1:1" x14ac:dyDescent="0.25">
      <c r="A34154" s="1"/>
    </row>
    <row r="34162" spans="1:1" x14ac:dyDescent="0.25">
      <c r="A34162" s="1"/>
    </row>
    <row r="34163" spans="1:1" x14ac:dyDescent="0.25">
      <c r="A34163" s="1"/>
    </row>
    <row r="34198" spans="1:1" x14ac:dyDescent="0.25">
      <c r="A34198" s="1"/>
    </row>
    <row r="34199" spans="1:1" x14ac:dyDescent="0.25">
      <c r="A34199" s="1"/>
    </row>
    <row r="34416" spans="1:1" x14ac:dyDescent="0.25">
      <c r="A34416" s="1"/>
    </row>
    <row r="34417" spans="1:1" x14ac:dyDescent="0.25">
      <c r="A34417" s="1"/>
    </row>
    <row r="34681" spans="1:1" x14ac:dyDescent="0.25">
      <c r="A34681" s="1"/>
    </row>
    <row r="34682" spans="1:1" x14ac:dyDescent="0.25">
      <c r="A34682" s="1"/>
    </row>
    <row r="35330" spans="1:1" x14ac:dyDescent="0.25">
      <c r="A35330" s="1"/>
    </row>
    <row r="35331" spans="1:1" x14ac:dyDescent="0.25">
      <c r="A35331" s="1"/>
    </row>
    <row r="35611" spans="1:1" x14ac:dyDescent="0.25">
      <c r="A35611" s="1"/>
    </row>
    <row r="35612" spans="1:1" x14ac:dyDescent="0.25">
      <c r="A35612" s="1"/>
    </row>
    <row r="35899" spans="1:1" x14ac:dyDescent="0.25">
      <c r="A35899" s="1"/>
    </row>
    <row r="35900" spans="1:1" x14ac:dyDescent="0.25">
      <c r="A35900" s="1"/>
    </row>
    <row r="35953" spans="1:1" x14ac:dyDescent="0.25">
      <c r="A35953" s="1"/>
    </row>
    <row r="35954" spans="1:1" x14ac:dyDescent="0.25">
      <c r="A35954" s="1"/>
    </row>
    <row r="36576" spans="1:1" x14ac:dyDescent="0.25">
      <c r="A36576" s="1"/>
    </row>
    <row r="36577" spans="1:1" x14ac:dyDescent="0.25">
      <c r="A36577" s="1"/>
    </row>
    <row r="36585" spans="1:1" x14ac:dyDescent="0.25">
      <c r="A36585" s="1"/>
    </row>
    <row r="36586" spans="1:1" x14ac:dyDescent="0.25">
      <c r="A36586" s="1"/>
    </row>
    <row r="36720" spans="1:1" x14ac:dyDescent="0.25">
      <c r="A36720" s="1"/>
    </row>
    <row r="36721" spans="1:1" x14ac:dyDescent="0.25">
      <c r="A36721" s="1"/>
    </row>
    <row r="36729" spans="1:1" x14ac:dyDescent="0.25">
      <c r="A36729" s="1"/>
    </row>
    <row r="36730" spans="1:1" x14ac:dyDescent="0.25">
      <c r="A36730" s="1"/>
    </row>
    <row r="36828" spans="1:1" x14ac:dyDescent="0.25">
      <c r="A36828" s="1"/>
    </row>
    <row r="36829" spans="1:1" x14ac:dyDescent="0.25">
      <c r="A36829" s="1"/>
    </row>
    <row r="37954" spans="1:1" x14ac:dyDescent="0.25">
      <c r="A37954" s="1"/>
    </row>
    <row r="37955" spans="1:1" x14ac:dyDescent="0.25">
      <c r="A37955" s="1"/>
    </row>
    <row r="38694" spans="2:2" x14ac:dyDescent="0.25">
      <c r="B38694" s="1"/>
    </row>
    <row r="38695" spans="2:2" x14ac:dyDescent="0.25">
      <c r="B38695" s="1"/>
    </row>
    <row r="39627" spans="1:1" x14ac:dyDescent="0.25">
      <c r="A39627" s="1"/>
    </row>
    <row r="39628" spans="1:1" x14ac:dyDescent="0.25">
      <c r="A39628" s="1"/>
    </row>
    <row r="40608" spans="1:1" x14ac:dyDescent="0.25">
      <c r="A40608" s="1"/>
    </row>
    <row r="40609" spans="1:1" x14ac:dyDescent="0.25">
      <c r="A40609" s="1"/>
    </row>
    <row r="40943" spans="2:2" x14ac:dyDescent="0.25">
      <c r="B40943" s="1"/>
    </row>
    <row r="40944" spans="2:2" x14ac:dyDescent="0.25">
      <c r="B40944" s="1"/>
    </row>
    <row r="41251" spans="1:1" x14ac:dyDescent="0.25">
      <c r="A41251" s="1"/>
    </row>
    <row r="41252" spans="1:1" x14ac:dyDescent="0.25">
      <c r="A41252" s="1"/>
    </row>
    <row r="41822" spans="1:1" x14ac:dyDescent="0.25">
      <c r="A41822" s="1"/>
    </row>
    <row r="41823" spans="1:1" x14ac:dyDescent="0.25">
      <c r="A41823" s="1"/>
    </row>
    <row r="41831" spans="1:1" x14ac:dyDescent="0.25">
      <c r="A41831" s="1"/>
    </row>
    <row r="41832" spans="1:1" x14ac:dyDescent="0.25">
      <c r="A41832" s="1"/>
    </row>
    <row r="41896" spans="1:1" x14ac:dyDescent="0.25">
      <c r="A41896" s="1"/>
    </row>
    <row r="41897" spans="1:1" x14ac:dyDescent="0.25">
      <c r="A41897" s="1"/>
    </row>
    <row r="42076" spans="2:2" x14ac:dyDescent="0.25">
      <c r="B42076" s="1"/>
    </row>
    <row r="42077" spans="2:2" x14ac:dyDescent="0.25">
      <c r="B42077" s="1"/>
    </row>
    <row r="42150" spans="2:2" x14ac:dyDescent="0.25">
      <c r="B42150" s="1"/>
    </row>
    <row r="42151" spans="2:2" x14ac:dyDescent="0.25">
      <c r="B42151" s="1"/>
    </row>
    <row r="43351" spans="2:2" x14ac:dyDescent="0.25">
      <c r="B43351" s="1"/>
    </row>
    <row r="43352" spans="2:2" x14ac:dyDescent="0.25">
      <c r="B43352" s="1"/>
    </row>
    <row r="43360" spans="2:2" x14ac:dyDescent="0.25">
      <c r="B43360" s="1"/>
    </row>
    <row r="43361" spans="2:2" x14ac:dyDescent="0.25">
      <c r="B43361" s="1"/>
    </row>
    <row r="43369" spans="2:2" x14ac:dyDescent="0.25">
      <c r="B43369" s="1"/>
    </row>
    <row r="43370" spans="2:2" x14ac:dyDescent="0.25">
      <c r="B43370" s="1"/>
    </row>
    <row r="43900" spans="2:2" x14ac:dyDescent="0.25">
      <c r="B43900" s="1"/>
    </row>
    <row r="43901" spans="2:2" x14ac:dyDescent="0.25">
      <c r="B43901" s="1"/>
    </row>
    <row r="44125" spans="1:1" x14ac:dyDescent="0.25">
      <c r="A44125" s="1"/>
    </row>
    <row r="44126" spans="1:1" x14ac:dyDescent="0.25">
      <c r="A44126" s="1"/>
    </row>
    <row r="44947" spans="3:3" x14ac:dyDescent="0.25">
      <c r="C44947" s="1"/>
    </row>
    <row r="45016" spans="2:2" x14ac:dyDescent="0.25">
      <c r="B45016" s="1"/>
    </row>
    <row r="45017" spans="2:2" x14ac:dyDescent="0.25">
      <c r="B45017" s="1"/>
    </row>
    <row r="48346" spans="1:1" x14ac:dyDescent="0.25">
      <c r="A48346" s="1"/>
    </row>
    <row r="48347" spans="1:1" x14ac:dyDescent="0.25">
      <c r="A48347" s="1"/>
    </row>
    <row r="48373" spans="2:2" x14ac:dyDescent="0.25">
      <c r="B48373" s="1"/>
    </row>
    <row r="48374" spans="2:2" x14ac:dyDescent="0.25">
      <c r="B48374" s="1"/>
    </row>
    <row r="51988" spans="1:1" x14ac:dyDescent="0.25">
      <c r="A51988" s="1"/>
    </row>
    <row r="51989" spans="1:1" x14ac:dyDescent="0.25">
      <c r="A51989" s="1"/>
    </row>
    <row r="53572" spans="1:1" x14ac:dyDescent="0.25">
      <c r="A53572" s="1"/>
    </row>
    <row r="53573" spans="1:1" x14ac:dyDescent="0.25">
      <c r="A53573" s="1"/>
    </row>
    <row r="59687" spans="1:1" x14ac:dyDescent="0.25">
      <c r="A59687" s="1"/>
    </row>
    <row r="59688" spans="1:1" x14ac:dyDescent="0.25">
      <c r="A59688" s="1"/>
    </row>
    <row r="65676" spans="2:2" x14ac:dyDescent="0.25">
      <c r="B65676" s="1"/>
    </row>
    <row r="65677" spans="2:2" x14ac:dyDescent="0.25">
      <c r="B65677" s="1"/>
    </row>
    <row r="65685" spans="2:2" x14ac:dyDescent="0.25">
      <c r="B65685" s="1"/>
    </row>
    <row r="65686" spans="2:2" x14ac:dyDescent="0.25">
      <c r="B65686" s="1"/>
    </row>
    <row r="65694" spans="2:2" x14ac:dyDescent="0.25">
      <c r="B65694" s="1"/>
    </row>
    <row r="65695" spans="2:2" x14ac:dyDescent="0.25">
      <c r="B65695" s="1"/>
    </row>
    <row r="68486" spans="1:1" x14ac:dyDescent="0.25">
      <c r="A68486" s="1"/>
    </row>
    <row r="68487" spans="1:1" x14ac:dyDescent="0.25">
      <c r="A68487" s="1"/>
    </row>
    <row r="69073" spans="1:1" x14ac:dyDescent="0.25">
      <c r="A69073" s="1"/>
    </row>
    <row r="69074" spans="1:1" x14ac:dyDescent="0.25">
      <c r="A69074" s="1"/>
    </row>
    <row r="69082" spans="1:1" x14ac:dyDescent="0.25">
      <c r="A69082" s="1"/>
    </row>
    <row r="69083" spans="1:1" x14ac:dyDescent="0.25">
      <c r="A69083" s="1"/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2022-09-25T19:38:38Z</dcterms:modified>
</cp:coreProperties>
</file>